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1_Maincrafts\Task3\"/>
    </mc:Choice>
  </mc:AlternateContent>
  <xr:revisionPtr revIDLastSave="0" documentId="13_ncr:1_{DD148E6E-A534-4721-9785-72EEBA0ABC88}" xr6:coauthVersionLast="47" xr6:coauthVersionMax="47" xr10:uidLastSave="{00000000-0000-0000-0000-000000000000}"/>
  <bookViews>
    <workbookView xWindow="-110" yWindow="-110" windowWidth="19420" windowHeight="10420" activeTab="1" xr2:uid="{BE882BF6-DA20-4942-B1C4-08FDB25D7D1B}"/>
  </bookViews>
  <sheets>
    <sheet name="Analysis" sheetId="4" r:id="rId1"/>
    <sheet name="orders" sheetId="1" r:id="rId2"/>
    <sheet name="Customer" sheetId="2" r:id="rId3"/>
  </sheets>
  <definedNames>
    <definedName name="_xlcn.WorksheetConnection_Excel_Advance.xlsxCustomer1" hidden="1">Customer[]</definedName>
    <definedName name="_xlcn.WorksheetConnection_Excel_Advance.xlsxorders1" hidden="1">orders[]</definedName>
  </definedNames>
  <calcPr calcId="191029"/>
  <pivotCaches>
    <pivotCache cacheId="199" r:id="rId4"/>
    <pivotCache cacheId="200" r:id="rId5"/>
    <pivotCache cacheId="201" r:id="rId6"/>
    <pivotCache cacheId="202" r:id="rId7"/>
    <pivotCache cacheId="203" r:id="rId8"/>
    <pivotCache cacheId="204" r:id="rId9"/>
    <pivotCache cacheId="21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Excel_Advance.xlsx!orders"/>
          <x15:modelTable id="Customer" name="Customer" connection="WorksheetConnection_Excel_Advance.xlsx!Custom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I8" i="1"/>
  <c r="I2" i="1"/>
  <c r="I3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L4" i="1" l="1"/>
  <c r="K4" i="1"/>
  <c r="L5" i="1"/>
  <c r="K5" i="1"/>
  <c r="L6" i="1"/>
  <c r="K6" i="1"/>
  <c r="K2" i="1"/>
  <c r="L2" i="1"/>
  <c r="L3" i="1"/>
  <c r="K3" i="1"/>
  <c r="L7" i="1"/>
  <c r="K7" i="1"/>
  <c r="L8" i="1"/>
  <c r="K8" i="1"/>
  <c r="L9" i="1"/>
  <c r="K9" i="1"/>
  <c r="L10" i="1"/>
  <c r="K10" i="1"/>
  <c r="L11" i="1"/>
  <c r="K11" i="1"/>
  <c r="L12" i="1"/>
  <c r="K12" i="1"/>
  <c r="L13" i="1"/>
  <c r="K13" i="1"/>
  <c r="L14" i="1"/>
  <c r="K14" i="1"/>
  <c r="L15" i="1"/>
  <c r="K15" i="1"/>
  <c r="L16" i="1"/>
  <c r="K16" i="1"/>
  <c r="L17" i="1"/>
  <c r="K17" i="1"/>
  <c r="L18" i="1"/>
  <c r="K18" i="1"/>
  <c r="L19" i="1"/>
  <c r="K19" i="1"/>
  <c r="L20" i="1"/>
  <c r="K20" i="1"/>
  <c r="L21" i="1"/>
  <c r="K21" i="1"/>
  <c r="L22" i="1"/>
  <c r="K22" i="1"/>
  <c r="L23" i="1"/>
  <c r="K23" i="1"/>
  <c r="K24" i="1"/>
  <c r="L24" i="1"/>
  <c r="K25" i="1"/>
  <c r="L25" i="1"/>
  <c r="K26" i="1"/>
  <c r="L26" i="1"/>
  <c r="L27" i="1"/>
  <c r="K27" i="1"/>
  <c r="L28" i="1"/>
  <c r="K28" i="1"/>
  <c r="K29" i="1"/>
  <c r="L29" i="1"/>
  <c r="K30" i="1"/>
  <c r="L30" i="1"/>
  <c r="L31" i="1"/>
  <c r="K31" i="1"/>
  <c r="L32" i="1"/>
  <c r="K32" i="1"/>
  <c r="L33" i="1"/>
  <c r="K33" i="1"/>
  <c r="L34" i="1"/>
  <c r="K34" i="1"/>
  <c r="L35" i="1"/>
  <c r="K35" i="1"/>
  <c r="L36" i="1"/>
  <c r="K36" i="1"/>
  <c r="L37" i="1"/>
  <c r="K37" i="1"/>
  <c r="L38" i="1"/>
  <c r="K38" i="1"/>
  <c r="L39" i="1"/>
  <c r="K39" i="1"/>
  <c r="L40" i="1"/>
  <c r="K40" i="1"/>
  <c r="L41" i="1"/>
  <c r="K41" i="1"/>
  <c r="L42" i="1"/>
  <c r="K42" i="1"/>
  <c r="L43" i="1"/>
  <c r="K43" i="1"/>
  <c r="L44" i="1"/>
  <c r="K44" i="1"/>
  <c r="L45" i="1"/>
  <c r="K45" i="1"/>
  <c r="L46" i="1"/>
  <c r="K46" i="1"/>
  <c r="K47" i="1"/>
  <c r="L47" i="1"/>
  <c r="L48" i="1"/>
  <c r="K48" i="1"/>
  <c r="K49" i="1"/>
  <c r="L49" i="1"/>
  <c r="L50" i="1"/>
  <c r="K50" i="1"/>
  <c r="L51" i="1"/>
  <c r="K51" i="1"/>
  <c r="L52" i="1"/>
  <c r="K52" i="1"/>
  <c r="L53" i="1"/>
  <c r="K53" i="1"/>
  <c r="K54" i="1"/>
  <c r="L54" i="1"/>
  <c r="L55" i="1"/>
  <c r="K55" i="1"/>
  <c r="L56" i="1"/>
  <c r="K56" i="1"/>
  <c r="L57" i="1"/>
  <c r="K57" i="1"/>
  <c r="K58" i="1"/>
  <c r="L58" i="1"/>
  <c r="L59" i="1"/>
  <c r="K59" i="1"/>
  <c r="L60" i="1"/>
  <c r="K60" i="1"/>
  <c r="L61" i="1"/>
  <c r="K61" i="1"/>
  <c r="L62" i="1"/>
  <c r="K62" i="1"/>
  <c r="L63" i="1"/>
  <c r="K63" i="1"/>
  <c r="K64" i="1"/>
  <c r="L64" i="1"/>
  <c r="L65" i="1"/>
  <c r="K65" i="1"/>
  <c r="L66" i="1"/>
  <c r="K66" i="1"/>
  <c r="L67" i="1"/>
  <c r="K67" i="1"/>
  <c r="L68" i="1"/>
  <c r="K68" i="1"/>
  <c r="L69" i="1"/>
  <c r="K69" i="1"/>
  <c r="K70" i="1"/>
  <c r="L70" i="1"/>
  <c r="L71" i="1"/>
  <c r="K71" i="1"/>
  <c r="L72" i="1"/>
  <c r="K72" i="1"/>
  <c r="L73" i="1"/>
  <c r="K73" i="1"/>
  <c r="L74" i="1"/>
  <c r="K74" i="1"/>
  <c r="L75" i="1"/>
  <c r="K75" i="1"/>
  <c r="L76" i="1"/>
  <c r="K76" i="1"/>
  <c r="L77" i="1"/>
  <c r="K77" i="1"/>
  <c r="L78" i="1"/>
  <c r="K78" i="1"/>
  <c r="L79" i="1"/>
  <c r="K79" i="1"/>
  <c r="L80" i="1"/>
  <c r="K80" i="1"/>
  <c r="L81" i="1"/>
  <c r="K81" i="1"/>
  <c r="L82" i="1"/>
  <c r="K82" i="1"/>
  <c r="L83" i="1"/>
  <c r="K83" i="1"/>
  <c r="L84" i="1"/>
  <c r="K84" i="1"/>
  <c r="L85" i="1"/>
  <c r="K85" i="1"/>
  <c r="L86" i="1"/>
  <c r="K86" i="1"/>
  <c r="L87" i="1"/>
  <c r="K87" i="1"/>
  <c r="L88" i="1"/>
  <c r="K88" i="1"/>
  <c r="L89" i="1"/>
  <c r="K89" i="1"/>
  <c r="L90" i="1"/>
  <c r="K90" i="1"/>
  <c r="K91" i="1"/>
  <c r="L91" i="1"/>
  <c r="L92" i="1"/>
  <c r="K92" i="1"/>
  <c r="K93" i="1"/>
  <c r="L93" i="1"/>
  <c r="L94" i="1"/>
  <c r="K94" i="1"/>
  <c r="L95" i="1"/>
  <c r="K95" i="1"/>
  <c r="L96" i="1"/>
  <c r="K96" i="1"/>
  <c r="L97" i="1"/>
  <c r="K97" i="1"/>
  <c r="L98" i="1"/>
  <c r="K98" i="1"/>
  <c r="L99" i="1"/>
  <c r="K99" i="1"/>
  <c r="L100" i="1"/>
  <c r="K100" i="1"/>
  <c r="L101" i="1"/>
  <c r="K101" i="1"/>
  <c r="L102" i="1"/>
  <c r="K102" i="1"/>
  <c r="L103" i="1"/>
  <c r="K103" i="1"/>
  <c r="L104" i="1"/>
  <c r="K104" i="1"/>
  <c r="L105" i="1"/>
  <c r="K105" i="1"/>
  <c r="L106" i="1"/>
  <c r="K106" i="1"/>
  <c r="L107" i="1"/>
  <c r="K107" i="1"/>
  <c r="L108" i="1"/>
  <c r="K108" i="1"/>
  <c r="L109" i="1"/>
  <c r="K109" i="1"/>
  <c r="L110" i="1"/>
  <c r="K110" i="1"/>
  <c r="L111" i="1"/>
  <c r="K111" i="1"/>
  <c r="L112" i="1"/>
  <c r="K112" i="1"/>
  <c r="L113" i="1"/>
  <c r="K113" i="1"/>
  <c r="K114" i="1"/>
  <c r="L114" i="1"/>
  <c r="L115" i="1"/>
  <c r="K115" i="1"/>
  <c r="L116" i="1"/>
  <c r="K116" i="1"/>
  <c r="L117" i="1"/>
  <c r="K117" i="1"/>
  <c r="L118" i="1"/>
  <c r="K118" i="1"/>
  <c r="L119" i="1"/>
  <c r="K119" i="1"/>
  <c r="L120" i="1"/>
  <c r="K120" i="1"/>
  <c r="L121" i="1"/>
  <c r="K121" i="1"/>
  <c r="L122" i="1"/>
  <c r="K122" i="1"/>
  <c r="L123" i="1"/>
  <c r="K123" i="1"/>
  <c r="K124" i="1"/>
  <c r="L124" i="1"/>
  <c r="K125" i="1"/>
  <c r="L125" i="1"/>
  <c r="K126" i="1"/>
  <c r="L126" i="1"/>
  <c r="L127" i="1"/>
  <c r="K127" i="1"/>
  <c r="K128" i="1"/>
  <c r="L128" i="1"/>
  <c r="K129" i="1"/>
  <c r="L129" i="1"/>
  <c r="K130" i="1"/>
  <c r="L130" i="1"/>
  <c r="K131" i="1"/>
  <c r="L131" i="1"/>
  <c r="L132" i="1"/>
  <c r="K132" i="1"/>
  <c r="L133" i="1"/>
  <c r="K133" i="1"/>
  <c r="L134" i="1"/>
  <c r="K134" i="1"/>
  <c r="L135" i="1"/>
  <c r="K135" i="1"/>
  <c r="L136" i="1"/>
  <c r="K136" i="1"/>
  <c r="L137" i="1"/>
  <c r="K137" i="1"/>
  <c r="L138" i="1"/>
  <c r="K138" i="1"/>
  <c r="L139" i="1"/>
  <c r="K139" i="1"/>
  <c r="L140" i="1"/>
  <c r="K140" i="1"/>
  <c r="L141" i="1"/>
  <c r="K141" i="1"/>
  <c r="L142" i="1"/>
  <c r="K142" i="1"/>
  <c r="L143" i="1"/>
  <c r="K143" i="1"/>
  <c r="L144" i="1"/>
  <c r="K144" i="1"/>
  <c r="L145" i="1"/>
  <c r="K145" i="1"/>
  <c r="L146" i="1"/>
  <c r="K146" i="1"/>
  <c r="L147" i="1"/>
  <c r="K147" i="1"/>
  <c r="L148" i="1"/>
  <c r="K148" i="1"/>
  <c r="L149" i="1"/>
  <c r="K149" i="1"/>
  <c r="L150" i="1"/>
  <c r="K150" i="1"/>
  <c r="L151" i="1"/>
  <c r="K1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670A82-B15C-449F-9314-E503B3CA785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C42C6B8-F8FB-482B-8910-FB04597A0B3B}" name="WorksheetConnection_Excel_Advance.xlsx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Excel_Advance.xlsxCustomer1"/>
        </x15:connection>
      </ext>
    </extLst>
  </connection>
  <connection id="3" xr16:uid="{202986A9-44D6-42F1-860B-0C503D6C60F3}" name="WorksheetConnection_Excel_Advance.xlsx!orders" type="102" refreshedVersion="8" minRefreshableVersion="5">
    <extLst>
      <ext xmlns:x15="http://schemas.microsoft.com/office/spreadsheetml/2010/11/main" uri="{DE250136-89BD-433C-8126-D09CA5730AF9}">
        <x15:connection id="orders" autoDelete="1">
          <x15:rangePr sourceName="_xlcn.WorksheetConnection_Excel_Advance.xlsxorders1"/>
        </x15:connection>
      </ext>
    </extLst>
  </connection>
</connections>
</file>

<file path=xl/sharedStrings.xml><?xml version="1.0" encoding="utf-8"?>
<sst xmlns="http://schemas.openxmlformats.org/spreadsheetml/2006/main" count="988" uniqueCount="384">
  <si>
    <t>ORD10001</t>
  </si>
  <si>
    <t>CUST1094</t>
  </si>
  <si>
    <t>Furniture</t>
  </si>
  <si>
    <t>ORD10002</t>
  </si>
  <si>
    <t>CUST1004</t>
  </si>
  <si>
    <t>ORD10003</t>
  </si>
  <si>
    <t>CUST1025</t>
  </si>
  <si>
    <t>Technology</t>
  </si>
  <si>
    <t>ORD10004</t>
  </si>
  <si>
    <t>CUST1035</t>
  </si>
  <si>
    <t>ORD10005</t>
  </si>
  <si>
    <t>CUST1097</t>
  </si>
  <si>
    <t>Office Supplies</t>
  </si>
  <si>
    <t>ORD10006</t>
  </si>
  <si>
    <t>CUST1077</t>
  </si>
  <si>
    <t>ORD10007</t>
  </si>
  <si>
    <t>CUST1048</t>
  </si>
  <si>
    <t>ORD10008</t>
  </si>
  <si>
    <t>CUST1090</t>
  </si>
  <si>
    <t>ORD10009</t>
  </si>
  <si>
    <t>CUST1012</t>
  </si>
  <si>
    <t>ORD10010</t>
  </si>
  <si>
    <t>CUST1026</t>
  </si>
  <si>
    <t>ORD10011</t>
  </si>
  <si>
    <t>CUST1068</t>
  </si>
  <si>
    <t>ORD10012</t>
  </si>
  <si>
    <t>CUST1081</t>
  </si>
  <si>
    <t>ORD10013</t>
  </si>
  <si>
    <t>ORD10014</t>
  </si>
  <si>
    <t>CUST1040</t>
  </si>
  <si>
    <t>ORD10015</t>
  </si>
  <si>
    <t>CUST1031</t>
  </si>
  <si>
    <t>ORD10016</t>
  </si>
  <si>
    <t>CUST1051</t>
  </si>
  <si>
    <t>ORD10017</t>
  </si>
  <si>
    <t>CUST1096</t>
  </si>
  <si>
    <t>ORD10018</t>
  </si>
  <si>
    <t>CUST1008</t>
  </si>
  <si>
    <t>ORD10019</t>
  </si>
  <si>
    <t>CUST1070</t>
  </si>
  <si>
    <t>ORD10020</t>
  </si>
  <si>
    <t>CUST1043</t>
  </si>
  <si>
    <t>ORD10021</t>
  </si>
  <si>
    <t>CUST1092</t>
  </si>
  <si>
    <t>ORD10022</t>
  </si>
  <si>
    <t>CUST1038</t>
  </si>
  <si>
    <t>ORD10023</t>
  </si>
  <si>
    <t>CUST1069</t>
  </si>
  <si>
    <t>ORD10024</t>
  </si>
  <si>
    <t>CUST1046</t>
  </si>
  <si>
    <t>ORD10025</t>
  </si>
  <si>
    <t>CUST1062</t>
  </si>
  <si>
    <t>ORD10026</t>
  </si>
  <si>
    <t>ORD10027</t>
  </si>
  <si>
    <t>ORD10028</t>
  </si>
  <si>
    <t>CUST1083</t>
  </si>
  <si>
    <t>ORD10029</t>
  </si>
  <si>
    <t>ORD10030</t>
  </si>
  <si>
    <t>CUST1009</t>
  </si>
  <si>
    <t>ORD10031</t>
  </si>
  <si>
    <t>ORD10032</t>
  </si>
  <si>
    <t>ORD10033</t>
  </si>
  <si>
    <t>ORD10034</t>
  </si>
  <si>
    <t>CUST1006</t>
  </si>
  <si>
    <t>ORD10035</t>
  </si>
  <si>
    <t>ORD10036</t>
  </si>
  <si>
    <t>CUST1023</t>
  </si>
  <si>
    <t>ORD10037</t>
  </si>
  <si>
    <t>ORD10038</t>
  </si>
  <si>
    <t>ORD10039</t>
  </si>
  <si>
    <t>CUST1007</t>
  </si>
  <si>
    <t>ORD10040</t>
  </si>
  <si>
    <t>CUST1058</t>
  </si>
  <si>
    <t>ORD10041</t>
  </si>
  <si>
    <t>CUST1019</t>
  </si>
  <si>
    <t>ORD10042</t>
  </si>
  <si>
    <t>ORD10043</t>
  </si>
  <si>
    <t>CUST1067</t>
  </si>
  <si>
    <t>ORD10044</t>
  </si>
  <si>
    <t>ORD10045</t>
  </si>
  <si>
    <t>CUST1005</t>
  </si>
  <si>
    <t>ORD10046</t>
  </si>
  <si>
    <t>CUST1033</t>
  </si>
  <si>
    <t>ORD10047</t>
  </si>
  <si>
    <t>CUST1085</t>
  </si>
  <si>
    <t>ORD10048</t>
  </si>
  <si>
    <t>CUST1072</t>
  </si>
  <si>
    <t>ORD10049</t>
  </si>
  <si>
    <t>CUST1044</t>
  </si>
  <si>
    <t>ORD10050</t>
  </si>
  <si>
    <t>ORD10051</t>
  </si>
  <si>
    <t>ORD10052</t>
  </si>
  <si>
    <t>CUST1013</t>
  </si>
  <si>
    <t>ORD10053</t>
  </si>
  <si>
    <t>ORD10054</t>
  </si>
  <si>
    <t>ORD10055</t>
  </si>
  <si>
    <t>CUST1098</t>
  </si>
  <si>
    <t>ORD10056</t>
  </si>
  <si>
    <t>ORD10057</t>
  </si>
  <si>
    <t>ORD10058</t>
  </si>
  <si>
    <t>CUST1039</t>
  </si>
  <si>
    <t>ORD10059</t>
  </si>
  <si>
    <t>ORD10060</t>
  </si>
  <si>
    <t>CUST1030</t>
  </si>
  <si>
    <t>ORD10061</t>
  </si>
  <si>
    <t>CUST1042</t>
  </si>
  <si>
    <t>ORD10062</t>
  </si>
  <si>
    <t>CUST1089</t>
  </si>
  <si>
    <t>ORD10063</t>
  </si>
  <si>
    <t>ORD10064</t>
  </si>
  <si>
    <t>CUST1024</t>
  </si>
  <si>
    <t>ORD10065</t>
  </si>
  <si>
    <t>CUST1065</t>
  </si>
  <si>
    <t>ORD10066</t>
  </si>
  <si>
    <t>CUST1014</t>
  </si>
  <si>
    <t>ORD10067</t>
  </si>
  <si>
    <t>CUST1055</t>
  </si>
  <si>
    <t>ORD10068</t>
  </si>
  <si>
    <t>CUST1073</t>
  </si>
  <si>
    <t>ORD10069</t>
  </si>
  <si>
    <t>ORD10070</t>
  </si>
  <si>
    <t>ORD10071</t>
  </si>
  <si>
    <t>CUST1064</t>
  </si>
  <si>
    <t>ORD10072</t>
  </si>
  <si>
    <t>CUST1016</t>
  </si>
  <si>
    <t>ORD10073</t>
  </si>
  <si>
    <t>CUST1022</t>
  </si>
  <si>
    <t>ORD10074</t>
  </si>
  <si>
    <t>ORD10075</t>
  </si>
  <si>
    <t>CUST1086</t>
  </si>
  <si>
    <t>ORD10076</t>
  </si>
  <si>
    <t>ORD10077</t>
  </si>
  <si>
    <t>CUST1028</t>
  </si>
  <si>
    <t>ORD10078</t>
  </si>
  <si>
    <t>ORD10079</t>
  </si>
  <si>
    <t>CUST1049</t>
  </si>
  <si>
    <t>ORD10080</t>
  </si>
  <si>
    <t>ORD10081</t>
  </si>
  <si>
    <t>CUST1015</t>
  </si>
  <si>
    <t>ORD10082</t>
  </si>
  <si>
    <t>ORD10083</t>
  </si>
  <si>
    <t>ORD10084</t>
  </si>
  <si>
    <t>ORD10085</t>
  </si>
  <si>
    <t>ORD10086</t>
  </si>
  <si>
    <t>ORD10087</t>
  </si>
  <si>
    <t>CUST1027</t>
  </si>
  <si>
    <t>ORD10088</t>
  </si>
  <si>
    <t>ORD10089</t>
  </si>
  <si>
    <t>ORD10090</t>
  </si>
  <si>
    <t>CUST1053</t>
  </si>
  <si>
    <t>ORD10091</t>
  </si>
  <si>
    <t>ORD10092</t>
  </si>
  <si>
    <t>CUST1059</t>
  </si>
  <si>
    <t>ORD10093</t>
  </si>
  <si>
    <t>CUST1003</t>
  </si>
  <si>
    <t>ORD10094</t>
  </si>
  <si>
    <t>ORD10095</t>
  </si>
  <si>
    <t>ORD10096</t>
  </si>
  <si>
    <t>ORD10097</t>
  </si>
  <si>
    <t>ORD10098</t>
  </si>
  <si>
    <t>ORD10099</t>
  </si>
  <si>
    <t>CUST1095</t>
  </si>
  <si>
    <t>ORD10100</t>
  </si>
  <si>
    <t>ORD10101</t>
  </si>
  <si>
    <t>ORD10102</t>
  </si>
  <si>
    <t>ORD10103</t>
  </si>
  <si>
    <t>CUST1054</t>
  </si>
  <si>
    <t>ORD10104</t>
  </si>
  <si>
    <t>ORD10105</t>
  </si>
  <si>
    <t>ORD10106</t>
  </si>
  <si>
    <t>ORD10107</t>
  </si>
  <si>
    <t>ORD10108</t>
  </si>
  <si>
    <t>ORD10109</t>
  </si>
  <si>
    <t>CUST1045</t>
  </si>
  <si>
    <t>ORD10110</t>
  </si>
  <si>
    <t>CUST1071</t>
  </si>
  <si>
    <t>ORD10111</t>
  </si>
  <si>
    <t>ORD10112</t>
  </si>
  <si>
    <t>CUST1011</t>
  </si>
  <si>
    <t>ORD10113</t>
  </si>
  <si>
    <t>CUST1047</t>
  </si>
  <si>
    <t>ORD10114</t>
  </si>
  <si>
    <t>ORD10115</t>
  </si>
  <si>
    <t>ORD10116</t>
  </si>
  <si>
    <t>CUST1061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</si>
  <si>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</si>
  <si>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</si>
  <si>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</si>
  <si>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</si>
  <si>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</si>
  <si>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</si>
  <si>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</si>
  <si>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</si>
  <si>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</si>
  <si>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CUST1079</t>
  </si>
  <si>
    <t>ORD10126</t>
  </si>
  <si>
    <t>ORD10127</t>
  </si>
  <si>
    <t>CUST1000</t>
  </si>
  <si>
    <t>ORD10128</t>
  </si>
  <si>
    <t>CUST1036</t>
  </si>
  <si>
    <t>ORD10129</t>
  </si>
  <si>
    <t>ORD10130</t>
  </si>
  <si>
    <t>ORD10131</t>
  </si>
  <si>
    <t>ORD10132</t>
  </si>
  <si>
    <t>ORD10133</t>
  </si>
  <si>
    <t>CUST1010</t>
  </si>
  <si>
    <t>ORD10134</t>
  </si>
  <si>
    <t>ORD10135</t>
  </si>
  <si>
    <t>ORD10136</t>
  </si>
  <si>
    <t>CUST1056</t>
  </si>
  <si>
    <t>ORD10137</t>
  </si>
  <si>
    <t>ORD10138</t>
  </si>
  <si>
    <t>CUST1020</t>
  </si>
  <si>
    <t>ORD10139</t>
  </si>
  <si>
    <t>ORD10140</t>
  </si>
  <si>
    <t>ORD10141</t>
  </si>
  <si>
    <t>ORD10142</t>
  </si>
  <si>
    <t>CUST1080</t>
  </si>
  <si>
    <t>ORD10143</t>
  </si>
  <si>
    <t>ORD10144</t>
  </si>
  <si>
    <t>ORD10145</t>
  </si>
  <si>
    <t>ORD10146</t>
  </si>
  <si>
    <t>CUST1037</t>
  </si>
  <si>
    <t>ORD10147</t>
  </si>
  <si>
    <t>ORD10148</t>
  </si>
  <si>
    <t>CUST1017</t>
  </si>
  <si>
    <t>ORD10149</t>
  </si>
  <si>
    <t>ORD10150</t>
  </si>
  <si>
    <t>CUST1084</t>
  </si>
  <si>
    <t>Customer ID</t>
  </si>
  <si>
    <t>Customer Name</t>
  </si>
  <si>
    <t>Region</t>
  </si>
  <si>
    <t>Segment</t>
  </si>
  <si>
    <t>Ishita Patel</t>
  </si>
  <si>
    <t>West</t>
  </si>
  <si>
    <t>Home Office</t>
  </si>
  <si>
    <t>CUST1001</t>
  </si>
  <si>
    <t>Vivaan Verma</t>
  </si>
  <si>
    <t>North</t>
  </si>
  <si>
    <t>Corporate</t>
  </si>
  <si>
    <t>CUST1002</t>
  </si>
  <si>
    <t>Vihaan Sharma</t>
  </si>
  <si>
    <t>South</t>
  </si>
  <si>
    <t>Consumer</t>
  </si>
  <si>
    <t>Aditya Joshi</t>
  </si>
  <si>
    <t>Rahul Verma</t>
  </si>
  <si>
    <t>Vihaan Verma</t>
  </si>
  <si>
    <t>Rahul Sharma</t>
  </si>
  <si>
    <t>Diya Patel</t>
  </si>
  <si>
    <t>Sneha Yadav</t>
  </si>
  <si>
    <t>Vihaan Patlan</t>
  </si>
  <si>
    <t>Anjali Yadav</t>
  </si>
  <si>
    <t>Vivaan Patlan</t>
  </si>
  <si>
    <t>Saanvi Joshi</t>
  </si>
  <si>
    <t>East</t>
  </si>
  <si>
    <t>Vihaan Kumar</t>
  </si>
  <si>
    <t>Rahul Patel</t>
  </si>
  <si>
    <t>Vihaan Gupta</t>
  </si>
  <si>
    <t>Meera Gupta</t>
  </si>
  <si>
    <t>CUST1018</t>
  </si>
  <si>
    <t>Rohan Joshi</t>
  </si>
  <si>
    <t>Priya Kumar</t>
  </si>
  <si>
    <t>Aditya Yadav</t>
  </si>
  <si>
    <t>CUST1021</t>
  </si>
  <si>
    <t>Arjun Patlan</t>
  </si>
  <si>
    <t>Meera Verma</t>
  </si>
  <si>
    <t>Aisha Verma</t>
  </si>
  <si>
    <t>Sneha Patlan</t>
  </si>
  <si>
    <t>Kabir Mehta</t>
  </si>
  <si>
    <t>Arjun Patel</t>
  </si>
  <si>
    <t>Vivaan Singh</t>
  </si>
  <si>
    <t>Rahul Joshi</t>
  </si>
  <si>
    <t>CUST1029</t>
  </si>
  <si>
    <t>Aditya Patel</t>
  </si>
  <si>
    <t>Saanvi Gupta</t>
  </si>
  <si>
    <t>CUST1032</t>
  </si>
  <si>
    <t>Kabir Singh</t>
  </si>
  <si>
    <t>Riya Patel</t>
  </si>
  <si>
    <t>CUST1034</t>
  </si>
  <si>
    <t>Riya Gupta</t>
  </si>
  <si>
    <t>Priya Joshi</t>
  </si>
  <si>
    <t>Vihaan Mehta</t>
  </si>
  <si>
    <t>Rohan Patlan</t>
  </si>
  <si>
    <t>Kabir Verma</t>
  </si>
  <si>
    <t>CUST1041</t>
  </si>
  <si>
    <t>Kabir Sharma</t>
  </si>
  <si>
    <t>Neha Kumar</t>
  </si>
  <si>
    <t>Ishita Patlan</t>
  </si>
  <si>
    <t>Aarav Patlan</t>
  </si>
  <si>
    <t>Anjali Mehta</t>
  </si>
  <si>
    <t>Neha Patlan</t>
  </si>
  <si>
    <t>Karan Mehta</t>
  </si>
  <si>
    <t>Anjali Verma</t>
  </si>
  <si>
    <t>Aisha Kumar</t>
  </si>
  <si>
    <t>CUST1050</t>
  </si>
  <si>
    <t>Priya Verma</t>
  </si>
  <si>
    <t>Karan Kumar</t>
  </si>
  <si>
    <t>CUST1052</t>
  </si>
  <si>
    <t>Aarav Singh</t>
  </si>
  <si>
    <t>Saanvi Sharma</t>
  </si>
  <si>
    <t>Aditya Gupta</t>
  </si>
  <si>
    <t>Arjun Singh</t>
  </si>
  <si>
    <t>Rahul Patlan</t>
  </si>
  <si>
    <t>CUST1057</t>
  </si>
  <si>
    <t>Aisha Mehta</t>
  </si>
  <si>
    <t>CUST1060</t>
  </si>
  <si>
    <t>Ananya Mehta</t>
  </si>
  <si>
    <t>Arjun Mehta</t>
  </si>
  <si>
    <t>Anjali Singh</t>
  </si>
  <si>
    <t>CUST1063</t>
  </si>
  <si>
    <t>Ishita Singh</t>
  </si>
  <si>
    <t>Ananya Sharma</t>
  </si>
  <si>
    <t>Arjun Verma</t>
  </si>
  <si>
    <t>CUST1066</t>
  </si>
  <si>
    <t>Ishita Verma</t>
  </si>
  <si>
    <t>Priya Sharma</t>
  </si>
  <si>
    <t>Meera Patel</t>
  </si>
  <si>
    <t>Aarav Verma</t>
  </si>
  <si>
    <t>Neha Singh</t>
  </si>
  <si>
    <t>CUST1074</t>
  </si>
  <si>
    <t>Neha Gupta</t>
  </si>
  <si>
    <t>CUST1075</t>
  </si>
  <si>
    <t>Ishita Gupta</t>
  </si>
  <si>
    <t>CUST1076</t>
  </si>
  <si>
    <t>Vivaan Mehta</t>
  </si>
  <si>
    <t>Vihaan Yadav</t>
  </si>
  <si>
    <t>CUST1078</t>
  </si>
  <si>
    <t>Priya Yadav</t>
  </si>
  <si>
    <t>Rohan Sharma</t>
  </si>
  <si>
    <t>CUST1082</t>
  </si>
  <si>
    <t>Karan Sharma</t>
  </si>
  <si>
    <t>Meera Yadav</t>
  </si>
  <si>
    <t>Meera Mehta</t>
  </si>
  <si>
    <t>CUST1087</t>
  </si>
  <si>
    <t>CUST1088</t>
  </si>
  <si>
    <t>Rahul Yadav</t>
  </si>
  <si>
    <t>Anjali Joshi</t>
  </si>
  <si>
    <t>CUST1091</t>
  </si>
  <si>
    <t>Aditya Singh</t>
  </si>
  <si>
    <t>CUST1093</t>
  </si>
  <si>
    <t>Meera Singh</t>
  </si>
  <si>
    <t>Aisha Patel</t>
  </si>
  <si>
    <t>Diya Yadav</t>
  </si>
  <si>
    <t>Diya Singh</t>
  </si>
  <si>
    <t>Aditya Mehta</t>
  </si>
  <si>
    <t>CUST1099</t>
  </si>
  <si>
    <t>Saanvi Kumar</t>
  </si>
  <si>
    <t>OrderId</t>
  </si>
  <si>
    <t>OrderDate</t>
  </si>
  <si>
    <t>CustomerID</t>
  </si>
  <si>
    <t>Product Category</t>
  </si>
  <si>
    <t>Sales</t>
  </si>
  <si>
    <t>Quantity</t>
  </si>
  <si>
    <t>Discount</t>
  </si>
  <si>
    <t>Profit</t>
  </si>
  <si>
    <t>Month</t>
  </si>
  <si>
    <t>Previous_Month_Sales</t>
  </si>
  <si>
    <t>Sales Variance</t>
  </si>
  <si>
    <t>Growth</t>
  </si>
  <si>
    <t>Business Classification</t>
  </si>
  <si>
    <t>Profit Margin</t>
  </si>
  <si>
    <t>Row Labels</t>
  </si>
  <si>
    <t>Grand Total</t>
  </si>
  <si>
    <t>Sum of Growth</t>
  </si>
  <si>
    <t>Column Labels</t>
  </si>
  <si>
    <t>High Sales</t>
  </si>
  <si>
    <t>Low Sales</t>
  </si>
  <si>
    <t>Sum of Profit Margin</t>
  </si>
  <si>
    <t>Sum of Previous_Month_Sales</t>
  </si>
  <si>
    <t>Sum of Sales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</si>
  <si>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</si>
  <si>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</si>
  <si>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</si>
  <si>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</si>
  <si>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</si>
  <si>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</si>
  <si>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</si>
  <si>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</si>
  <si>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</si>
  <si>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</si>
  <si>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</si>
  <si>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</si>
  <si>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Sum of Profit</t>
  </si>
  <si>
    <t>Count of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</si>
</sst>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8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2" borderId="1" xfId="0" applyNumberFormat="1" applyFill="1" applyBorder="1"/>
    <xf numFmtId="14" fontId="0" fillId="2" borderId="2" xfId="0" applyNumberFormat="1" applyFill="1" applyBorder="1"/>
    <xf numFmtId="2" fontId="0" fillId="2" borderId="2" xfId="0" applyNumberFormat="1" applyFill="1" applyBorder="1"/>
    <xf numFmtId="0" fontId="0" fillId="2" borderId="2" xfId="0" applyFill="1" applyBorder="1"/>
    <xf numFmtId="2" fontId="0" fillId="2" borderId="3" xfId="0" applyNumberFormat="1" applyFill="1" applyBorder="1"/>
    <xf numFmtId="2" fontId="0" fillId="0" borderId="1" xfId="0" applyNumberFormat="1" applyBorder="1"/>
    <xf numFmtId="14" fontId="0" fillId="0" borderId="2" xfId="0" applyNumberFormat="1" applyBorder="1"/>
    <xf numFmtId="2" fontId="0" fillId="0" borderId="2" xfId="0" applyNumberFormat="1" applyBorder="1"/>
    <xf numFmtId="0" fontId="0" fillId="0" borderId="2" xfId="0" applyBorder="1"/>
    <xf numFmtId="2" fontId="0" fillId="0" borderId="3" xfId="0" applyNumberFormat="1" applyBorder="1"/>
    <xf numFmtId="2" fontId="0" fillId="0" borderId="5" xfId="0" applyNumberFormat="1" applyBorder="1"/>
    <xf numFmtId="14" fontId="0" fillId="0" borderId="5" xfId="0" applyNumberFormat="1" applyBorder="1"/>
    <xf numFmtId="0" fontId="0" fillId="0" borderId="5" xfId="0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2" formatCode="0.00"/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bottom style="thin">
          <color theme="6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[Excel_Advance.xlsx]Analysis!PivotTable1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Growth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Analysis!$C$4:$C$7</c:f>
              <c:numCache>
                <c:formatCode>General</c:formatCode>
                <c:ptCount val="3"/>
                <c:pt idx="0">
                  <c:v>90.838781223850972</c:v>
                </c:pt>
                <c:pt idx="1">
                  <c:v>56.359446432906239</c:v>
                </c:pt>
                <c:pt idx="2">
                  <c:v>41.038367670065298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B-4D1B-B7C0-998CFD86D821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Analysis!$D$4:$D$7</c:f>
              <c:numCache>
                <c:formatCode>General</c:formatCode>
                <c:ptCount val="3"/>
                <c:pt idx="0">
                  <c:v>7.3262295314529444</c:v>
                </c:pt>
                <c:pt idx="1">
                  <c:v>7.5090054116408327</c:v>
                </c:pt>
                <c:pt idx="2">
                  <c:v>6.8780240712501763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2B-4D1B-B7C0-998CFD86D8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6435775"/>
        <c:axId val="86462175"/>
      </c:barChart>
      <c:catAx>
        <c:axId val="8643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62175"/>
        <c:crosses val="autoZero"/>
        <c:auto val="1"/>
        <c:lblAlgn val="ctr"/>
        <c:lblOffset val="100"/>
        <c:noMultiLvlLbl val="0"/>
      </c:catAx>
      <c:valAx>
        <c:axId val="8646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[Excel_Advance.xlsx]Analysis!PivotTable2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Analysis!$I$3:$I$4</c:f>
              <c:strCache>
                <c:ptCount val="1"/>
                <c:pt idx="0">
                  <c:v>High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Analysis!$I$5</c:f>
              <c:numCache>
                <c:formatCode>General</c:formatCode>
                <c:ptCount val="1"/>
                <c:pt idx="0">
                  <c:v>11.430544388263701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2-4ED6-8BE4-E0EE802F02AE}"/>
            </c:ext>
          </c:extLst>
        </c:ser>
        <c:ser>
          <c:idx val="1"/>
          <c:order val="1"/>
          <c:tx>
            <c:strRef>
              <c:f>Analysis!$J$3:$J$4</c:f>
              <c:strCache>
                <c:ptCount val="1"/>
                <c:pt idx="0">
                  <c:v>Low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Analysis!$H$5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Analysis!$J$5</c:f>
              <c:numCache>
                <c:formatCode>General</c:formatCode>
                <c:ptCount val="1"/>
                <c:pt idx="0">
                  <c:v>10.282714626080256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2-4ED6-8BE4-E0EE802F0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41535"/>
        <c:axId val="86442975"/>
      </c:barChart>
      <c:catAx>
        <c:axId val="8644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2975"/>
        <c:crosses val="autoZero"/>
        <c:auto val="1"/>
        <c:lblAlgn val="ctr"/>
        <c:lblOffset val="100"/>
        <c:noMultiLvlLbl val="0"/>
      </c:catAx>
      <c:valAx>
        <c:axId val="864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[Excel_Advance.xlsx]Analysis!PivotTable3</c:name>
    <c:fmtId val="4"/>
  </c:pivotSource>
  <c:chart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Analysis!$C$23</c:f>
              <c:strCache>
                <c:ptCount val="1"/>
                <c:pt idx="0">
                  <c:v>Sum of Previous_Month_Sales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Analysis!$B$24:$B$36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Analysis!$C$24:$C$36</c:f>
              <c:numCache>
                <c:formatCode>General</c:formatCode>
                <c:ptCount val="12"/>
                <c:pt idx="0">
                  <c:v>8237.48</c:v>
                </c:pt>
                <c:pt idx="1">
                  <c:v>9672.07</c:v>
                </c:pt>
                <c:pt idx="2">
                  <c:v>14287.47</c:v>
                </c:pt>
                <c:pt idx="3">
                  <c:v>12795.94</c:v>
                </c:pt>
                <c:pt idx="4">
                  <c:v>14391.11</c:v>
                </c:pt>
                <c:pt idx="5">
                  <c:v>11700.21</c:v>
                </c:pt>
                <c:pt idx="6">
                  <c:v>14272.82</c:v>
                </c:pt>
                <c:pt idx="7">
                  <c:v>11890.51</c:v>
                </c:pt>
                <c:pt idx="8">
                  <c:v>22042.1</c:v>
                </c:pt>
                <c:pt idx="9">
                  <c:v>12058.34</c:v>
                </c:pt>
                <c:pt idx="10">
                  <c:v>18753.46</c:v>
                </c:pt>
                <c:pt idx="11">
                  <c:v>7715.22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3-4AC6-B054-2EDEB7D455FE}"/>
            </c:ext>
          </c:extLst>
        </c:ser>
        <c:ser>
          <c:idx val="1"/>
          <c:order val="1"/>
          <c:tx>
            <c:strRef>
              <c:f>Analysis!$D$23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Analysis!$B$24:$B$36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Analysis!$D$24:$D$36</c:f>
              <c:numCache>
                <c:formatCode>General</c:formatCode>
                <c:ptCount val="12"/>
                <c:pt idx="0">
                  <c:v>8664.44</c:v>
                </c:pt>
                <c:pt idx="1">
                  <c:v>15421.19</c:v>
                </c:pt>
                <c:pt idx="2">
                  <c:v>17482.330000000002</c:v>
                </c:pt>
                <c:pt idx="3">
                  <c:v>8002.19</c:v>
                </c:pt>
                <c:pt idx="4">
                  <c:v>16217.89</c:v>
                </c:pt>
                <c:pt idx="5">
                  <c:v>11807.52</c:v>
                </c:pt>
                <c:pt idx="6">
                  <c:v>8277.94</c:v>
                </c:pt>
                <c:pt idx="7">
                  <c:v>11951.34</c:v>
                </c:pt>
                <c:pt idx="8">
                  <c:v>16323.23</c:v>
                </c:pt>
                <c:pt idx="9">
                  <c:v>15411.95</c:v>
                </c:pt>
                <c:pt idx="10">
                  <c:v>17623.32</c:v>
                </c:pt>
                <c:pt idx="11">
                  <c:v>11213.41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3-4AC6-B054-2EDEB7D4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03615"/>
        <c:axId val="86412735"/>
      </c:lineChart>
      <c:catAx>
        <c:axId val="8640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12735"/>
        <c:crosses val="autoZero"/>
        <c:auto val="1"/>
        <c:lblAlgn val="ctr"/>
        <c:lblOffset val="100"/>
        <c:noMultiLvlLbl val="0"/>
      </c:catAx>
      <c:valAx>
        <c:axId val="864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[Excel_Advance.xlsx]Analysis!PivotTable5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Analysis!$Q$4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Analysis!$P$5:$P$17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Analysis!$Q$5:$Q$17</c:f>
              <c:numCache>
                <c:formatCode>General</c:formatCode>
                <c:ptCount val="12"/>
                <c:pt idx="0">
                  <c:v>0.79610376523686177</c:v>
                </c:pt>
                <c:pt idx="1">
                  <c:v>89.566503060282486</c:v>
                </c:pt>
                <c:pt idx="2">
                  <c:v>15.327802965998803</c:v>
                </c:pt>
                <c:pt idx="3">
                  <c:v>-1.8175572130149766</c:v>
                </c:pt>
                <c:pt idx="4">
                  <c:v>23.628446645865772</c:v>
                </c:pt>
                <c:pt idx="5">
                  <c:v>30.769373861969818</c:v>
                </c:pt>
                <c:pt idx="6">
                  <c:v>4.4503660481937253</c:v>
                </c:pt>
                <c:pt idx="7">
                  <c:v>1.5686557210606757</c:v>
                </c:pt>
                <c:pt idx="8">
                  <c:v>1.1197331764988303</c:v>
                </c:pt>
                <c:pt idx="9">
                  <c:v>6.8362318126773491</c:v>
                </c:pt>
                <c:pt idx="10">
                  <c:v>1.5140910448595908</c:v>
                </c:pt>
                <c:pt idx="11">
                  <c:v>14.476844437193551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6-472B-A354-D2FD68822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560095"/>
        <c:axId val="711561535"/>
      </c:lineChart>
      <c:catAx>
        <c:axId val="7115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61535"/>
        <c:crosses val="autoZero"/>
        <c:auto val="1"/>
        <c:lblAlgn val="ctr"/>
        <c:lblOffset val="100"/>
        <c:noMultiLvlLbl val="0"/>
      </c:catAx>
      <c:valAx>
        <c:axId val="7115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[Excel_Advance.xlsx]Analysis!PivotTable6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Analysis!$Q$24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Analysis!$P$25:$P$29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Analysis!$Q$25:$Q$29</c:f>
              <c:numCache>
                <c:formatCode>General</c:formatCode>
                <c:ptCount val="4"/>
                <c:pt idx="0">
                  <c:v>17</c:v>
                </c:pt>
                <c:pt idx="1">
                  <c:v>21</c:v>
                </c:pt>
                <c:pt idx="2">
                  <c:v>30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4-45E1-AF28-34C1EEC584C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[Excel_Advance.xlsx]Analysis!PivotTable7</c:name>
    <c:fmtId val="9"/>
  </c:pivotSource>
  <c:chart>
    <c:autoTitleDeleted val="0"/>
    <c:pivotFmts>
      <c:pivotFmt>
        <c:idx val="0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Analysis!$C$40:$C$41</c:f>
              <c:strCache>
                <c:ptCount val="1"/>
                <c:pt idx="0">
                  <c:v>Furniture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Analysis!$B$42:$B$54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Analysis!$C$42:$C$54</c:f>
              <c:numCache>
                <c:formatCode>General</c:formatCode>
                <c:ptCount val="12"/>
                <c:pt idx="0">
                  <c:v>195.59</c:v>
                </c:pt>
                <c:pt idx="1">
                  <c:v>399.39</c:v>
                </c:pt>
                <c:pt idx="2">
                  <c:v>1231.03</c:v>
                </c:pt>
                <c:pt idx="3">
                  <c:v>724.11</c:v>
                </c:pt>
                <c:pt idx="4">
                  <c:v>952.47</c:v>
                </c:pt>
                <c:pt idx="5">
                  <c:v>407.1</c:v>
                </c:pt>
                <c:pt idx="6">
                  <c:v>541.41</c:v>
                </c:pt>
                <c:pt idx="7">
                  <c:v>228.11</c:v>
                </c:pt>
                <c:pt idx="8">
                  <c:v>10.199999999999999</c:v>
                </c:pt>
                <c:pt idx="9">
                  <c:v>811</c:v>
                </c:pt>
                <c:pt idx="10">
                  <c:v>974.53</c:v>
                </c:pt>
                <c:pt idx="11">
                  <c:v>65.430000000000007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D-4829-BEE9-589E422827E1}"/>
            </c:ext>
          </c:extLst>
        </c:ser>
        <c:ser>
          <c:idx val="1"/>
          <c:order val="1"/>
          <c:tx>
            <c:strRef>
              <c:f>Analysis!$D$40:$D$41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Analysis!$B$42:$B$54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Analysis!$D$42:$D$54</c:f>
              <c:numCache>
                <c:formatCode>General</c:formatCode>
                <c:ptCount val="12"/>
                <c:pt idx="0">
                  <c:v>1035.67</c:v>
                </c:pt>
                <c:pt idx="1">
                  <c:v>857.26</c:v>
                </c:pt>
                <c:pt idx="2">
                  <c:v>693.34</c:v>
                </c:pt>
                <c:pt idx="3">
                  <c:v>101.87</c:v>
                </c:pt>
                <c:pt idx="4">
                  <c:v>1052.81</c:v>
                </c:pt>
                <c:pt idx="5">
                  <c:v>170.54</c:v>
                </c:pt>
                <c:pt idx="6">
                  <c:v>296.04000000000002</c:v>
                </c:pt>
                <c:pt idx="7">
                  <c:v>406.15</c:v>
                </c:pt>
                <c:pt idx="8">
                  <c:v>1861.76</c:v>
                </c:pt>
                <c:pt idx="9">
                  <c:v>957.56</c:v>
                </c:pt>
                <c:pt idx="10">
                  <c:v>472.07</c:v>
                </c:pt>
                <c:pt idx="11">
                  <c:v>645.52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5D-4829-BEE9-589E422827E1}"/>
            </c:ext>
          </c:extLst>
        </c:ser>
        <c:ser>
          <c:idx val="2"/>
          <c:order val="2"/>
          <c:tx>
            <c:strRef>
              <c:f>Analysis!$E$40:$E$41</c:f>
              <c:strCache>
                <c:ptCount val="1"/>
                <c:pt idx="0">
                  <c:v>Technology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Analysis!$B$42:$B$54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Analysis!$E$42:$E$54</c:f>
              <c:numCache>
                <c:formatCode>General</c:formatCode>
                <c:ptCount val="12"/>
                <c:pt idx="1">
                  <c:v>535.32000000000005</c:v>
                </c:pt>
                <c:pt idx="2">
                  <c:v>815.22</c:v>
                </c:pt>
                <c:pt idx="3">
                  <c:v>-19.04</c:v>
                </c:pt>
                <c:pt idx="4">
                  <c:v>234.91</c:v>
                </c:pt>
                <c:pt idx="5">
                  <c:v>488.38</c:v>
                </c:pt>
                <c:pt idx="6">
                  <c:v>77</c:v>
                </c:pt>
                <c:pt idx="7">
                  <c:v>1100.22</c:v>
                </c:pt>
                <c:pt idx="8">
                  <c:v>1363.97</c:v>
                </c:pt>
                <c:pt idx="9">
                  <c:v>699.52</c:v>
                </c:pt>
                <c:pt idx="10">
                  <c:v>824.04</c:v>
                </c:pt>
                <c:pt idx="11">
                  <c:v>1203.93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5D-4829-BEE9-589E4228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11519775"/>
        <c:axId val="711526975"/>
      </c:lineChart>
      <c:catAx>
        <c:axId val="71151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26975"/>
        <c:crosses val="autoZero"/>
        <c:auto val="1"/>
        <c:lblAlgn val="ctr"/>
        <c:lblOffset val="100"/>
        <c:noMultiLvlLbl val="0"/>
      </c:catAx>
      <c:valAx>
        <c:axId val="71152697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1977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451964</xdr:colOff>
      <xdr:row>8</xdr:row>
      <xdr:rowOff>79319</xdr:rowOff>
    </xdr:from>
    <xdr:to>
      <xdr:col>5</xdr:col>
      <xdr:colOff>232945</xdr:colOff>
      <xdr:row>20</xdr:row>
      <xdr:rowOff>15819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70922-8461-C6C2-E73A-08F0C5C5D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6</xdr:row>
      <xdr:rowOff>136525</xdr:rowOff>
    </xdr:from>
    <xdr:to>
      <xdr:col>11</xdr:col>
      <xdr:colOff>6350</xdr:colOff>
      <xdr:row>19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98259-4685-4C0E-3F9B-706B80FB5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220579</xdr:colOff>
      <xdr:row>22</xdr:row>
      <xdr:rowOff>4234</xdr:rowOff>
    </xdr:from>
    <xdr:to>
      <xdr:col>11</xdr:col>
      <xdr:colOff>33421</xdr:colOff>
      <xdr:row>36</xdr:row>
      <xdr:rowOff>44562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B91724-7F49-4566-E224-6F37980FD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127000</xdr:colOff>
      <xdr:row>2</xdr:row>
      <xdr:rowOff>179614</xdr:rowOff>
    </xdr:from>
    <xdr:to>
      <xdr:col>23</xdr:col>
      <xdr:colOff>444500</xdr:colOff>
      <xdr:row>16</xdr:row>
      <xdr:rowOff>172357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01FB26-E1CB-3B02-E751-84160D6AE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308918</xdr:colOff>
      <xdr:row>19</xdr:row>
      <xdr:rowOff>0</xdr:rowOff>
    </xdr:from>
    <xdr:to>
      <xdr:col>17</xdr:col>
      <xdr:colOff>514865</xdr:colOff>
      <xdr:row>22</xdr:row>
      <xdr:rowOff>102973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629A38C-2187-9BCE-A00C-A11010970EBB}"/>
            </a:ext>
          </a:extLst>
        </xdr:cNvPr>
        <xdr:cNvSpPr txBox="1"/>
      </xdr:nvSpPr>
      <xdr:spPr>
        <a:xfrm>
          <a:off x="15531756" y="3423851"/>
          <a:ext cx="1510271" cy="6435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GROWTH</a:t>
          </a:r>
          <a:r>
            <a:rPr lang="en-GB" sz="1100" baseline="0"/>
            <a:t> </a:t>
          </a:r>
        </a:p>
        <a:p>
          <a:r>
            <a:rPr lang="en-GB" sz="1600" b="1" baseline="0"/>
            <a:t>188%</a:t>
          </a:r>
          <a:endParaRPr lang="en-GB" sz="1600" b="1"/>
        </a:p>
      </xdr:txBody>
    </xdr:sp>
    <xdr:clientData/>
  </xdr:twoCellAnchor>
  <xdr:twoCellAnchor>
    <xdr:from>
      <xdr:col>14</xdr:col>
      <xdr:colOff>437636</xdr:colOff>
      <xdr:row>19</xdr:row>
      <xdr:rowOff>1</xdr:rowOff>
    </xdr:from>
    <xdr:to>
      <xdr:col>16</xdr:col>
      <xdr:colOff>154459</xdr:colOff>
      <xdr:row>22</xdr:row>
      <xdr:rowOff>94392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4E05E5-81C3-588B-3D7C-C95B3825239C}"/>
            </a:ext>
          </a:extLst>
        </xdr:cNvPr>
        <xdr:cNvSpPr txBox="1"/>
      </xdr:nvSpPr>
      <xdr:spPr>
        <a:xfrm>
          <a:off x="13927095" y="3423852"/>
          <a:ext cx="1450202" cy="634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PROFIT</a:t>
          </a:r>
          <a:r>
            <a:rPr lang="en-GB" sz="1100" baseline="0"/>
            <a:t> MARGIN</a:t>
          </a:r>
        </a:p>
        <a:p>
          <a:r>
            <a:rPr lang="en-GB" sz="1600" b="1" baseline="0"/>
            <a:t>21.71%</a:t>
          </a:r>
          <a:endParaRPr lang="en-GB" sz="1600" b="1"/>
        </a:p>
      </xdr:txBody>
    </xdr:sp>
    <xdr:clientData/>
  </xdr:twoCellAnchor>
  <xdr:twoCellAnchor>
    <xdr:from>
      <xdr:col>14</xdr:col>
      <xdr:colOff>437636</xdr:colOff>
      <xdr:row>23</xdr:row>
      <xdr:rowOff>154460</xdr:rowOff>
    </xdr:from>
    <xdr:to>
      <xdr:col>14</xdr:col>
      <xdr:colOff>483355</xdr:colOff>
      <xdr:row>24</xdr:row>
      <xdr:rowOff>19976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9D85B0-78DF-E79D-ABD5-17A4F6EC1BF4}"/>
            </a:ext>
          </a:extLst>
        </xdr:cNvPr>
        <xdr:cNvSpPr txBox="1"/>
      </xdr:nvSpPr>
      <xdr:spPr>
        <a:xfrm>
          <a:off x="13927095" y="4299122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14</xdr:col>
      <xdr:colOff>335521</xdr:colOff>
      <xdr:row>29</xdr:row>
      <xdr:rowOff>142961</xdr:rowOff>
    </xdr:from>
    <xdr:to>
      <xdr:col>17</xdr:col>
      <xdr:colOff>918176</xdr:colOff>
      <xdr:row>42</xdr:row>
      <xdr:rowOff>145878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6ADC95-C52E-F23B-BBE1-2C0214AB2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12700</xdr:colOff>
      <xdr:row>55</xdr:row>
      <xdr:rowOff>107735</xdr:rowOff>
    </xdr:from>
    <xdr:to>
      <xdr:col>10</xdr:col>
      <xdr:colOff>241300</xdr:colOff>
      <xdr:row>70</xdr:row>
      <xdr:rowOff>116582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A9D8BAA-2A03-4837-F001-21C0AA169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5.536084953703" backgroundQuery="1" createdVersion="8" refreshedVersion="8" minRefreshableVersion="3" recordCount="0" supportSubquery="1" supportAdvancedDrill="1" xr:uid="{33C881D6-7641-40A1-A6FE-BC9238D42045}">
  <cacheSource type="external" connectionId="1"/>
  <cacheFields count="2">
    <cacheField name="[Customer].[Region].[Region]" caption="Region" numFmtId="0" hierarchy="2" level="1">
      <sharedItems count="4">
        <s v="East"/>
        <s v="North"/>
        <s v="South"/>
        <s v="West"/>
      </sharedItems>
    </cacheField>
    <cacheField name="[Measures].[Count of Segment]" caption="Count of Segment" numFmtId="0" hierarchy="29" level="32767"/>
  </cacheFields>
  <cacheHierarchies count="31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orders].[Previous_Month_Sales]" caption="Previous_Month_Sales" attribute="1" defaultMemberUniqueName="[orders].[Previous_Month_Sales].[All]" allUniqueName="[orders].[Previous_Month_Sales].[All]" dimensionUniqueName="[orders]" displayFolder="" count="0" memberValueDatatype="5" unbalanced="0"/>
    <cacheHierarchy uniqueName="[orders].[Sales Variance]" caption="Sales Variance" attribute="1" defaultMemberUniqueName="[orders].[Sales Variance].[All]" allUniqueName="[orders].[Sales Variance].[All]" dimensionUniqueName="[orders]" displayFolder="" count="0" memberValueDatatype="5" unbalanced="0"/>
    <cacheHierarchy uniqueName="[orders].[Growth]" caption="Growth" attribute="1" defaultMemberUniqueName="[orders].[Growth].[All]" allUniqueName="[orders].[Growth].[All]" dimensionUniqueName="[orders]" displayFolder="" count="0" memberValueDatatype="5" unbalanced="0"/>
    <cacheHierarchy uniqueName="[orders].[Business Classification]" caption="Business Classification" attribute="1" defaultMemberUniqueName="[orders].[Business Classification].[All]" allUniqueName="[orders].[Business Classification].[All]" dimensionUniqueName="[orders]" displayFolder="" count="0" memberValueDatatype="130" unbalanced="0"/>
    <cacheHierarchy uniqueName="[orders].[Profit Margin]" caption="Profit Margin" attribute="1" defaultMemberUniqueName="[orders].[Profit Margin].[All]" allUniqueName="[orders].[Profit Margin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Growth]" caption="Sum of Growth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Business Classification]" caption="Count of Business Classification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 Margin]" caption="Sum of Profit Margin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vious_Month_Sales]" caption="Sum of Previous_Month_Sales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Variance]" caption="Sum of Sales Variance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gion]" caption="Count of Region" measure="1" displayFolder="" measureGroup="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Category]" caption="Count of Product Category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orders" uniqueName="[orders]" caption="orders"/>
  </dimensions>
  <measureGroups count="2">
    <measureGroup name="Customer" caption="Customer"/>
    <measureGroup name="orders" caption="ord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5.531425347224" backgroundQuery="1" createdVersion="8" refreshedVersion="8" minRefreshableVersion="3" recordCount="0" supportSubquery="1" supportAdvancedDrill="1" xr:uid="{6F643273-AC95-45DC-9A49-3B1D710B8B76}">
  <cacheSource type="external" connectionId="1"/>
  <cacheFields count="2">
    <cacheField name="[Measures].[Sum of Growth]" caption="Sum of Growth" numFmtId="0" hierarchy="21" level="32767"/>
    <cacheField name="[orders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31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Month]" caption="Month" attribute="1" defaultMemberUniqueName="[orders].[Month].[All]" allUniqueName="[orders].[Month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revious_Month_Sales]" caption="Previous_Month_Sales" attribute="1" defaultMemberUniqueName="[orders].[Previous_Month_Sales].[All]" allUniqueName="[orders].[Previous_Month_Sales].[All]" dimensionUniqueName="[orders]" displayFolder="" count="0" memberValueDatatype="5" unbalanced="0"/>
    <cacheHierarchy uniqueName="[orders].[Sales Variance]" caption="Sales Variance" attribute="1" defaultMemberUniqueName="[orders].[Sales Variance].[All]" allUniqueName="[orders].[Sales Variance].[All]" dimensionUniqueName="[orders]" displayFolder="" count="0" memberValueDatatype="5" unbalanced="0"/>
    <cacheHierarchy uniqueName="[orders].[Growth]" caption="Growth" attribute="1" defaultMemberUniqueName="[orders].[Growth].[All]" allUniqueName="[orders].[Growth].[All]" dimensionUniqueName="[orders]" displayFolder="" count="0" memberValueDatatype="5" unbalanced="0"/>
    <cacheHierarchy uniqueName="[orders].[Business Classification]" caption="Business Classification" attribute="1" defaultMemberUniqueName="[orders].[Business Classification].[All]" allUniqueName="[orders].[Business Classification].[All]" dimensionUniqueName="[orders]" displayFolder="" count="0" memberValueDatatype="130" unbalanced="0"/>
    <cacheHierarchy uniqueName="[orders].[Profit Margin]" caption="Profit Margin" attribute="1" defaultMemberUniqueName="[orders].[Profit Margin].[All]" allUniqueName="[orders].[Profit Margin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Growth]" caption="Sum of Growth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Business Classification]" caption="Count of Business Classification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 Margin]" caption="Sum of Profit Margin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vious_Month_Sales]" caption="Sum of Previous_Month_Sales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Variance]" caption="Sum of Sales Variance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gion]" caption="Count of Region" measure="1" displayFolder="" measureGroup="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Category]" caption="Count of Product Category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orders" uniqueName="[orders]" caption="orders"/>
  </dimensions>
  <measureGroups count="2">
    <measureGroup name="Customer" caption="Customer"/>
    <measureGroup name="orders" caption="ord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5.528511689816" backgroundQuery="1" createdVersion="8" refreshedVersion="8" minRefreshableVersion="3" recordCount="0" supportSubquery="1" supportAdvancedDrill="1" xr:uid="{9FF1792F-489E-4325-8E28-4774781E702B}">
  <cacheSource type="external" connectionId="1"/>
  <cacheFields count="3">
    <cacheField name="[Measures].[Sum of Profit Margin]" caption="Sum of Profit Margin" numFmtId="0" hierarchy="23" level="32767"/>
    <cacheField name="[orders].[Product Category].[Product Category]" caption="Product Category" numFmtId="0" hierarchy="7" level="1">
      <sharedItems count="3">
        <s v="Furniture"/>
        <s v="Office Supplies"/>
        <s v="Technology"/>
      </sharedItems>
    </cacheField>
    <cacheField name="[orders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31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Month]" caption="Month" attribute="1" defaultMemberUniqueName="[orders].[Month].[All]" allUniqueName="[orders].[Month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revious_Month_Sales]" caption="Previous_Month_Sales" attribute="1" defaultMemberUniqueName="[orders].[Previous_Month_Sales].[All]" allUniqueName="[orders].[Previous_Month_Sales].[All]" dimensionUniqueName="[orders]" displayFolder="" count="0" memberValueDatatype="5" unbalanced="0"/>
    <cacheHierarchy uniqueName="[orders].[Sales Variance]" caption="Sales Variance" attribute="1" defaultMemberUniqueName="[orders].[Sales Variance].[All]" allUniqueName="[orders].[Sales Variance].[All]" dimensionUniqueName="[orders]" displayFolder="" count="0" memberValueDatatype="5" unbalanced="0"/>
    <cacheHierarchy uniqueName="[orders].[Growth]" caption="Growth" attribute="1" defaultMemberUniqueName="[orders].[Growth].[All]" allUniqueName="[orders].[Growth].[All]" dimensionUniqueName="[orders]" displayFolder="" count="0" memberValueDatatype="5" unbalanced="0"/>
    <cacheHierarchy uniqueName="[orders].[Business Classification]" caption="Business Classification" attribute="1" defaultMemberUniqueName="[orders].[Business Classification].[All]" allUniqueName="[orders].[Business Classification].[All]" dimensionUniqueName="[orders]" displayFolder="" count="0" memberValueDatatype="130" unbalanced="0"/>
    <cacheHierarchy uniqueName="[orders].[Profit Margin]" caption="Profit Margin" attribute="1" defaultMemberUniqueName="[orders].[Profit Margin].[All]" allUniqueName="[orders].[Profit Margin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Growth]" caption="Sum of Growth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Business Classification]" caption="Count of Business Classification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 Margin]" caption="Sum of Profit Margin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vious_Month_Sales]" caption="Sum of Previous_Month_Sales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Variance]" caption="Sum of Sales Variance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gion]" caption="Count of Region" measure="1" displayFolder="" measureGroup="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Category]" caption="Count of Product Category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orders" uniqueName="[orders]" caption="orders"/>
  </dimensions>
  <measureGroups count="2">
    <measureGroup name="Customer" caption="Customer"/>
    <measureGroup name="orders" caption="ord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5.525428703702" backgroundQuery="1" createdVersion="8" refreshedVersion="8" minRefreshableVersion="3" recordCount="0" supportSubquery="1" supportAdvancedDrill="1" xr:uid="{2B40A379-E671-4A55-B63F-ECE329DA9FA1}">
  <cacheSource type="external" connectionId="1"/>
  <cacheFields count="3">
    <cacheField name="[Measures].[Sum of Previous_Month_Sales]" caption="Sum of Previous_Month_Sales" numFmtId="0" hierarchy="24" level="32767"/>
    <cacheField name="[Measures].[Sum of Sales]" caption="Sum of Sales" numFmtId="0" hierarchy="25" level="32767"/>
    <cacheField name="[orders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31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Month]" caption="Month" attribute="1" defaultMemberUniqueName="[orders].[Month].[All]" allUniqueName="[orders].[Month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revious_Month_Sales]" caption="Previous_Month_Sales" attribute="1" defaultMemberUniqueName="[orders].[Previous_Month_Sales].[All]" allUniqueName="[orders].[Previous_Month_Sales].[All]" dimensionUniqueName="[orders]" displayFolder="" count="0" memberValueDatatype="5" unbalanced="0"/>
    <cacheHierarchy uniqueName="[orders].[Sales Variance]" caption="Sales Variance" attribute="1" defaultMemberUniqueName="[orders].[Sales Variance].[All]" allUniqueName="[orders].[Sales Variance].[All]" dimensionUniqueName="[orders]" displayFolder="" count="0" memberValueDatatype="5" unbalanced="0"/>
    <cacheHierarchy uniqueName="[orders].[Growth]" caption="Growth" attribute="1" defaultMemberUniqueName="[orders].[Growth].[All]" allUniqueName="[orders].[Growth].[All]" dimensionUniqueName="[orders]" displayFolder="" count="0" memberValueDatatype="5" unbalanced="0"/>
    <cacheHierarchy uniqueName="[orders].[Business Classification]" caption="Business Classification" attribute="1" defaultMemberUniqueName="[orders].[Business Classification].[All]" allUniqueName="[orders].[Business Classification].[All]" dimensionUniqueName="[orders]" displayFolder="" count="0" memberValueDatatype="130" unbalanced="0"/>
    <cacheHierarchy uniqueName="[orders].[Profit Margin]" caption="Profit Margin" attribute="1" defaultMemberUniqueName="[orders].[Profit Margin].[All]" allUniqueName="[orders].[Profit Margin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Growth]" caption="Sum of Growth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Business Classification]" caption="Count of Business Classification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 Margin]" caption="Sum of Profit Margin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vious_Month_Sales]" caption="Sum of Previous_Month_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Variance]" caption="Sum of Sales Variance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gion]" caption="Count of Region" measure="1" displayFolder="" measureGroup="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Category]" caption="Count of Product Category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orders" uniqueName="[orders]" caption="orders"/>
  </dimensions>
  <measureGroups count="2">
    <measureGroup name="Customer" caption="Customer"/>
    <measureGroup name="orders" caption="ord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5.524410995371" backgroundQuery="1" createdVersion="8" refreshedVersion="8" minRefreshableVersion="3" recordCount="0" supportSubquery="1" supportAdvancedDrill="1" xr:uid="{155C5D3E-C275-4B67-8CA7-F8A371BFE1AF}">
  <cacheSource type="external" connectionId="1"/>
  <cacheFields count="2">
    <cacheField name="[orders].[Business Classification].[Business Classification]" caption="Business Classification" numFmtId="0" hierarchy="16" level="1">
      <sharedItems count="2">
        <s v="High Sales"/>
        <s v="Low Sales"/>
      </sharedItems>
    </cacheField>
    <cacheField name="[Measures].[Sum of Profit Margin]" caption="Sum of Profit Margin" numFmtId="0" hierarchy="23" level="32767"/>
  </cacheFields>
  <cacheHierarchies count="31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orders].[Previous_Month_Sales]" caption="Previous_Month_Sales" attribute="1" defaultMemberUniqueName="[orders].[Previous_Month_Sales].[All]" allUniqueName="[orders].[Previous_Month_Sales].[All]" dimensionUniqueName="[orders]" displayFolder="" count="0" memberValueDatatype="5" unbalanced="0"/>
    <cacheHierarchy uniqueName="[orders].[Sales Variance]" caption="Sales Variance" attribute="1" defaultMemberUniqueName="[orders].[Sales Variance].[All]" allUniqueName="[orders].[Sales Variance].[All]" dimensionUniqueName="[orders]" displayFolder="" count="0" memberValueDatatype="5" unbalanced="0"/>
    <cacheHierarchy uniqueName="[orders].[Growth]" caption="Growth" attribute="1" defaultMemberUniqueName="[orders].[Growth].[All]" allUniqueName="[orders].[Growth].[All]" dimensionUniqueName="[orders]" displayFolder="" count="0" memberValueDatatype="5" unbalanced="0"/>
    <cacheHierarchy uniqueName="[orders].[Business Classification]" caption="Business Classification" attribute="1" defaultMemberUniqueName="[orders].[Business Classification].[All]" allUniqueName="[orders].[Business Classificat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Profit Margin]" caption="Profit Margin" attribute="1" defaultMemberUniqueName="[orders].[Profit Margin].[All]" allUniqueName="[orders].[Profit Margin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Growth]" caption="Sum of Growth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Business Classification]" caption="Count of Business Classification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 Margin]" caption="Sum of Profit Margin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vious_Month_Sales]" caption="Sum of Previous_Month_Sales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Variance]" caption="Sum of Sales Variance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gion]" caption="Count of Region" measure="1" displayFolder="" measureGroup="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Category]" caption="Count of Product Category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orders" uniqueName="[orders]" caption="orders"/>
  </dimensions>
  <measureGroups count="2">
    <measureGroup name="Customer" caption="Customer"/>
    <measureGroup name="orders" caption="ord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5.526938657407" backgroundQuery="1" createdVersion="8" refreshedVersion="8" minRefreshableVersion="3" recordCount="0" supportSubquery="1" supportAdvancedDrill="1" xr:uid="{56C06B37-E976-4F04-80E2-2731D4C64248}">
  <cacheSource type="external" connectionId="1"/>
  <cacheFields count="3">
    <cacheField name="[orders].[Product Category].[Product Category]" caption="Product Category" numFmtId="0" hierarchy="7" level="1">
      <sharedItems count="3">
        <s v="Furniture"/>
        <s v="Office Supplies"/>
        <s v="Technology"/>
      </sharedItems>
    </cacheField>
    <cacheField name="[Measures].[Sum of Growth]" caption="Sum of Growth" numFmtId="0" hierarchy="21" level="32767"/>
    <cacheField name="[Measures].[Sum of Profit Margin]" caption="Sum of Profit Margin" numFmtId="0" hierarchy="23" level="32767"/>
  </cacheFields>
  <cacheHierarchies count="31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orders].[Previous_Month_Sales]" caption="Previous_Month_Sales" attribute="1" defaultMemberUniqueName="[orders].[Previous_Month_Sales].[All]" allUniqueName="[orders].[Previous_Month_Sales].[All]" dimensionUniqueName="[orders]" displayFolder="" count="0" memberValueDatatype="5" unbalanced="0"/>
    <cacheHierarchy uniqueName="[orders].[Sales Variance]" caption="Sales Variance" attribute="1" defaultMemberUniqueName="[orders].[Sales Variance].[All]" allUniqueName="[orders].[Sales Variance].[All]" dimensionUniqueName="[orders]" displayFolder="" count="0" memberValueDatatype="5" unbalanced="0"/>
    <cacheHierarchy uniqueName="[orders].[Growth]" caption="Growth" attribute="1" defaultMemberUniqueName="[orders].[Growth].[All]" allUniqueName="[orders].[Growth].[All]" dimensionUniqueName="[orders]" displayFolder="" count="0" memberValueDatatype="5" unbalanced="0"/>
    <cacheHierarchy uniqueName="[orders].[Business Classification]" caption="Business Classification" attribute="1" defaultMemberUniqueName="[orders].[Business Classification].[All]" allUniqueName="[orders].[Business Classification].[All]" dimensionUniqueName="[orders]" displayFolder="" count="0" memberValueDatatype="130" unbalanced="0"/>
    <cacheHierarchy uniqueName="[orders].[Profit Margin]" caption="Profit Margin" attribute="1" defaultMemberUniqueName="[orders].[Profit Margin].[All]" allUniqueName="[orders].[Profit Margin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Growth]" caption="Sum of Growth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Business Classification]" caption="Count of Business Classification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 Margin]" caption="Sum of Profit Margin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vious_Month_Sales]" caption="Sum of Previous_Month_Sales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Variance]" caption="Sum of Sales Variance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gion]" caption="Count of Region" measure="1" displayFolder="" measureGroup="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Category]" caption="Count of Product Category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orders" uniqueName="[orders]" caption="orders"/>
  </dimensions>
  <measureGroups count="2">
    <measureGroup name="Customer" caption="Customer"/>
    <measureGroup name="orders" caption="ord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5.539667708334" backgroundQuery="1" createdVersion="8" refreshedVersion="8" minRefreshableVersion="3" recordCount="0" supportSubquery="1" supportAdvancedDrill="1" xr:uid="{BFBF4EA8-28AC-47F3-BE2E-6FBEB3C817A8}">
  <cacheSource type="external" connectionId="1"/>
  <cacheFields count="3">
    <cacheField name="[orders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Profit]" caption="Sum of Profit" numFmtId="0" hierarchy="26" level="32767"/>
    <cacheField name="[orders].[Product Category].[Product Category]" caption="Product Category" numFmtId="0" hierarchy="7" level="1">
      <sharedItems count="3">
        <s v="Furniture"/>
        <s v="Office Supplies"/>
        <s v="Technology"/>
      </sharedItems>
    </cacheField>
  </cacheFields>
  <cacheHierarchies count="31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Month]" caption="Month" attribute="1" defaultMemberUniqueName="[orders].[Month].[All]" allUniqueName="[orders].[Month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Previous_Month_Sales]" caption="Previous_Month_Sales" attribute="1" defaultMemberUniqueName="[orders].[Previous_Month_Sales].[All]" allUniqueName="[orders].[Previous_Month_Sales].[All]" dimensionUniqueName="[orders]" displayFolder="" count="0" memberValueDatatype="5" unbalanced="0"/>
    <cacheHierarchy uniqueName="[orders].[Sales Variance]" caption="Sales Variance" attribute="1" defaultMemberUniqueName="[orders].[Sales Variance].[All]" allUniqueName="[orders].[Sales Variance].[All]" dimensionUniqueName="[orders]" displayFolder="" count="0" memberValueDatatype="5" unbalanced="0"/>
    <cacheHierarchy uniqueName="[orders].[Growth]" caption="Growth" attribute="1" defaultMemberUniqueName="[orders].[Growth].[All]" allUniqueName="[orders].[Growth].[All]" dimensionUniqueName="[orders]" displayFolder="" count="0" memberValueDatatype="5" unbalanced="0"/>
    <cacheHierarchy uniqueName="[orders].[Business Classification]" caption="Business Classification" attribute="1" defaultMemberUniqueName="[orders].[Business Classification].[All]" allUniqueName="[orders].[Business Classification].[All]" dimensionUniqueName="[orders]" displayFolder="" count="0" memberValueDatatype="130" unbalanced="0"/>
    <cacheHierarchy uniqueName="[orders].[Profit Margin]" caption="Profit Margin" attribute="1" defaultMemberUniqueName="[orders].[Profit Margin].[All]" allUniqueName="[orders].[Profit Margin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Growth]" caption="Sum of Growth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Business Classification]" caption="Count of Business Classification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 Margin]" caption="Sum of Profit Margin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vious_Month_Sales]" caption="Sum of Previous_Month_Sales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Variance]" caption="Sum of Sales Variance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gion]" caption="Count of Region" measure="1" displayFolder="" measureGroup="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Category]" caption="Count of Product Category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orders" uniqueName="[orders]" caption="orders"/>
  </dimensions>
  <measureGroups count="2">
    <measureGroup name="Customer" caption="Customer"/>
    <measureGroup name="orders" caption="order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1A49C-1645-4306-9DA1-B550B707EB5B}" name="PivotTable7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40:F54" firstHeaderRow="1" firstDataRow="2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Profit" fld="1" baseField="0" baseItem="0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1">
    <rowHierarchyUsage hierarchyUsage="1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Advance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0D671-5910-47EE-B629-802C3D26957C}" name="PivotTable6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P24:Q2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gment" fld="1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4120F-C1C1-4DA4-B7D8-5B53E0959EA3}" name="PivotTable5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P4:Q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wth" fld="0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Advance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0B5B9-A382-4C18-ABED-CE0A45699914}" name="PivotTable4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M4:N5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2"/>
    <field x="1"/>
  </rowFields>
  <rowItems count="48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 Margin" fld="0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2">
    <rowHierarchyUsage hierarchyUsage="12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Advance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625C5-711F-488D-8A12-9250C8D18D8F}" name="PivotTable3" cacheId="2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3:D3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vious_Month_Sales" fld="0" baseField="0" baseItem="0"/>
    <dataField name="Sum of Sales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Advance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BF0DD-B197-4672-8FD9-7F90D9F397B4}" name="PivotTable2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3:K5" firstHeaderRow="1" firstDataRow="2" firstDataCol="1"/>
  <pivotFields count="2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Sum of Profit Margin" fld="1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Advance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22365-30FF-4248-89AD-8FC5F9B1F530}" name="PivotTable1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D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wth" fld="1" baseField="0" baseItem="0"/>
    <dataField name="Sum of Profit Margin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Advance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68E646-5285-4F09-8DA0-8EDF0B9E8796}" name="orders" displayName="orders" ref="A1:N151" totalsRowShown="0" tableBorderDxfId="16">
  <autoFilter ref="A1:N151" xr:uid="{3168E646-5285-4F09-8DA0-8EDF0B9E8796}"/>
  <tableColumns count="14">
    <tableColumn id="1" xr3:uid="{7D587DD5-9C52-468E-8120-A699C4AEDECE}" name="OrderId" dataDxfId="15"/>
    <tableColumn id="2" xr3:uid="{385D8945-F934-4C08-9473-C6CD14DF8FED}" name="OrderDate" dataDxfId="14"/>
    <tableColumn id="3" xr3:uid="{81354C2F-AD49-4082-A899-D888B923541A}" name="CustomerID" dataDxfId="13"/>
    <tableColumn id="4" xr3:uid="{0F55E073-D2CC-4636-A241-5CC082CDA86A}" name="Product Category" dataDxfId="12"/>
    <tableColumn id="5" xr3:uid="{12B0DE37-D0A4-4AD7-B4FC-239CF4CE6E1A}" name="Sales" dataDxfId="11"/>
    <tableColumn id="6" xr3:uid="{DBBB1D6E-4D78-47AA-B5BC-19B598D10924}" name="Quantity" dataDxfId="10"/>
    <tableColumn id="7" xr3:uid="{AE6EBDE2-DD55-4D2A-AA83-013F2B3E9850}" name="Profit" dataDxfId="9"/>
    <tableColumn id="8" xr3:uid="{28690FE1-5DB8-44FA-9D9C-107D67C39F69}" name="Discount" dataDxfId="8"/>
    <tableColumn id="9" xr3:uid="{C2438AE1-D2C6-4166-9D01-D71FDE240140}" name="Month" dataDxfId="7">
      <calculatedColumnFormula>TEXT(B2,"mmm")</calculatedColumnFormula>
    </tableColumn>
    <tableColumn id="10" xr3:uid="{1877A179-02E8-463B-B27E-A095DF7A9B2C}" name="Previous_Month_Sales" dataDxfId="6">
      <calculatedColumnFormula>IF(ROW()=2,0,E1)</calculatedColumnFormula>
    </tableColumn>
    <tableColumn id="11" xr3:uid="{6AC6287C-EEC4-4694-8A79-F9B945931676}" name="Sales Variance" dataDxfId="5">
      <calculatedColumnFormula>E2-J2</calculatedColumnFormula>
    </tableColumn>
    <tableColumn id="12" xr3:uid="{C32FDBF2-E925-4ACB-91C7-6FC22F0D2E26}" name="Growth" dataDxfId="2">
      <calculatedColumnFormula>IF(J2=0,0,(E2-J2)/J2)</calculatedColumnFormula>
    </tableColumn>
    <tableColumn id="13" xr3:uid="{B6165CB6-7BC2-40D1-B19B-E76114A18F68}" name="Business Classification" dataDxfId="4">
      <calculatedColumnFormula>IF(E2&gt;=AVERAGE(orders[Sales]),"High Sales","Low Sales")</calculatedColumnFormula>
    </tableColumn>
    <tableColumn id="14" xr3:uid="{34B95AEF-1034-4000-BFF0-46B941D3F8E8}" name="Profit Margin" dataDxfId="3">
      <calculatedColumnFormula>orders[[#This Row],[Profit]]/orders[[#This Row],[Sales]]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8005E-6E96-4A8A-863A-B6499DCFA38D}" name="Customer" displayName="Customer" ref="A1:D101" totalsRowShown="0">
  <autoFilter ref="A1:D101" xr:uid="{F1F8005E-6E96-4A8A-863A-B6499DCFA38D}"/>
  <tableColumns count="4">
    <tableColumn id="1" xr3:uid="{BC79BFEE-4787-49AB-9A40-34EC691B58D7}" name="Customer ID"/>
    <tableColumn id="2" xr3:uid="{0B51A0FF-848E-4A48-A725-670672476478}" name="Customer Name"/>
    <tableColumn id="3" xr3:uid="{B9922269-CC65-45B7-90B6-649911C69457}" name="Region"/>
    <tableColumn id="4" xr3:uid="{CFDB5FF2-5BD0-49F8-B1A4-E09843A72685}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64AD-F26A-492F-8F53-92B79AC47411}">
  <dimension ref="B3:Q54"/>
  <sheetViews>
    <sheetView zoomScale="27" workbookViewId="0">
      <selection activeCell="Y52" sqref="Y52"/>
    </sheetView>
  </sheetViews>
  <sheetFormatPr defaultRowHeight="14.5" x14ac:dyDescent="0.35"/>
  <cols>
    <col min="1" max="1" width="13.1796875" bestFit="1" customWidth="1"/>
    <col min="2" max="2" width="18.81640625" bestFit="1" customWidth="1"/>
    <col min="3" max="3" width="23" bestFit="1" customWidth="1"/>
    <col min="4" max="4" width="19.54296875" bestFit="1" customWidth="1"/>
    <col min="5" max="5" width="14.81640625" bestFit="1" customWidth="1"/>
    <col min="6" max="6" width="15" bestFit="1" customWidth="1"/>
    <col min="8" max="8" width="18.36328125" bestFit="1" customWidth="1"/>
    <col min="9" max="9" width="15.26953125" bestFit="1" customWidth="1"/>
    <col min="10" max="11" width="11.81640625" bestFit="1" customWidth="1"/>
    <col min="12" max="12" width="13" customWidth="1"/>
    <col min="13" max="13" width="17" bestFit="1" customWidth="1"/>
    <col min="14" max="14" width="18.36328125" bestFit="1" customWidth="1"/>
    <col min="15" max="15" width="11.08984375" bestFit="1" customWidth="1"/>
    <col min="16" max="16" width="13.7265625" bestFit="1" customWidth="1"/>
    <col min="17" max="17" width="16" customWidth="1"/>
    <col min="18" max="18" width="16.08984375" bestFit="1" customWidth="1"/>
    <col min="19" max="19" width="10.453125" bestFit="1" customWidth="1"/>
    <col min="20" max="28" width="12.453125" bestFit="1" customWidth="1"/>
    <col min="29" max="29" width="11.81640625" bestFit="1" customWidth="1"/>
    <col min="30" max="30" width="12.453125" bestFit="1" customWidth="1"/>
    <col min="31" max="31" width="6.81640625" bestFit="1" customWidth="1"/>
    <col min="32" max="33" width="12.453125" bestFit="1" customWidth="1"/>
    <col min="34" max="34" width="11.81640625" bestFit="1" customWidth="1"/>
    <col min="35" max="35" width="11.453125" bestFit="1" customWidth="1"/>
    <col min="36" max="36" width="11.81640625" bestFit="1" customWidth="1"/>
    <col min="37" max="37" width="11.453125" bestFit="1" customWidth="1"/>
    <col min="38" max="38" width="12.453125" bestFit="1" customWidth="1"/>
    <col min="39" max="39" width="11.81640625" bestFit="1" customWidth="1"/>
    <col min="40" max="42" width="12.453125" bestFit="1" customWidth="1"/>
    <col min="43" max="43" width="11.81640625" bestFit="1" customWidth="1"/>
    <col min="44" max="44" width="12.453125" bestFit="1" customWidth="1"/>
    <col min="45" max="45" width="11.81640625" bestFit="1" customWidth="1"/>
    <col min="46" max="46" width="11.453125" bestFit="1" customWidth="1"/>
    <col min="47" max="47" width="12.453125" bestFit="1" customWidth="1"/>
    <col min="48" max="48" width="10.81640625" bestFit="1" customWidth="1"/>
    <col min="49" max="50" width="12.453125" bestFit="1" customWidth="1"/>
    <col min="51" max="52" width="11.81640625" bestFit="1" customWidth="1"/>
    <col min="53" max="54" width="12.453125" bestFit="1" customWidth="1"/>
    <col min="55" max="55" width="11.81640625" bestFit="1" customWidth="1"/>
    <col min="56" max="56" width="12.453125" bestFit="1" customWidth="1"/>
    <col min="57" max="57" width="11.81640625" bestFit="1" customWidth="1"/>
    <col min="58" max="62" width="12.453125" bestFit="1" customWidth="1"/>
    <col min="63" max="63" width="11.453125" bestFit="1" customWidth="1"/>
    <col min="64" max="64" width="12.453125" bestFit="1" customWidth="1"/>
    <col min="65" max="65" width="11.81640625" bestFit="1" customWidth="1"/>
    <col min="66" max="68" width="12.453125" bestFit="1" customWidth="1"/>
    <col min="69" max="69" width="10.81640625" bestFit="1" customWidth="1"/>
    <col min="70" max="71" width="12.453125" bestFit="1" customWidth="1"/>
    <col min="72" max="72" width="11.81640625" bestFit="1" customWidth="1"/>
    <col min="73" max="73" width="10.81640625" bestFit="1" customWidth="1"/>
    <col min="74" max="79" width="12.453125" bestFit="1" customWidth="1"/>
    <col min="80" max="80" width="11.81640625" bestFit="1" customWidth="1"/>
    <col min="81" max="82" width="12.453125" bestFit="1" customWidth="1"/>
    <col min="83" max="84" width="11.81640625" bestFit="1" customWidth="1"/>
    <col min="85" max="86" width="12.453125" bestFit="1" customWidth="1"/>
    <col min="87" max="88" width="11.81640625" bestFit="1" customWidth="1"/>
    <col min="89" max="89" width="12.453125" bestFit="1" customWidth="1"/>
    <col min="90" max="94" width="11.81640625" bestFit="1" customWidth="1"/>
    <col min="95" max="96" width="12.453125" bestFit="1" customWidth="1"/>
    <col min="97" max="97" width="11.81640625" bestFit="1" customWidth="1"/>
    <col min="98" max="98" width="12.453125" bestFit="1" customWidth="1"/>
    <col min="99" max="99" width="11.81640625" bestFit="1" customWidth="1"/>
    <col min="100" max="101" width="12.453125" bestFit="1" customWidth="1"/>
    <col min="102" max="102" width="11.81640625" bestFit="1" customWidth="1"/>
    <col min="103" max="103" width="12.453125" bestFit="1" customWidth="1"/>
    <col min="104" max="104" width="10.81640625" bestFit="1" customWidth="1"/>
    <col min="105" max="106" width="11.81640625" bestFit="1" customWidth="1"/>
    <col min="107" max="107" width="10.81640625" bestFit="1" customWidth="1"/>
    <col min="108" max="108" width="12.453125" bestFit="1" customWidth="1"/>
    <col min="109" max="110" width="11.81640625" bestFit="1" customWidth="1"/>
    <col min="111" max="111" width="9.81640625" bestFit="1" customWidth="1"/>
    <col min="112" max="112" width="12.453125" bestFit="1" customWidth="1"/>
    <col min="113" max="113" width="11.81640625" bestFit="1" customWidth="1"/>
    <col min="114" max="114" width="12.453125" bestFit="1" customWidth="1"/>
    <col min="115" max="117" width="11.81640625" bestFit="1" customWidth="1"/>
    <col min="118" max="118" width="12.453125" bestFit="1" customWidth="1"/>
    <col min="119" max="122" width="11.81640625" bestFit="1" customWidth="1"/>
    <col min="123" max="123" width="12.453125" bestFit="1" customWidth="1"/>
    <col min="124" max="128" width="11.81640625" bestFit="1" customWidth="1"/>
    <col min="129" max="129" width="12.453125" bestFit="1" customWidth="1"/>
    <col min="130" max="139" width="11.81640625" bestFit="1" customWidth="1"/>
    <col min="140" max="140" width="12.453125" bestFit="1" customWidth="1"/>
    <col min="141" max="141" width="11.81640625" bestFit="1" customWidth="1"/>
    <col min="142" max="143" width="12.453125" bestFit="1" customWidth="1"/>
    <col min="144" max="144" width="11.81640625" bestFit="1" customWidth="1"/>
    <col min="145" max="145" width="12.453125" bestFit="1" customWidth="1"/>
    <col min="146" max="146" width="11.81640625" bestFit="1" customWidth="1"/>
    <col min="147" max="148" width="12.453125" bestFit="1" customWidth="1"/>
    <col min="149" max="158" width="11.81640625" bestFit="1" customWidth="1"/>
    <col min="159" max="159" width="9.81640625" bestFit="1" customWidth="1"/>
    <col min="160" max="164" width="11.81640625" bestFit="1" customWidth="1"/>
    <col min="165" max="165" width="10.81640625" bestFit="1" customWidth="1"/>
    <col min="166" max="166" width="11.81640625" bestFit="1" customWidth="1"/>
    <col min="167" max="167" width="12.453125" bestFit="1" customWidth="1"/>
  </cols>
  <sheetData>
    <row r="3" spans="2:17" x14ac:dyDescent="0.35">
      <c r="B3" s="17" t="s">
        <v>361</v>
      </c>
      <c r="C3" t="s">
        <v>363</v>
      </c>
      <c r="D3" t="s">
        <v>367</v>
      </c>
      <c r="I3" s="17" t="s">
        <v>364</v>
      </c>
    </row>
    <row r="4" spans="2:17" x14ac:dyDescent="0.35">
      <c r="B4" s="18" t="s">
        <v>2</v>
      </c>
      <c r="C4" s="19">
        <v>90.838781223850972</v>
      </c>
      <c r="D4" s="19">
        <v>7.3262295314529444</v>
      </c>
      <c r="I4" t="s">
        <v>365</v>
      </c>
      <c r="J4" t="s">
        <v>366</v>
      </c>
      <c r="K4" t="s">
        <v>362</v>
      </c>
      <c r="M4" s="17" t="s">
        <v>361</v>
      </c>
      <c r="N4" t="s">
        <v>367</v>
      </c>
      <c r="P4" s="17" t="s">
        <v>361</v>
      </c>
      <c r="Q4" t="s">
        <v>363</v>
      </c>
    </row>
    <row r="5" spans="2:17" x14ac:dyDescent="0.35">
      <c r="B5" s="18" t="s">
        <v>12</v>
      </c>
      <c r="C5" s="19">
        <v>56.359446432906239</v>
      </c>
      <c r="D5" s="19">
        <v>7.5090054116408327</v>
      </c>
      <c r="H5" t="s">
        <v>367</v>
      </c>
      <c r="I5" s="19">
        <v>11.430544388263701</v>
      </c>
      <c r="J5" s="19">
        <v>10.282714626080256</v>
      </c>
      <c r="K5" s="19">
        <v>21.713259014343951</v>
      </c>
      <c r="M5" s="18" t="s">
        <v>370</v>
      </c>
      <c r="N5" s="19"/>
      <c r="P5" s="18" t="s">
        <v>370</v>
      </c>
      <c r="Q5" s="19">
        <v>0.79610376523686177</v>
      </c>
    </row>
    <row r="6" spans="2:17" x14ac:dyDescent="0.35">
      <c r="B6" s="18" t="s">
        <v>7</v>
      </c>
      <c r="C6" s="19">
        <v>41.038367670065298</v>
      </c>
      <c r="D6" s="19">
        <v>6.8780240712501763</v>
      </c>
      <c r="M6" s="20" t="s">
        <v>2</v>
      </c>
      <c r="N6" s="19">
        <v>9.8054353765710298E-2</v>
      </c>
      <c r="P6" s="18" t="s">
        <v>371</v>
      </c>
      <c r="Q6" s="19">
        <v>89.566503060282486</v>
      </c>
    </row>
    <row r="7" spans="2:17" x14ac:dyDescent="0.35">
      <c r="B7" s="18" t="s">
        <v>362</v>
      </c>
      <c r="C7" s="19">
        <v>188.23659532682234</v>
      </c>
      <c r="D7" s="19">
        <v>21.713259014343951</v>
      </c>
      <c r="M7" s="20" t="s">
        <v>12</v>
      </c>
      <c r="N7" s="19">
        <v>0.73043536675890097</v>
      </c>
      <c r="P7" s="18" t="s">
        <v>372</v>
      </c>
      <c r="Q7" s="19">
        <v>15.327802965998803</v>
      </c>
    </row>
    <row r="8" spans="2:17" x14ac:dyDescent="0.35">
      <c r="M8" s="18" t="s">
        <v>371</v>
      </c>
      <c r="N8" s="19"/>
      <c r="P8" s="18" t="s">
        <v>373</v>
      </c>
      <c r="Q8" s="19">
        <v>-1.8175572130149766</v>
      </c>
    </row>
    <row r="9" spans="2:17" x14ac:dyDescent="0.35">
      <c r="M9" s="20" t="s">
        <v>2</v>
      </c>
      <c r="N9" s="19">
        <v>0.49621943615645725</v>
      </c>
      <c r="P9" s="18" t="s">
        <v>374</v>
      </c>
      <c r="Q9" s="19">
        <v>23.628446645865772</v>
      </c>
    </row>
    <row r="10" spans="2:17" x14ac:dyDescent="0.35">
      <c r="M10" s="20" t="s">
        <v>12</v>
      </c>
      <c r="N10" s="19">
        <v>0.78351529012476262</v>
      </c>
      <c r="P10" s="18" t="s">
        <v>375</v>
      </c>
      <c r="Q10" s="19">
        <v>30.769373861969818</v>
      </c>
    </row>
    <row r="11" spans="2:17" x14ac:dyDescent="0.35">
      <c r="M11" s="20" t="s">
        <v>7</v>
      </c>
      <c r="N11" s="19">
        <v>0.52104788135153912</v>
      </c>
      <c r="P11" s="18" t="s">
        <v>376</v>
      </c>
      <c r="Q11" s="19">
        <v>4.4503660481937253</v>
      </c>
    </row>
    <row r="12" spans="2:17" x14ac:dyDescent="0.35">
      <c r="M12" s="18" t="s">
        <v>372</v>
      </c>
      <c r="N12" s="19"/>
      <c r="P12" s="18" t="s">
        <v>377</v>
      </c>
      <c r="Q12" s="19">
        <v>1.5686557210606757</v>
      </c>
    </row>
    <row r="13" spans="2:17" x14ac:dyDescent="0.35">
      <c r="M13" s="20" t="s">
        <v>2</v>
      </c>
      <c r="N13" s="19">
        <v>0.80963997958995959</v>
      </c>
      <c r="P13" s="18" t="s">
        <v>378</v>
      </c>
      <c r="Q13" s="19">
        <v>1.1197331764988303</v>
      </c>
    </row>
    <row r="14" spans="2:17" x14ac:dyDescent="0.35">
      <c r="M14" s="20" t="s">
        <v>12</v>
      </c>
      <c r="N14" s="19">
        <v>0.58008355105967335</v>
      </c>
      <c r="P14" s="18" t="s">
        <v>379</v>
      </c>
      <c r="Q14" s="19">
        <v>6.8362318126773491</v>
      </c>
    </row>
    <row r="15" spans="2:17" x14ac:dyDescent="0.35">
      <c r="M15" s="20" t="s">
        <v>7</v>
      </c>
      <c r="N15" s="19">
        <v>0.8277192937174751</v>
      </c>
      <c r="P15" s="18" t="s">
        <v>380</v>
      </c>
      <c r="Q15" s="19">
        <v>1.5140910448595908</v>
      </c>
    </row>
    <row r="16" spans="2:17" x14ac:dyDescent="0.35">
      <c r="M16" s="18" t="s">
        <v>373</v>
      </c>
      <c r="N16" s="19"/>
      <c r="P16" s="18" t="s">
        <v>381</v>
      </c>
      <c r="Q16" s="19">
        <v>14.476844437193551</v>
      </c>
    </row>
    <row r="17" spans="2:17" x14ac:dyDescent="0.35">
      <c r="M17" s="20" t="s">
        <v>2</v>
      </c>
      <c r="N17" s="19">
        <v>0.73614398166569006</v>
      </c>
      <c r="P17" s="18" t="s">
        <v>362</v>
      </c>
      <c r="Q17" s="19">
        <v>188.23659532682234</v>
      </c>
    </row>
    <row r="18" spans="2:17" x14ac:dyDescent="0.35">
      <c r="M18" s="20" t="s">
        <v>12</v>
      </c>
      <c r="N18" s="19">
        <v>0.28586209121161488</v>
      </c>
    </row>
    <row r="19" spans="2:17" x14ac:dyDescent="0.35">
      <c r="M19" s="20" t="s">
        <v>7</v>
      </c>
      <c r="N19" s="19">
        <v>-4.2040185471406491E-2</v>
      </c>
    </row>
    <row r="20" spans="2:17" x14ac:dyDescent="0.35">
      <c r="M20" s="18" t="s">
        <v>374</v>
      </c>
      <c r="N20" s="19"/>
    </row>
    <row r="21" spans="2:17" x14ac:dyDescent="0.35">
      <c r="M21" s="20" t="s">
        <v>2</v>
      </c>
      <c r="N21" s="19">
        <v>0.65725638284822707</v>
      </c>
    </row>
    <row r="22" spans="2:17" x14ac:dyDescent="0.35">
      <c r="M22" s="20" t="s">
        <v>12</v>
      </c>
      <c r="N22" s="19">
        <v>1.0855864399790509</v>
      </c>
    </row>
    <row r="23" spans="2:17" x14ac:dyDescent="0.35">
      <c r="B23" s="17" t="s">
        <v>361</v>
      </c>
      <c r="C23" t="s">
        <v>368</v>
      </c>
      <c r="D23" t="s">
        <v>369</v>
      </c>
      <c r="M23" s="20" t="s">
        <v>7</v>
      </c>
      <c r="N23" s="19">
        <v>0.36491244358597869</v>
      </c>
    </row>
    <row r="24" spans="2:17" x14ac:dyDescent="0.35">
      <c r="B24" s="18" t="s">
        <v>370</v>
      </c>
      <c r="C24" s="19">
        <v>8237.48</v>
      </c>
      <c r="D24" s="19">
        <v>8664.44</v>
      </c>
      <c r="M24" s="18" t="s">
        <v>375</v>
      </c>
      <c r="N24" s="19"/>
      <c r="P24" s="17" t="s">
        <v>361</v>
      </c>
      <c r="Q24" t="s">
        <v>383</v>
      </c>
    </row>
    <row r="25" spans="2:17" x14ac:dyDescent="0.35">
      <c r="B25" s="18" t="s">
        <v>371</v>
      </c>
      <c r="C25" s="19">
        <v>9672.07</v>
      </c>
      <c r="D25" s="19">
        <v>15421.19</v>
      </c>
      <c r="M25" s="20" t="s">
        <v>2</v>
      </c>
      <c r="N25" s="19">
        <v>1.0006066101611903</v>
      </c>
      <c r="P25" s="18" t="s">
        <v>254</v>
      </c>
      <c r="Q25" s="19">
        <v>17</v>
      </c>
    </row>
    <row r="26" spans="2:17" x14ac:dyDescent="0.35">
      <c r="B26" s="18" t="s">
        <v>372</v>
      </c>
      <c r="C26" s="19">
        <v>14287.47</v>
      </c>
      <c r="D26" s="19">
        <v>17482.330000000002</v>
      </c>
      <c r="M26" s="20" t="s">
        <v>12</v>
      </c>
      <c r="N26" s="19">
        <v>0.37622734664031288</v>
      </c>
      <c r="P26" s="18" t="s">
        <v>238</v>
      </c>
      <c r="Q26" s="19">
        <v>21</v>
      </c>
    </row>
    <row r="27" spans="2:17" x14ac:dyDescent="0.35">
      <c r="B27" s="18" t="s">
        <v>373</v>
      </c>
      <c r="C27" s="19">
        <v>12795.94</v>
      </c>
      <c r="D27" s="19">
        <v>8002.19</v>
      </c>
      <c r="M27" s="20" t="s">
        <v>7</v>
      </c>
      <c r="N27" s="19">
        <v>0.41359934747736415</v>
      </c>
      <c r="P27" s="18" t="s">
        <v>242</v>
      </c>
      <c r="Q27" s="19">
        <v>30</v>
      </c>
    </row>
    <row r="28" spans="2:17" x14ac:dyDescent="0.35">
      <c r="B28" s="18" t="s">
        <v>374</v>
      </c>
      <c r="C28" s="19">
        <v>14391.11</v>
      </c>
      <c r="D28" s="19">
        <v>16217.89</v>
      </c>
      <c r="M28" s="18" t="s">
        <v>376</v>
      </c>
      <c r="N28" s="19"/>
      <c r="P28" s="18" t="s">
        <v>234</v>
      </c>
      <c r="Q28" s="19">
        <v>32</v>
      </c>
    </row>
    <row r="29" spans="2:17" x14ac:dyDescent="0.35">
      <c r="B29" s="18" t="s">
        <v>375</v>
      </c>
      <c r="C29" s="19">
        <v>11700.21</v>
      </c>
      <c r="D29" s="19">
        <v>11807.52</v>
      </c>
      <c r="M29" s="20" t="s">
        <v>2</v>
      </c>
      <c r="N29" s="19">
        <v>0.92946935930049435</v>
      </c>
      <c r="P29" s="18" t="s">
        <v>362</v>
      </c>
      <c r="Q29" s="19">
        <v>100</v>
      </c>
    </row>
    <row r="30" spans="2:17" x14ac:dyDescent="0.35">
      <c r="B30" s="18" t="s">
        <v>376</v>
      </c>
      <c r="C30" s="19">
        <v>14272.82</v>
      </c>
      <c r="D30" s="19">
        <v>8277.94</v>
      </c>
      <c r="M30" s="20" t="s">
        <v>12</v>
      </c>
      <c r="N30" s="19">
        <v>0.41013491501380162</v>
      </c>
    </row>
    <row r="31" spans="2:17" x14ac:dyDescent="0.35">
      <c r="B31" s="18" t="s">
        <v>377</v>
      </c>
      <c r="C31" s="19">
        <v>11890.51</v>
      </c>
      <c r="D31" s="19">
        <v>11951.34</v>
      </c>
      <c r="M31" s="20" t="s">
        <v>7</v>
      </c>
      <c r="N31" s="19">
        <v>0.17071278128810552</v>
      </c>
    </row>
    <row r="32" spans="2:17" x14ac:dyDescent="0.35">
      <c r="B32" s="18" t="s">
        <v>378</v>
      </c>
      <c r="C32" s="19">
        <v>22042.1</v>
      </c>
      <c r="D32" s="19">
        <v>16323.23</v>
      </c>
      <c r="M32" s="18" t="s">
        <v>377</v>
      </c>
      <c r="N32" s="19"/>
    </row>
    <row r="33" spans="2:14" x14ac:dyDescent="0.35">
      <c r="B33" s="18" t="s">
        <v>379</v>
      </c>
      <c r="C33" s="19">
        <v>12058.34</v>
      </c>
      <c r="D33" s="19">
        <v>15411.95</v>
      </c>
      <c r="M33" s="20" t="s">
        <v>2</v>
      </c>
      <c r="N33" s="19">
        <v>0.38865259253517959</v>
      </c>
    </row>
    <row r="34" spans="2:14" x14ac:dyDescent="0.35">
      <c r="B34" s="18" t="s">
        <v>380</v>
      </c>
      <c r="C34" s="19">
        <v>18753.46</v>
      </c>
      <c r="D34" s="19">
        <v>17623.32</v>
      </c>
      <c r="M34" s="20" t="s">
        <v>12</v>
      </c>
      <c r="N34" s="19">
        <v>0.26519081933998256</v>
      </c>
    </row>
    <row r="35" spans="2:14" x14ac:dyDescent="0.35">
      <c r="B35" s="18" t="s">
        <v>381</v>
      </c>
      <c r="C35" s="19">
        <v>7715.22</v>
      </c>
      <c r="D35" s="19">
        <v>11213.41</v>
      </c>
      <c r="M35" s="20" t="s">
        <v>7</v>
      </c>
      <c r="N35" s="19">
        <v>0.72361595883985208</v>
      </c>
    </row>
    <row r="36" spans="2:14" x14ac:dyDescent="0.35">
      <c r="B36" s="18" t="s">
        <v>362</v>
      </c>
      <c r="C36" s="19">
        <v>157816.73000000001</v>
      </c>
      <c r="D36" s="19">
        <v>158396.75</v>
      </c>
      <c r="M36" s="18" t="s">
        <v>378</v>
      </c>
      <c r="N36" s="19"/>
    </row>
    <row r="37" spans="2:14" x14ac:dyDescent="0.35">
      <c r="M37" s="20" t="s">
        <v>2</v>
      </c>
      <c r="N37" s="19">
        <v>7.5729452817581103E-2</v>
      </c>
    </row>
    <row r="38" spans="2:14" x14ac:dyDescent="0.35">
      <c r="M38" s="20" t="s">
        <v>12</v>
      </c>
      <c r="N38" s="19">
        <v>1.5111539570461665</v>
      </c>
    </row>
    <row r="39" spans="2:14" x14ac:dyDescent="0.35">
      <c r="M39" s="20" t="s">
        <v>7</v>
      </c>
      <c r="N39" s="19">
        <v>1.7230057505944698</v>
      </c>
    </row>
    <row r="40" spans="2:14" x14ac:dyDescent="0.35">
      <c r="B40" s="17" t="s">
        <v>382</v>
      </c>
      <c r="C40" s="17" t="s">
        <v>364</v>
      </c>
      <c r="M40" s="18" t="s">
        <v>379</v>
      </c>
      <c r="N40" s="19"/>
    </row>
    <row r="41" spans="2:14" x14ac:dyDescent="0.35">
      <c r="B41" s="17" t="s">
        <v>361</v>
      </c>
      <c r="C41" t="s">
        <v>2</v>
      </c>
      <c r="D41" t="s">
        <v>12</v>
      </c>
      <c r="E41" t="s">
        <v>7</v>
      </c>
      <c r="F41" t="s">
        <v>362</v>
      </c>
      <c r="M41" s="20" t="s">
        <v>2</v>
      </c>
      <c r="N41" s="19">
        <v>1.159622617458006</v>
      </c>
    </row>
    <row r="42" spans="2:14" x14ac:dyDescent="0.35">
      <c r="B42" s="18" t="s">
        <v>370</v>
      </c>
      <c r="C42" s="19">
        <v>195.59</v>
      </c>
      <c r="D42" s="19">
        <v>1035.67</v>
      </c>
      <c r="E42" s="19"/>
      <c r="F42" s="19">
        <v>1231.26</v>
      </c>
      <c r="M42" s="20" t="s">
        <v>12</v>
      </c>
      <c r="N42" s="19">
        <v>0.54716391847012169</v>
      </c>
    </row>
    <row r="43" spans="2:14" x14ac:dyDescent="0.35">
      <c r="B43" s="18" t="s">
        <v>371</v>
      </c>
      <c r="C43" s="19">
        <v>399.39</v>
      </c>
      <c r="D43" s="19">
        <v>857.26</v>
      </c>
      <c r="E43" s="19">
        <v>535.32000000000005</v>
      </c>
      <c r="F43" s="19">
        <v>1791.97</v>
      </c>
      <c r="M43" s="20" t="s">
        <v>7</v>
      </c>
      <c r="N43" s="19">
        <v>0.67471293504018326</v>
      </c>
    </row>
    <row r="44" spans="2:14" x14ac:dyDescent="0.35">
      <c r="B44" s="18" t="s">
        <v>372</v>
      </c>
      <c r="C44" s="19">
        <v>1231.03</v>
      </c>
      <c r="D44" s="19">
        <v>693.34</v>
      </c>
      <c r="E44" s="19">
        <v>815.22</v>
      </c>
      <c r="F44" s="19">
        <v>2739.59</v>
      </c>
      <c r="M44" s="18" t="s">
        <v>380</v>
      </c>
      <c r="N44" s="19"/>
    </row>
    <row r="45" spans="2:14" x14ac:dyDescent="0.35">
      <c r="B45" s="18" t="s">
        <v>373</v>
      </c>
      <c r="C45" s="19">
        <v>724.11</v>
      </c>
      <c r="D45" s="19">
        <v>101.87</v>
      </c>
      <c r="E45" s="19">
        <v>-19.04</v>
      </c>
      <c r="F45" s="19">
        <v>806.94</v>
      </c>
      <c r="M45" s="20" t="s">
        <v>2</v>
      </c>
      <c r="N45" s="19">
        <v>0.93224681319037794</v>
      </c>
    </row>
    <row r="46" spans="2:14" x14ac:dyDescent="0.35">
      <c r="B46" s="18" t="s">
        <v>374</v>
      </c>
      <c r="C46" s="19">
        <v>952.47</v>
      </c>
      <c r="D46" s="19">
        <v>1052.81</v>
      </c>
      <c r="E46" s="19">
        <v>234.91</v>
      </c>
      <c r="F46" s="19">
        <v>2240.19</v>
      </c>
      <c r="M46" s="20" t="s">
        <v>12</v>
      </c>
      <c r="N46" s="19">
        <v>0.54506425354400845</v>
      </c>
    </row>
    <row r="47" spans="2:14" x14ac:dyDescent="0.35">
      <c r="B47" s="18" t="s">
        <v>375</v>
      </c>
      <c r="C47" s="19">
        <v>407.1</v>
      </c>
      <c r="D47" s="19">
        <v>170.54</v>
      </c>
      <c r="E47" s="19">
        <v>488.38</v>
      </c>
      <c r="F47" s="19">
        <v>1066.02</v>
      </c>
      <c r="M47" s="20" t="s">
        <v>7</v>
      </c>
      <c r="N47" s="19">
        <v>0.55644266183384794</v>
      </c>
    </row>
    <row r="48" spans="2:14" x14ac:dyDescent="0.35">
      <c r="B48" s="18" t="s">
        <v>376</v>
      </c>
      <c r="C48" s="19">
        <v>541.41</v>
      </c>
      <c r="D48" s="19">
        <v>296.04000000000002</v>
      </c>
      <c r="E48" s="19">
        <v>77</v>
      </c>
      <c r="F48" s="19">
        <v>914.45</v>
      </c>
      <c r="M48" s="18" t="s">
        <v>381</v>
      </c>
      <c r="N48" s="19"/>
    </row>
    <row r="49" spans="2:14" x14ac:dyDescent="0.35">
      <c r="B49" s="18" t="s">
        <v>377</v>
      </c>
      <c r="C49" s="19">
        <v>228.11</v>
      </c>
      <c r="D49" s="19">
        <v>406.15</v>
      </c>
      <c r="E49" s="19">
        <v>1100.22</v>
      </c>
      <c r="F49" s="19">
        <v>1734.48</v>
      </c>
      <c r="M49" s="20" t="s">
        <v>2</v>
      </c>
      <c r="N49" s="19">
        <v>4.2587951964070697E-2</v>
      </c>
    </row>
    <row r="50" spans="2:14" x14ac:dyDescent="0.35">
      <c r="B50" s="18" t="s">
        <v>378</v>
      </c>
      <c r="C50" s="19">
        <v>10.199999999999999</v>
      </c>
      <c r="D50" s="19">
        <v>1861.76</v>
      </c>
      <c r="E50" s="19">
        <v>1363.97</v>
      </c>
      <c r="F50" s="19">
        <v>3235.93</v>
      </c>
      <c r="M50" s="20" t="s">
        <v>12</v>
      </c>
      <c r="N50" s="19">
        <v>0.38858746245243608</v>
      </c>
    </row>
    <row r="51" spans="2:14" x14ac:dyDescent="0.35">
      <c r="B51" s="18" t="s">
        <v>379</v>
      </c>
      <c r="C51" s="19">
        <v>811</v>
      </c>
      <c r="D51" s="19">
        <v>957.56</v>
      </c>
      <c r="E51" s="19">
        <v>699.52</v>
      </c>
      <c r="F51" s="19">
        <v>2468.08</v>
      </c>
      <c r="M51" s="20" t="s">
        <v>7</v>
      </c>
      <c r="N51" s="19">
        <v>0.9442952029927667</v>
      </c>
    </row>
    <row r="52" spans="2:14" x14ac:dyDescent="0.35">
      <c r="B52" s="18" t="s">
        <v>380</v>
      </c>
      <c r="C52" s="19">
        <v>974.53</v>
      </c>
      <c r="D52" s="19">
        <v>472.07</v>
      </c>
      <c r="E52" s="19">
        <v>824.04</v>
      </c>
      <c r="F52" s="19">
        <v>2270.64</v>
      </c>
      <c r="M52" s="18" t="s">
        <v>362</v>
      </c>
      <c r="N52" s="19">
        <v>21.713259014343951</v>
      </c>
    </row>
    <row r="53" spans="2:14" x14ac:dyDescent="0.35">
      <c r="B53" s="18" t="s">
        <v>381</v>
      </c>
      <c r="C53" s="19">
        <v>65.430000000000007</v>
      </c>
      <c r="D53" s="19">
        <v>645.52</v>
      </c>
      <c r="E53" s="19">
        <v>1203.93</v>
      </c>
      <c r="F53" s="19">
        <v>1914.88</v>
      </c>
    </row>
    <row r="54" spans="2:14" x14ac:dyDescent="0.35">
      <c r="B54" s="18" t="s">
        <v>362</v>
      </c>
      <c r="C54" s="19">
        <v>6540.37</v>
      </c>
      <c r="D54" s="19">
        <v>8550.59</v>
      </c>
      <c r="E54" s="19">
        <v>7323.47</v>
      </c>
      <c r="F54" s="19">
        <v>22414.43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5A1C-FD00-491A-B317-5C4A71171227}">
  <dimension ref="A1:N151"/>
  <sheetViews>
    <sheetView tabSelected="1" topLeftCell="F1" workbookViewId="0">
      <selection activeCell="K12" sqref="K12"/>
    </sheetView>
  </sheetViews>
  <sheetFormatPr defaultRowHeight="14.5" x14ac:dyDescent="0.35"/>
  <cols>
    <col min="1" max="1" width="11.54296875" customWidth="1"/>
    <col min="2" max="2" width="17.6328125" customWidth="1"/>
    <col min="3" max="3" width="12.81640625" customWidth="1"/>
    <col min="4" max="4" width="17.36328125" customWidth="1"/>
    <col min="6" max="6" width="10.1796875" customWidth="1"/>
    <col min="8" max="8" width="12.08984375" customWidth="1"/>
    <col min="9" max="9" width="9.90625" customWidth="1"/>
    <col min="10" max="10" width="15.7265625" customWidth="1"/>
    <col min="11" max="11" width="12.1796875" customWidth="1"/>
    <col min="12" max="12" width="10.1796875" customWidth="1"/>
    <col min="13" max="14" width="13.08984375" customWidth="1"/>
  </cols>
  <sheetData>
    <row r="1" spans="1:14" x14ac:dyDescent="0.35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354</v>
      </c>
      <c r="H1" t="s">
        <v>353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</row>
    <row r="2" spans="1:14" x14ac:dyDescent="0.35">
      <c r="A2" s="1" t="s">
        <v>0</v>
      </c>
      <c r="B2" s="2">
        <v>45985</v>
      </c>
      <c r="C2" s="3" t="s">
        <v>1</v>
      </c>
      <c r="D2" s="4" t="s">
        <v>2</v>
      </c>
      <c r="E2" s="3">
        <v>240.44</v>
      </c>
      <c r="F2" s="3">
        <v>5</v>
      </c>
      <c r="G2" s="3">
        <v>22.11</v>
      </c>
      <c r="H2" s="5">
        <v>0.05</v>
      </c>
      <c r="I2" s="16" t="str">
        <f t="shared" ref="I2:I33" si="0">TEXT(B2,"mmm")</f>
        <v>Nov</v>
      </c>
      <c r="J2" s="16">
        <f>IF(ROW()=2,0,E1)</f>
        <v>0</v>
      </c>
      <c r="K2" s="16">
        <f t="shared" ref="K2:K33" si="1">E2-J2</f>
        <v>240.44</v>
      </c>
      <c r="L2" s="16">
        <f t="shared" ref="L2:L33" si="2">IF(J2=0,0,(E2-J2)/J2)</f>
        <v>0</v>
      </c>
      <c r="M2" s="16" t="str">
        <f>IF(E2&gt;=AVERAGE(orders[Sales]),"High Sales","Low Sales")</f>
        <v>Low Sales</v>
      </c>
      <c r="N2" s="16">
        <f>orders[[#This Row],[Profit]]/orders[[#This Row],[Sales]]</f>
        <v>9.1956413242388957E-2</v>
      </c>
    </row>
    <row r="3" spans="1:14" x14ac:dyDescent="0.35">
      <c r="A3" s="6" t="s">
        <v>3</v>
      </c>
      <c r="B3" s="7">
        <v>46004</v>
      </c>
      <c r="C3" s="8" t="s">
        <v>4</v>
      </c>
      <c r="D3" s="9" t="s">
        <v>2</v>
      </c>
      <c r="E3" s="8">
        <v>1486.52</v>
      </c>
      <c r="F3" s="8">
        <v>9</v>
      </c>
      <c r="G3" s="8">
        <v>337.66</v>
      </c>
      <c r="H3" s="10">
        <v>0</v>
      </c>
      <c r="I3" s="8" t="str">
        <f t="shared" si="0"/>
        <v>Dec</v>
      </c>
      <c r="J3" s="8">
        <f t="shared" ref="J2:J33" si="3">IF(ROW()=2,0,E2)</f>
        <v>240.44</v>
      </c>
      <c r="K3" s="8">
        <f t="shared" si="1"/>
        <v>1246.08</v>
      </c>
      <c r="L3" s="8">
        <f t="shared" si="2"/>
        <v>5.182498752287473</v>
      </c>
      <c r="M3" s="8" t="str">
        <f>IF(E3&gt;=AVERAGE(orders[Sales]),"High Sales","Low Sales")</f>
        <v>High Sales</v>
      </c>
      <c r="N3" s="8">
        <f>orders[[#This Row],[Profit]]/orders[[#This Row],[Sales]]</f>
        <v>0.22714796975486373</v>
      </c>
    </row>
    <row r="4" spans="1:14" x14ac:dyDescent="0.35">
      <c r="A4" s="1" t="s">
        <v>5</v>
      </c>
      <c r="B4" s="2">
        <v>45705</v>
      </c>
      <c r="C4" s="3" t="s">
        <v>6</v>
      </c>
      <c r="D4" s="4" t="s">
        <v>7</v>
      </c>
      <c r="E4" s="3">
        <v>452.9</v>
      </c>
      <c r="F4" s="3">
        <v>9</v>
      </c>
      <c r="G4" s="3">
        <v>-19.04</v>
      </c>
      <c r="H4" s="5">
        <v>0.2</v>
      </c>
      <c r="I4" s="8" t="str">
        <f t="shared" si="0"/>
        <v>Feb</v>
      </c>
      <c r="J4" s="8">
        <f t="shared" si="3"/>
        <v>1486.52</v>
      </c>
      <c r="K4" s="8">
        <f t="shared" si="1"/>
        <v>-1033.6199999999999</v>
      </c>
      <c r="L4" s="8">
        <f t="shared" si="2"/>
        <v>-0.69532868713505358</v>
      </c>
      <c r="M4" s="8" t="str">
        <f>IF(E4&gt;=AVERAGE(orders[Sales]),"High Sales","Low Sales")</f>
        <v>Low Sales</v>
      </c>
      <c r="N4" s="8">
        <f>orders[[#This Row],[Profit]]/orders[[#This Row],[Sales]]</f>
        <v>-4.2040185471406491E-2</v>
      </c>
    </row>
    <row r="5" spans="1:14" x14ac:dyDescent="0.35">
      <c r="A5" s="6" t="s">
        <v>8</v>
      </c>
      <c r="B5" s="7">
        <v>45990</v>
      </c>
      <c r="C5" s="8" t="s">
        <v>9</v>
      </c>
      <c r="D5" s="9" t="s">
        <v>2</v>
      </c>
      <c r="E5" s="8">
        <v>1408.62</v>
      </c>
      <c r="F5" s="8">
        <v>7</v>
      </c>
      <c r="G5" s="8">
        <v>225.04</v>
      </c>
      <c r="H5" s="10">
        <v>0.05</v>
      </c>
      <c r="I5" s="8" t="str">
        <f t="shared" si="0"/>
        <v>Nov</v>
      </c>
      <c r="J5" s="8">
        <f t="shared" si="3"/>
        <v>452.9</v>
      </c>
      <c r="K5" s="8">
        <f t="shared" si="1"/>
        <v>955.71999999999991</v>
      </c>
      <c r="L5" s="8">
        <f t="shared" si="2"/>
        <v>2.1102230072863768</v>
      </c>
      <c r="M5" s="8" t="str">
        <f>IF(E5&gt;=AVERAGE(orders[Sales]),"High Sales","Low Sales")</f>
        <v>High Sales</v>
      </c>
      <c r="N5" s="8">
        <f>orders[[#This Row],[Profit]]/orders[[#This Row],[Sales]]</f>
        <v>0.15975919694452728</v>
      </c>
    </row>
    <row r="6" spans="1:14" x14ac:dyDescent="0.35">
      <c r="A6" s="1" t="s">
        <v>10</v>
      </c>
      <c r="B6" s="2">
        <v>45739</v>
      </c>
      <c r="C6" s="3" t="s">
        <v>11</v>
      </c>
      <c r="D6" s="4" t="s">
        <v>12</v>
      </c>
      <c r="E6" s="3">
        <v>1402.32</v>
      </c>
      <c r="F6" s="3">
        <v>6</v>
      </c>
      <c r="G6" s="3">
        <v>65.41</v>
      </c>
      <c r="H6" s="5">
        <v>0.1</v>
      </c>
      <c r="I6" s="8" t="str">
        <f t="shared" si="0"/>
        <v>Mar</v>
      </c>
      <c r="J6" s="8">
        <f t="shared" si="3"/>
        <v>1408.62</v>
      </c>
      <c r="K6" s="8">
        <f t="shared" si="1"/>
        <v>-6.2999999999999545</v>
      </c>
      <c r="L6" s="8">
        <f t="shared" si="2"/>
        <v>-4.472462410018284E-3</v>
      </c>
      <c r="M6" s="8" t="str">
        <f>IF(E6&gt;=AVERAGE(orders[Sales]),"High Sales","Low Sales")</f>
        <v>High Sales</v>
      </c>
      <c r="N6" s="8">
        <f>orders[[#This Row],[Profit]]/orders[[#This Row],[Sales]]</f>
        <v>4.6644132580295511E-2</v>
      </c>
    </row>
    <row r="7" spans="1:14" x14ac:dyDescent="0.35">
      <c r="A7" s="6" t="s">
        <v>13</v>
      </c>
      <c r="B7" s="7">
        <v>45710</v>
      </c>
      <c r="C7" s="8" t="s">
        <v>14</v>
      </c>
      <c r="D7" s="9" t="s">
        <v>12</v>
      </c>
      <c r="E7" s="8">
        <v>203.64</v>
      </c>
      <c r="F7" s="8">
        <v>2</v>
      </c>
      <c r="G7" s="8">
        <v>51.78</v>
      </c>
      <c r="H7" s="10">
        <v>0.1</v>
      </c>
      <c r="I7" s="8" t="str">
        <f t="shared" si="0"/>
        <v>Feb</v>
      </c>
      <c r="J7" s="8">
        <f t="shared" si="3"/>
        <v>1402.32</v>
      </c>
      <c r="K7" s="8">
        <f t="shared" si="1"/>
        <v>-1198.6799999999998</v>
      </c>
      <c r="L7" s="8">
        <f t="shared" si="2"/>
        <v>-0.85478350162587702</v>
      </c>
      <c r="M7" s="8" t="str">
        <f>IF(E7&gt;=AVERAGE(orders[Sales]),"High Sales","Low Sales")</f>
        <v>Low Sales</v>
      </c>
      <c r="N7" s="8">
        <f>orders[[#This Row],[Profit]]/orders[[#This Row],[Sales]]</f>
        <v>0.25427224513847968</v>
      </c>
    </row>
    <row r="8" spans="1:14" x14ac:dyDescent="0.35">
      <c r="A8" s="1" t="s">
        <v>15</v>
      </c>
      <c r="B8" s="2">
        <v>45680</v>
      </c>
      <c r="C8" s="3" t="s">
        <v>16</v>
      </c>
      <c r="D8" s="4" t="s">
        <v>2</v>
      </c>
      <c r="E8" s="3">
        <v>1464.87</v>
      </c>
      <c r="F8" s="3">
        <v>9</v>
      </c>
      <c r="G8" s="3">
        <v>500.89</v>
      </c>
      <c r="H8" s="5">
        <v>0</v>
      </c>
      <c r="I8" s="8" t="str">
        <f>TEXT(B8,"mmm")</f>
        <v>Jan</v>
      </c>
      <c r="J8" s="8">
        <f t="shared" si="3"/>
        <v>203.64</v>
      </c>
      <c r="K8" s="8">
        <f t="shared" si="1"/>
        <v>1261.23</v>
      </c>
      <c r="L8" s="8">
        <f t="shared" si="2"/>
        <v>6.1934295816146143</v>
      </c>
      <c r="M8" s="8" t="str">
        <f>IF(E8&gt;=AVERAGE(orders[Sales]),"High Sales","Low Sales")</f>
        <v>High Sales</v>
      </c>
      <c r="N8" s="8">
        <f>orders[[#This Row],[Profit]]/orders[[#This Row],[Sales]]</f>
        <v>0.34193477919542348</v>
      </c>
    </row>
    <row r="9" spans="1:14" x14ac:dyDescent="0.35">
      <c r="A9" s="6" t="s">
        <v>17</v>
      </c>
      <c r="B9" s="7">
        <v>45940</v>
      </c>
      <c r="C9" s="8" t="s">
        <v>18</v>
      </c>
      <c r="D9" s="9" t="s">
        <v>2</v>
      </c>
      <c r="E9" s="8">
        <v>600.49</v>
      </c>
      <c r="F9" s="8">
        <v>10</v>
      </c>
      <c r="G9" s="8">
        <v>104.01</v>
      </c>
      <c r="H9" s="10">
        <v>0.1</v>
      </c>
      <c r="I9" s="8" t="str">
        <f t="shared" si="0"/>
        <v>Oct</v>
      </c>
      <c r="J9" s="8">
        <f t="shared" si="3"/>
        <v>1464.87</v>
      </c>
      <c r="K9" s="8">
        <f t="shared" si="1"/>
        <v>-864.37999999999988</v>
      </c>
      <c r="L9" s="8">
        <f t="shared" si="2"/>
        <v>-0.59007283922805431</v>
      </c>
      <c r="M9" s="8" t="str">
        <f>IF(E9&gt;=AVERAGE(orders[Sales]),"High Sales","Low Sales")</f>
        <v>Low Sales</v>
      </c>
      <c r="N9" s="8">
        <f>orders[[#This Row],[Profit]]/orders[[#This Row],[Sales]]</f>
        <v>0.17320854635381105</v>
      </c>
    </row>
    <row r="10" spans="1:14" x14ac:dyDescent="0.35">
      <c r="A10" s="1" t="s">
        <v>19</v>
      </c>
      <c r="B10" s="2">
        <v>45681</v>
      </c>
      <c r="C10" s="3" t="s">
        <v>20</v>
      </c>
      <c r="D10" s="4" t="s">
        <v>12</v>
      </c>
      <c r="E10" s="3">
        <v>1329.3</v>
      </c>
      <c r="F10" s="3">
        <v>5</v>
      </c>
      <c r="G10" s="3">
        <v>407.56</v>
      </c>
      <c r="H10" s="5">
        <v>0</v>
      </c>
      <c r="I10" s="8" t="str">
        <f t="shared" si="0"/>
        <v>Jan</v>
      </c>
      <c r="J10" s="8">
        <f t="shared" si="3"/>
        <v>600.49</v>
      </c>
      <c r="K10" s="8">
        <f t="shared" si="1"/>
        <v>728.81</v>
      </c>
      <c r="L10" s="8">
        <f t="shared" si="2"/>
        <v>1.2136921514096819</v>
      </c>
      <c r="M10" s="8" t="str">
        <f>IF(E10&gt;=AVERAGE(orders[Sales]),"High Sales","Low Sales")</f>
        <v>High Sales</v>
      </c>
      <c r="N10" s="8">
        <f>orders[[#This Row],[Profit]]/orders[[#This Row],[Sales]]</f>
        <v>0.3065974573083578</v>
      </c>
    </row>
    <row r="11" spans="1:14" x14ac:dyDescent="0.35">
      <c r="A11" s="6" t="s">
        <v>21</v>
      </c>
      <c r="B11" s="7">
        <v>45800</v>
      </c>
      <c r="C11" s="8" t="s">
        <v>22</v>
      </c>
      <c r="D11" s="9" t="s">
        <v>7</v>
      </c>
      <c r="E11" s="8">
        <v>917.75</v>
      </c>
      <c r="F11" s="8">
        <v>6</v>
      </c>
      <c r="G11" s="8">
        <v>124.86</v>
      </c>
      <c r="H11" s="10">
        <v>0.05</v>
      </c>
      <c r="I11" s="8" t="str">
        <f t="shared" si="0"/>
        <v>May</v>
      </c>
      <c r="J11" s="8">
        <f t="shared" si="3"/>
        <v>1329.3</v>
      </c>
      <c r="K11" s="8">
        <f t="shared" si="1"/>
        <v>-411.54999999999995</v>
      </c>
      <c r="L11" s="8">
        <f t="shared" si="2"/>
        <v>-0.30959903708718872</v>
      </c>
      <c r="M11" s="8" t="str">
        <f>IF(E11&gt;=AVERAGE(orders[Sales]),"High Sales","Low Sales")</f>
        <v>Low Sales</v>
      </c>
      <c r="N11" s="8">
        <f>orders[[#This Row],[Profit]]/orders[[#This Row],[Sales]]</f>
        <v>0.13605012258240262</v>
      </c>
    </row>
    <row r="12" spans="1:14" x14ac:dyDescent="0.35">
      <c r="A12" s="1" t="s">
        <v>23</v>
      </c>
      <c r="B12" s="2">
        <v>45794</v>
      </c>
      <c r="C12" s="3" t="s">
        <v>24</v>
      </c>
      <c r="D12" s="4" t="s">
        <v>7</v>
      </c>
      <c r="E12" s="3">
        <v>1409.6</v>
      </c>
      <c r="F12" s="3">
        <v>2</v>
      </c>
      <c r="G12" s="3">
        <v>198.04</v>
      </c>
      <c r="H12" s="5">
        <v>0.2</v>
      </c>
      <c r="I12" s="8" t="str">
        <f t="shared" si="0"/>
        <v>May</v>
      </c>
      <c r="J12" s="8">
        <f t="shared" si="3"/>
        <v>917.75</v>
      </c>
      <c r="K12" s="8">
        <f t="shared" si="1"/>
        <v>491.84999999999991</v>
      </c>
      <c r="L12" s="8">
        <f t="shared" si="2"/>
        <v>0.53593026423317891</v>
      </c>
      <c r="M12" s="8" t="str">
        <f>IF(E12&gt;=AVERAGE(orders[Sales]),"High Sales","Low Sales")</f>
        <v>High Sales</v>
      </c>
      <c r="N12" s="8">
        <f>orders[[#This Row],[Profit]]/orders[[#This Row],[Sales]]</f>
        <v>0.14049375709421114</v>
      </c>
    </row>
    <row r="13" spans="1:14" x14ac:dyDescent="0.35">
      <c r="A13" s="6" t="s">
        <v>25</v>
      </c>
      <c r="B13" s="7">
        <v>45783</v>
      </c>
      <c r="C13" s="8" t="s">
        <v>26</v>
      </c>
      <c r="D13" s="9" t="s">
        <v>7</v>
      </c>
      <c r="E13" s="8">
        <v>343.54</v>
      </c>
      <c r="F13" s="8">
        <v>7</v>
      </c>
      <c r="G13" s="8">
        <v>101.98</v>
      </c>
      <c r="H13" s="10">
        <v>0.1</v>
      </c>
      <c r="I13" s="8" t="str">
        <f t="shared" si="0"/>
        <v>May</v>
      </c>
      <c r="J13" s="8">
        <f t="shared" si="3"/>
        <v>1409.6</v>
      </c>
      <c r="K13" s="8">
        <f t="shared" si="1"/>
        <v>-1066.06</v>
      </c>
      <c r="L13" s="8">
        <f t="shared" si="2"/>
        <v>-0.75628547105561861</v>
      </c>
      <c r="M13" s="8" t="str">
        <f>IF(E13&gt;=AVERAGE(orders[Sales]),"High Sales","Low Sales")</f>
        <v>Low Sales</v>
      </c>
      <c r="N13" s="8">
        <f>orders[[#This Row],[Profit]]/orders[[#This Row],[Sales]]</f>
        <v>0.29685043954124701</v>
      </c>
    </row>
    <row r="14" spans="1:14" x14ac:dyDescent="0.35">
      <c r="A14" s="1" t="s">
        <v>27</v>
      </c>
      <c r="B14" s="2">
        <v>45943</v>
      </c>
      <c r="C14" s="3" t="s">
        <v>4</v>
      </c>
      <c r="D14" s="4" t="s">
        <v>12</v>
      </c>
      <c r="E14" s="3">
        <v>454.84</v>
      </c>
      <c r="F14" s="3">
        <v>6</v>
      </c>
      <c r="G14" s="3">
        <v>54</v>
      </c>
      <c r="H14" s="5">
        <v>0</v>
      </c>
      <c r="I14" s="8" t="str">
        <f t="shared" si="0"/>
        <v>Oct</v>
      </c>
      <c r="J14" s="8">
        <f t="shared" si="3"/>
        <v>343.54</v>
      </c>
      <c r="K14" s="8">
        <f t="shared" si="1"/>
        <v>111.29999999999995</v>
      </c>
      <c r="L14" s="8">
        <f t="shared" si="2"/>
        <v>0.3239797403504685</v>
      </c>
      <c r="M14" s="8" t="str">
        <f>IF(E14&gt;=AVERAGE(orders[Sales]),"High Sales","Low Sales")</f>
        <v>Low Sales</v>
      </c>
      <c r="N14" s="8">
        <f>orders[[#This Row],[Profit]]/orders[[#This Row],[Sales]]</f>
        <v>0.11872306745229093</v>
      </c>
    </row>
    <row r="15" spans="1:14" x14ac:dyDescent="0.35">
      <c r="A15" s="6" t="s">
        <v>28</v>
      </c>
      <c r="B15" s="7">
        <v>45863</v>
      </c>
      <c r="C15" s="8" t="s">
        <v>29</v>
      </c>
      <c r="D15" s="9" t="s">
        <v>2</v>
      </c>
      <c r="E15" s="8">
        <v>550.13</v>
      </c>
      <c r="F15" s="8">
        <v>4</v>
      </c>
      <c r="G15" s="8">
        <v>117.13</v>
      </c>
      <c r="H15" s="10">
        <v>0.2</v>
      </c>
      <c r="I15" s="8" t="str">
        <f t="shared" si="0"/>
        <v>Jul</v>
      </c>
      <c r="J15" s="8">
        <f t="shared" si="3"/>
        <v>454.84</v>
      </c>
      <c r="K15" s="8">
        <f t="shared" si="1"/>
        <v>95.29000000000002</v>
      </c>
      <c r="L15" s="8">
        <f t="shared" si="2"/>
        <v>0.2095022425468297</v>
      </c>
      <c r="M15" s="8" t="str">
        <f>IF(E15&gt;=AVERAGE(orders[Sales]),"High Sales","Low Sales")</f>
        <v>Low Sales</v>
      </c>
      <c r="N15" s="8">
        <f>orders[[#This Row],[Profit]]/orders[[#This Row],[Sales]]</f>
        <v>0.21291331139912384</v>
      </c>
    </row>
    <row r="16" spans="1:14" x14ac:dyDescent="0.35">
      <c r="A16" s="1" t="s">
        <v>30</v>
      </c>
      <c r="B16" s="2">
        <v>45993</v>
      </c>
      <c r="C16" s="3" t="s">
        <v>31</v>
      </c>
      <c r="D16" s="4" t="s">
        <v>7</v>
      </c>
      <c r="E16" s="3">
        <v>1008.48</v>
      </c>
      <c r="F16" s="3">
        <v>8</v>
      </c>
      <c r="G16" s="3">
        <v>105.35</v>
      </c>
      <c r="H16" s="5">
        <v>0.05</v>
      </c>
      <c r="I16" s="8" t="str">
        <f t="shared" si="0"/>
        <v>Dec</v>
      </c>
      <c r="J16" s="8">
        <f t="shared" si="3"/>
        <v>550.13</v>
      </c>
      <c r="K16" s="8">
        <f t="shared" si="1"/>
        <v>458.35</v>
      </c>
      <c r="L16" s="8">
        <f t="shared" si="2"/>
        <v>0.83316670605129706</v>
      </c>
      <c r="M16" s="8" t="str">
        <f>IF(E16&gt;=AVERAGE(orders[Sales]),"High Sales","Low Sales")</f>
        <v>Low Sales</v>
      </c>
      <c r="N16" s="8">
        <f>orders[[#This Row],[Profit]]/orders[[#This Row],[Sales]]</f>
        <v>0.10446414405838489</v>
      </c>
    </row>
    <row r="17" spans="1:14" x14ac:dyDescent="0.35">
      <c r="A17" s="6" t="s">
        <v>32</v>
      </c>
      <c r="B17" s="7">
        <v>45945</v>
      </c>
      <c r="C17" s="8" t="s">
        <v>33</v>
      </c>
      <c r="D17" s="9" t="s">
        <v>12</v>
      </c>
      <c r="E17" s="8">
        <v>1087.18</v>
      </c>
      <c r="F17" s="8">
        <v>10</v>
      </c>
      <c r="G17" s="8">
        <v>265.64999999999998</v>
      </c>
      <c r="H17" s="10">
        <v>0.15</v>
      </c>
      <c r="I17" s="8" t="str">
        <f t="shared" si="0"/>
        <v>Oct</v>
      </c>
      <c r="J17" s="8">
        <f t="shared" si="3"/>
        <v>1008.48</v>
      </c>
      <c r="K17" s="8">
        <f t="shared" si="1"/>
        <v>78.700000000000045</v>
      </c>
      <c r="L17" s="8">
        <f t="shared" si="2"/>
        <v>7.8038235760748892E-2</v>
      </c>
      <c r="M17" s="8" t="str">
        <f>IF(E17&gt;=AVERAGE(orders[Sales]),"High Sales","Low Sales")</f>
        <v>High Sales</v>
      </c>
      <c r="N17" s="8">
        <f>orders[[#This Row],[Profit]]/orders[[#This Row],[Sales]]</f>
        <v>0.24434776210011219</v>
      </c>
    </row>
    <row r="18" spans="1:14" x14ac:dyDescent="0.35">
      <c r="A18" s="1" t="s">
        <v>34</v>
      </c>
      <c r="B18" s="2">
        <v>45770</v>
      </c>
      <c r="C18" s="3" t="s">
        <v>35</v>
      </c>
      <c r="D18" s="4" t="s">
        <v>2</v>
      </c>
      <c r="E18" s="3">
        <v>1994.71</v>
      </c>
      <c r="F18" s="3">
        <v>3</v>
      </c>
      <c r="G18" s="3">
        <v>195.59</v>
      </c>
      <c r="H18" s="5">
        <v>0.2</v>
      </c>
      <c r="I18" s="8" t="str">
        <f t="shared" si="0"/>
        <v>Apr</v>
      </c>
      <c r="J18" s="8">
        <f t="shared" si="3"/>
        <v>1087.18</v>
      </c>
      <c r="K18" s="8">
        <f t="shared" si="1"/>
        <v>907.53</v>
      </c>
      <c r="L18" s="8">
        <f t="shared" si="2"/>
        <v>0.83475597417171021</v>
      </c>
      <c r="M18" s="8" t="str">
        <f>IF(E18&gt;=AVERAGE(orders[Sales]),"High Sales","Low Sales")</f>
        <v>High Sales</v>
      </c>
      <c r="N18" s="8">
        <f>orders[[#This Row],[Profit]]/orders[[#This Row],[Sales]]</f>
        <v>9.8054353765710298E-2</v>
      </c>
    </row>
    <row r="19" spans="1:14" x14ac:dyDescent="0.35">
      <c r="A19" s="6" t="s">
        <v>36</v>
      </c>
      <c r="B19" s="7">
        <v>45714</v>
      </c>
      <c r="C19" s="8" t="s">
        <v>37</v>
      </c>
      <c r="D19" s="9" t="s">
        <v>12</v>
      </c>
      <c r="E19" s="8">
        <v>322.63</v>
      </c>
      <c r="F19" s="8">
        <v>3</v>
      </c>
      <c r="G19" s="8">
        <v>8.6</v>
      </c>
      <c r="H19" s="10">
        <v>0.3</v>
      </c>
      <c r="I19" s="8" t="str">
        <f t="shared" si="0"/>
        <v>Feb</v>
      </c>
      <c r="J19" s="8">
        <f t="shared" si="3"/>
        <v>1994.71</v>
      </c>
      <c r="K19" s="8">
        <f t="shared" si="1"/>
        <v>-1672.08</v>
      </c>
      <c r="L19" s="8">
        <f t="shared" si="2"/>
        <v>-0.83825719026825951</v>
      </c>
      <c r="M19" s="8" t="str">
        <f>IF(E19&gt;=AVERAGE(orders[Sales]),"High Sales","Low Sales")</f>
        <v>Low Sales</v>
      </c>
      <c r="N19" s="8">
        <f>orders[[#This Row],[Profit]]/orders[[#This Row],[Sales]]</f>
        <v>2.6655921643988469E-2</v>
      </c>
    </row>
    <row r="20" spans="1:14" x14ac:dyDescent="0.35">
      <c r="A20" s="1" t="s">
        <v>38</v>
      </c>
      <c r="B20" s="2">
        <v>45853</v>
      </c>
      <c r="C20" s="3" t="s">
        <v>39</v>
      </c>
      <c r="D20" s="4" t="s">
        <v>2</v>
      </c>
      <c r="E20" s="3">
        <v>1199.8599999999999</v>
      </c>
      <c r="F20" s="3">
        <v>8</v>
      </c>
      <c r="G20" s="3">
        <v>30.51</v>
      </c>
      <c r="H20" s="5">
        <v>0.2</v>
      </c>
      <c r="I20" s="8" t="str">
        <f t="shared" si="0"/>
        <v>Jul</v>
      </c>
      <c r="J20" s="8">
        <f t="shared" si="3"/>
        <v>322.63</v>
      </c>
      <c r="K20" s="8">
        <f t="shared" si="1"/>
        <v>877.2299999999999</v>
      </c>
      <c r="L20" s="8">
        <f t="shared" si="2"/>
        <v>2.7189969934600002</v>
      </c>
      <c r="M20" s="8" t="str">
        <f>IF(E20&gt;=AVERAGE(orders[Sales]),"High Sales","Low Sales")</f>
        <v>High Sales</v>
      </c>
      <c r="N20" s="8">
        <f>orders[[#This Row],[Profit]]/orders[[#This Row],[Sales]]</f>
        <v>2.5427966596102882E-2</v>
      </c>
    </row>
    <row r="21" spans="1:14" x14ac:dyDescent="0.35">
      <c r="A21" s="6" t="s">
        <v>40</v>
      </c>
      <c r="B21" s="7">
        <v>46006</v>
      </c>
      <c r="C21" s="8" t="s">
        <v>41</v>
      </c>
      <c r="D21" s="9" t="s">
        <v>2</v>
      </c>
      <c r="E21" s="8">
        <v>1447.03</v>
      </c>
      <c r="F21" s="8">
        <v>9</v>
      </c>
      <c r="G21" s="8">
        <v>333.66</v>
      </c>
      <c r="H21" s="10">
        <v>0.1</v>
      </c>
      <c r="I21" s="8" t="str">
        <f t="shared" si="0"/>
        <v>Dec</v>
      </c>
      <c r="J21" s="8">
        <f t="shared" si="3"/>
        <v>1199.8599999999999</v>
      </c>
      <c r="K21" s="8">
        <f t="shared" si="1"/>
        <v>247.17000000000007</v>
      </c>
      <c r="L21" s="8">
        <f t="shared" si="2"/>
        <v>0.20599903322054247</v>
      </c>
      <c r="M21" s="8" t="str">
        <f>IF(E21&gt;=AVERAGE(orders[Sales]),"High Sales","Low Sales")</f>
        <v>High Sales</v>
      </c>
      <c r="N21" s="8">
        <f>orders[[#This Row],[Profit]]/orders[[#This Row],[Sales]]</f>
        <v>0.23058264168676532</v>
      </c>
    </row>
    <row r="22" spans="1:14" x14ac:dyDescent="0.35">
      <c r="A22" s="1" t="s">
        <v>42</v>
      </c>
      <c r="B22" s="2">
        <v>45808</v>
      </c>
      <c r="C22" s="3" t="s">
        <v>43</v>
      </c>
      <c r="D22" s="4" t="s">
        <v>12</v>
      </c>
      <c r="E22" s="3">
        <v>880.84</v>
      </c>
      <c r="F22" s="3">
        <v>8</v>
      </c>
      <c r="G22" s="3">
        <v>296.08999999999997</v>
      </c>
      <c r="H22" s="5">
        <v>0</v>
      </c>
      <c r="I22" s="8" t="str">
        <f t="shared" si="0"/>
        <v>May</v>
      </c>
      <c r="J22" s="8">
        <f t="shared" si="3"/>
        <v>1447.03</v>
      </c>
      <c r="K22" s="8">
        <f t="shared" si="1"/>
        <v>-566.18999999999994</v>
      </c>
      <c r="L22" s="8">
        <f t="shared" si="2"/>
        <v>-0.39127730593007742</v>
      </c>
      <c r="M22" s="8" t="str">
        <f>IF(E22&gt;=AVERAGE(orders[Sales]),"High Sales","Low Sales")</f>
        <v>Low Sales</v>
      </c>
      <c r="N22" s="8">
        <f>orders[[#This Row],[Profit]]/orders[[#This Row],[Sales]]</f>
        <v>0.33614504336769441</v>
      </c>
    </row>
    <row r="23" spans="1:14" x14ac:dyDescent="0.35">
      <c r="A23" s="6" t="s">
        <v>44</v>
      </c>
      <c r="B23" s="7">
        <v>45914</v>
      </c>
      <c r="C23" s="8" t="s">
        <v>45</v>
      </c>
      <c r="D23" s="9" t="s">
        <v>7</v>
      </c>
      <c r="E23" s="8">
        <v>1528.69</v>
      </c>
      <c r="F23" s="8">
        <v>9</v>
      </c>
      <c r="G23" s="8">
        <v>475.66</v>
      </c>
      <c r="H23" s="10">
        <v>0</v>
      </c>
      <c r="I23" s="8" t="str">
        <f t="shared" si="0"/>
        <v>Sep</v>
      </c>
      <c r="J23" s="8">
        <f t="shared" si="3"/>
        <v>880.84</v>
      </c>
      <c r="K23" s="8">
        <f t="shared" si="1"/>
        <v>647.85</v>
      </c>
      <c r="L23" s="8">
        <f t="shared" si="2"/>
        <v>0.73549112211071255</v>
      </c>
      <c r="M23" s="8" t="str">
        <f>IF(E23&gt;=AVERAGE(orders[Sales]),"High Sales","Low Sales")</f>
        <v>High Sales</v>
      </c>
      <c r="N23" s="8">
        <f>orders[[#This Row],[Profit]]/orders[[#This Row],[Sales]]</f>
        <v>0.31115530290641008</v>
      </c>
    </row>
    <row r="24" spans="1:14" x14ac:dyDescent="0.35">
      <c r="A24" s="1" t="s">
        <v>46</v>
      </c>
      <c r="B24" s="2">
        <v>45917</v>
      </c>
      <c r="C24" s="3" t="s">
        <v>47</v>
      </c>
      <c r="D24" s="4" t="s">
        <v>7</v>
      </c>
      <c r="E24" s="3">
        <v>1225.76</v>
      </c>
      <c r="F24" s="3">
        <v>3</v>
      </c>
      <c r="G24" s="3">
        <v>280.39999999999998</v>
      </c>
      <c r="H24" s="5">
        <v>0.1</v>
      </c>
      <c r="I24" s="8" t="str">
        <f t="shared" si="0"/>
        <v>Sep</v>
      </c>
      <c r="J24" s="8">
        <f t="shared" si="3"/>
        <v>1528.69</v>
      </c>
      <c r="K24" s="8">
        <f t="shared" si="1"/>
        <v>-302.93000000000006</v>
      </c>
      <c r="L24" s="8">
        <f t="shared" si="2"/>
        <v>-0.19816313314013964</v>
      </c>
      <c r="M24" s="8" t="str">
        <f>IF(E24&gt;=AVERAGE(orders[Sales]),"High Sales","Low Sales")</f>
        <v>High Sales</v>
      </c>
      <c r="N24" s="8">
        <f>orders[[#This Row],[Profit]]/orders[[#This Row],[Sales]]</f>
        <v>0.22875603707087847</v>
      </c>
    </row>
    <row r="25" spans="1:14" x14ac:dyDescent="0.35">
      <c r="A25" s="6" t="s">
        <v>48</v>
      </c>
      <c r="B25" s="7">
        <v>45658</v>
      </c>
      <c r="C25" s="8" t="s">
        <v>49</v>
      </c>
      <c r="D25" s="9" t="s">
        <v>12</v>
      </c>
      <c r="E25" s="8">
        <v>1205.9100000000001</v>
      </c>
      <c r="F25" s="8">
        <v>8</v>
      </c>
      <c r="G25" s="8">
        <v>100.77</v>
      </c>
      <c r="H25" s="10">
        <v>0</v>
      </c>
      <c r="I25" s="8" t="str">
        <f t="shared" si="0"/>
        <v>Jan</v>
      </c>
      <c r="J25" s="8">
        <f t="shared" si="3"/>
        <v>1225.76</v>
      </c>
      <c r="K25" s="8">
        <f t="shared" si="1"/>
        <v>-19.849999999999909</v>
      </c>
      <c r="L25" s="8">
        <f t="shared" si="2"/>
        <v>-1.619403472131568E-2</v>
      </c>
      <c r="M25" s="8" t="str">
        <f>IF(E25&gt;=AVERAGE(orders[Sales]),"High Sales","Low Sales")</f>
        <v>High Sales</v>
      </c>
      <c r="N25" s="8">
        <f>orders[[#This Row],[Profit]]/orders[[#This Row],[Sales]]</f>
        <v>8.3563450008707102E-2</v>
      </c>
    </row>
    <row r="26" spans="1:14" x14ac:dyDescent="0.35">
      <c r="A26" s="1" t="s">
        <v>50</v>
      </c>
      <c r="B26" s="2">
        <v>45780</v>
      </c>
      <c r="C26" s="3" t="s">
        <v>51</v>
      </c>
      <c r="D26" s="4" t="s">
        <v>2</v>
      </c>
      <c r="E26" s="3">
        <v>134.69</v>
      </c>
      <c r="F26" s="3">
        <v>10</v>
      </c>
      <c r="G26" s="3">
        <v>10.199999999999999</v>
      </c>
      <c r="H26" s="5">
        <v>0</v>
      </c>
      <c r="I26" s="8" t="str">
        <f t="shared" si="0"/>
        <v>May</v>
      </c>
      <c r="J26" s="8">
        <f t="shared" si="3"/>
        <v>1205.9100000000001</v>
      </c>
      <c r="K26" s="8">
        <f t="shared" si="1"/>
        <v>-1071.22</v>
      </c>
      <c r="L26" s="8">
        <f t="shared" si="2"/>
        <v>-0.88830841439245045</v>
      </c>
      <c r="M26" s="8" t="str">
        <f>IF(E26&gt;=AVERAGE(orders[Sales]),"High Sales","Low Sales")</f>
        <v>Low Sales</v>
      </c>
      <c r="N26" s="8">
        <f>orders[[#This Row],[Profit]]/orders[[#This Row],[Sales]]</f>
        <v>7.5729452817581103E-2</v>
      </c>
    </row>
    <row r="27" spans="1:14" x14ac:dyDescent="0.35">
      <c r="A27" s="6" t="s">
        <v>52</v>
      </c>
      <c r="B27" s="7">
        <v>45930</v>
      </c>
      <c r="C27" s="8" t="s">
        <v>39</v>
      </c>
      <c r="D27" s="9" t="s">
        <v>2</v>
      </c>
      <c r="E27" s="8">
        <v>1536.35</v>
      </c>
      <c r="F27" s="8">
        <v>3</v>
      </c>
      <c r="G27" s="8">
        <v>65.430000000000007</v>
      </c>
      <c r="H27" s="10">
        <v>0.3</v>
      </c>
      <c r="I27" s="8" t="str">
        <f t="shared" si="0"/>
        <v>Sep</v>
      </c>
      <c r="J27" s="8">
        <f t="shared" si="3"/>
        <v>134.69</v>
      </c>
      <c r="K27" s="8">
        <f t="shared" si="1"/>
        <v>1401.6599999999999</v>
      </c>
      <c r="L27" s="8">
        <f t="shared" si="2"/>
        <v>10.406563219244189</v>
      </c>
      <c r="M27" s="8" t="str">
        <f>IF(E27&gt;=AVERAGE(orders[Sales]),"High Sales","Low Sales")</f>
        <v>High Sales</v>
      </c>
      <c r="N27" s="8">
        <f>orders[[#This Row],[Profit]]/orders[[#This Row],[Sales]]</f>
        <v>4.2587951964070697E-2</v>
      </c>
    </row>
    <row r="28" spans="1:14" x14ac:dyDescent="0.35">
      <c r="A28" s="1" t="s">
        <v>53</v>
      </c>
      <c r="B28" s="2">
        <v>45793</v>
      </c>
      <c r="C28" s="3" t="s">
        <v>47</v>
      </c>
      <c r="D28" s="4" t="s">
        <v>7</v>
      </c>
      <c r="E28" s="3">
        <v>1064.79</v>
      </c>
      <c r="F28" s="3">
        <v>10</v>
      </c>
      <c r="G28" s="3">
        <v>281.43</v>
      </c>
      <c r="H28" s="5">
        <v>0.15</v>
      </c>
      <c r="I28" s="8" t="str">
        <f t="shared" si="0"/>
        <v>May</v>
      </c>
      <c r="J28" s="8">
        <f t="shared" si="3"/>
        <v>1536.35</v>
      </c>
      <c r="K28" s="8">
        <f t="shared" si="1"/>
        <v>-471.55999999999995</v>
      </c>
      <c r="L28" s="8">
        <f t="shared" si="2"/>
        <v>-0.30693526865623066</v>
      </c>
      <c r="M28" s="8" t="str">
        <f>IF(E28&gt;=AVERAGE(orders[Sales]),"High Sales","Low Sales")</f>
        <v>High Sales</v>
      </c>
      <c r="N28" s="8">
        <f>orders[[#This Row],[Profit]]/orders[[#This Row],[Sales]]</f>
        <v>0.26430563773138366</v>
      </c>
    </row>
    <row r="29" spans="1:14" x14ac:dyDescent="0.35">
      <c r="A29" s="6" t="s">
        <v>54</v>
      </c>
      <c r="B29" s="7">
        <v>46011</v>
      </c>
      <c r="C29" s="8" t="s">
        <v>55</v>
      </c>
      <c r="D29" s="9" t="s">
        <v>12</v>
      </c>
      <c r="E29" s="8">
        <v>418.28</v>
      </c>
      <c r="F29" s="8">
        <v>5</v>
      </c>
      <c r="G29" s="8">
        <v>114.42</v>
      </c>
      <c r="H29" s="10">
        <v>0.15</v>
      </c>
      <c r="I29" s="8" t="str">
        <f t="shared" si="0"/>
        <v>Dec</v>
      </c>
      <c r="J29" s="8">
        <f t="shared" si="3"/>
        <v>1064.79</v>
      </c>
      <c r="K29" s="8">
        <f t="shared" si="1"/>
        <v>-646.51</v>
      </c>
      <c r="L29" s="8">
        <f t="shared" si="2"/>
        <v>-0.60717136712403386</v>
      </c>
      <c r="M29" s="8" t="str">
        <f>IF(E29&gt;=AVERAGE(orders[Sales]),"High Sales","Low Sales")</f>
        <v>Low Sales</v>
      </c>
      <c r="N29" s="8">
        <f>orders[[#This Row],[Profit]]/orders[[#This Row],[Sales]]</f>
        <v>0.27354881897293681</v>
      </c>
    </row>
    <row r="30" spans="1:14" x14ac:dyDescent="0.35">
      <c r="A30" s="1" t="s">
        <v>56</v>
      </c>
      <c r="B30" s="2">
        <v>45882</v>
      </c>
      <c r="C30" s="3" t="s">
        <v>37</v>
      </c>
      <c r="D30" s="4" t="s">
        <v>12</v>
      </c>
      <c r="E30" s="3">
        <v>1801.24</v>
      </c>
      <c r="F30" s="3">
        <v>8</v>
      </c>
      <c r="G30" s="3">
        <v>224.02</v>
      </c>
      <c r="H30" s="5">
        <v>0</v>
      </c>
      <c r="I30" s="8" t="str">
        <f t="shared" si="0"/>
        <v>Aug</v>
      </c>
      <c r="J30" s="8">
        <f t="shared" si="3"/>
        <v>418.28</v>
      </c>
      <c r="K30" s="8">
        <f t="shared" si="1"/>
        <v>1382.96</v>
      </c>
      <c r="L30" s="8">
        <f t="shared" si="2"/>
        <v>3.3063019986611843</v>
      </c>
      <c r="M30" s="8" t="str">
        <f>IF(E30&gt;=AVERAGE(orders[Sales]),"High Sales","Low Sales")</f>
        <v>High Sales</v>
      </c>
      <c r="N30" s="8">
        <f>orders[[#This Row],[Profit]]/orders[[#This Row],[Sales]]</f>
        <v>0.12436987852812507</v>
      </c>
    </row>
    <row r="31" spans="1:14" x14ac:dyDescent="0.35">
      <c r="A31" s="6" t="s">
        <v>57</v>
      </c>
      <c r="B31" s="7">
        <v>45668</v>
      </c>
      <c r="C31" s="8" t="s">
        <v>58</v>
      </c>
      <c r="D31" s="9" t="s">
        <v>7</v>
      </c>
      <c r="E31" s="8">
        <v>1184.8499999999999</v>
      </c>
      <c r="F31" s="8">
        <v>4</v>
      </c>
      <c r="G31" s="8">
        <v>19.03</v>
      </c>
      <c r="H31" s="10">
        <v>0.2</v>
      </c>
      <c r="I31" s="8" t="str">
        <f t="shared" si="0"/>
        <v>Jan</v>
      </c>
      <c r="J31" s="8">
        <f t="shared" si="3"/>
        <v>1801.24</v>
      </c>
      <c r="K31" s="8">
        <f t="shared" si="1"/>
        <v>-616.3900000000001</v>
      </c>
      <c r="L31" s="8">
        <f t="shared" si="2"/>
        <v>-0.34220314894184012</v>
      </c>
      <c r="M31" s="8" t="str">
        <f>IF(E31&gt;=AVERAGE(orders[Sales]),"High Sales","Low Sales")</f>
        <v>High Sales</v>
      </c>
      <c r="N31" s="8">
        <f>orders[[#This Row],[Profit]]/orders[[#This Row],[Sales]]</f>
        <v>1.6061104781195934E-2</v>
      </c>
    </row>
    <row r="32" spans="1:14" x14ac:dyDescent="0.35">
      <c r="A32" s="1" t="s">
        <v>59</v>
      </c>
      <c r="B32" s="2">
        <v>45981</v>
      </c>
      <c r="C32" s="3" t="s">
        <v>58</v>
      </c>
      <c r="D32" s="4" t="s">
        <v>7</v>
      </c>
      <c r="E32" s="3">
        <v>136.57</v>
      </c>
      <c r="F32" s="3">
        <v>2</v>
      </c>
      <c r="G32" s="3">
        <v>42.05</v>
      </c>
      <c r="H32" s="5">
        <v>0</v>
      </c>
      <c r="I32" s="8" t="str">
        <f t="shared" si="0"/>
        <v>Nov</v>
      </c>
      <c r="J32" s="8">
        <f t="shared" si="3"/>
        <v>1184.8499999999999</v>
      </c>
      <c r="K32" s="8">
        <f t="shared" si="1"/>
        <v>-1048.28</v>
      </c>
      <c r="L32" s="8">
        <f t="shared" si="2"/>
        <v>-0.88473646453137533</v>
      </c>
      <c r="M32" s="8" t="str">
        <f>IF(E32&gt;=AVERAGE(orders[Sales]),"High Sales","Low Sales")</f>
        <v>Low Sales</v>
      </c>
      <c r="N32" s="8">
        <f>orders[[#This Row],[Profit]]/orders[[#This Row],[Sales]]</f>
        <v>0.30790071025847549</v>
      </c>
    </row>
    <row r="33" spans="1:14" x14ac:dyDescent="0.35">
      <c r="A33" s="6" t="s">
        <v>60</v>
      </c>
      <c r="B33" s="7">
        <v>45779</v>
      </c>
      <c r="C33" s="8" t="s">
        <v>43</v>
      </c>
      <c r="D33" s="9" t="s">
        <v>7</v>
      </c>
      <c r="E33" s="8">
        <v>571.38</v>
      </c>
      <c r="F33" s="8">
        <v>8</v>
      </c>
      <c r="G33" s="8">
        <v>106.72</v>
      </c>
      <c r="H33" s="10">
        <v>0.05</v>
      </c>
      <c r="I33" s="8" t="str">
        <f t="shared" si="0"/>
        <v>May</v>
      </c>
      <c r="J33" s="8">
        <f t="shared" si="3"/>
        <v>136.57</v>
      </c>
      <c r="K33" s="8">
        <f t="shared" si="1"/>
        <v>434.81</v>
      </c>
      <c r="L33" s="8">
        <f t="shared" si="2"/>
        <v>3.1837885333528595</v>
      </c>
      <c r="M33" s="8" t="str">
        <f>IF(E33&gt;=AVERAGE(orders[Sales]),"High Sales","Low Sales")</f>
        <v>Low Sales</v>
      </c>
      <c r="N33" s="8">
        <f>orders[[#This Row],[Profit]]/orders[[#This Row],[Sales]]</f>
        <v>0.18677587594945572</v>
      </c>
    </row>
    <row r="34" spans="1:14" x14ac:dyDescent="0.35">
      <c r="A34" s="1" t="s">
        <v>61</v>
      </c>
      <c r="B34" s="2">
        <v>45953</v>
      </c>
      <c r="C34" s="3" t="s">
        <v>20</v>
      </c>
      <c r="D34" s="4" t="s">
        <v>7</v>
      </c>
      <c r="E34" s="3">
        <v>955.89</v>
      </c>
      <c r="F34" s="3">
        <v>8</v>
      </c>
      <c r="G34" s="3">
        <v>30.71</v>
      </c>
      <c r="H34" s="5">
        <v>0.15</v>
      </c>
      <c r="I34" s="8" t="str">
        <f t="shared" ref="I34:I65" si="4">TEXT(B34,"mmm")</f>
        <v>Oct</v>
      </c>
      <c r="J34" s="8">
        <f t="shared" ref="J34:J65" si="5">IF(ROW()=2,0,E33)</f>
        <v>571.38</v>
      </c>
      <c r="K34" s="8">
        <f t="shared" ref="K34:K65" si="6">E34-J34</f>
        <v>384.51</v>
      </c>
      <c r="L34" s="8">
        <f t="shared" ref="L34:L65" si="7">IF(J34=0,0,(E34-J34)/J34)</f>
        <v>0.67294970072456162</v>
      </c>
      <c r="M34" s="8" t="str">
        <f>IF(E34&gt;=AVERAGE(orders[Sales]),"High Sales","Low Sales")</f>
        <v>Low Sales</v>
      </c>
      <c r="N34" s="8">
        <f>orders[[#This Row],[Profit]]/orders[[#This Row],[Sales]]</f>
        <v>3.2127127598363829E-2</v>
      </c>
    </row>
    <row r="35" spans="1:14" x14ac:dyDescent="0.35">
      <c r="A35" s="6" t="s">
        <v>62</v>
      </c>
      <c r="B35" s="7">
        <v>45878</v>
      </c>
      <c r="C35" s="8" t="s">
        <v>63</v>
      </c>
      <c r="D35" s="9" t="s">
        <v>7</v>
      </c>
      <c r="E35" s="8">
        <v>721.51</v>
      </c>
      <c r="F35" s="8">
        <v>7</v>
      </c>
      <c r="G35" s="8">
        <v>168.94</v>
      </c>
      <c r="H35" s="10">
        <v>0.15</v>
      </c>
      <c r="I35" s="8" t="str">
        <f t="shared" si="4"/>
        <v>Aug</v>
      </c>
      <c r="J35" s="8">
        <f t="shared" si="5"/>
        <v>955.89</v>
      </c>
      <c r="K35" s="8">
        <f t="shared" si="6"/>
        <v>-234.38</v>
      </c>
      <c r="L35" s="8">
        <f t="shared" si="7"/>
        <v>-0.24519557689692328</v>
      </c>
      <c r="M35" s="8" t="str">
        <f>IF(E35&gt;=AVERAGE(orders[Sales]),"High Sales","Low Sales")</f>
        <v>Low Sales</v>
      </c>
      <c r="N35" s="8">
        <f>orders[[#This Row],[Profit]]/orders[[#This Row],[Sales]]</f>
        <v>0.23414782885892088</v>
      </c>
    </row>
    <row r="36" spans="1:14" x14ac:dyDescent="0.35">
      <c r="A36" s="1" t="s">
        <v>64</v>
      </c>
      <c r="B36" s="2">
        <v>45992</v>
      </c>
      <c r="C36" s="3" t="s">
        <v>41</v>
      </c>
      <c r="D36" s="4" t="s">
        <v>2</v>
      </c>
      <c r="E36" s="3">
        <v>1968.65</v>
      </c>
      <c r="F36" s="3">
        <v>2</v>
      </c>
      <c r="G36" s="3">
        <v>336.22</v>
      </c>
      <c r="H36" s="5">
        <v>0</v>
      </c>
      <c r="I36" s="8" t="str">
        <f t="shared" si="4"/>
        <v>Dec</v>
      </c>
      <c r="J36" s="8">
        <f t="shared" si="5"/>
        <v>721.51</v>
      </c>
      <c r="K36" s="8">
        <f t="shared" si="6"/>
        <v>1247.1400000000001</v>
      </c>
      <c r="L36" s="8">
        <f t="shared" si="7"/>
        <v>1.7285138113123866</v>
      </c>
      <c r="M36" s="8" t="str">
        <f>IF(E36&gt;=AVERAGE(orders[Sales]),"High Sales","Low Sales")</f>
        <v>High Sales</v>
      </c>
      <c r="N36" s="8">
        <f>orders[[#This Row],[Profit]]/orders[[#This Row],[Sales]]</f>
        <v>0.17078708759810024</v>
      </c>
    </row>
    <row r="37" spans="1:14" x14ac:dyDescent="0.35">
      <c r="A37" s="6" t="s">
        <v>65</v>
      </c>
      <c r="B37" s="7">
        <v>45785</v>
      </c>
      <c r="C37" s="8" t="s">
        <v>66</v>
      </c>
      <c r="D37" s="9" t="s">
        <v>12</v>
      </c>
      <c r="E37" s="8">
        <v>399.35</v>
      </c>
      <c r="F37" s="8">
        <v>9</v>
      </c>
      <c r="G37" s="8">
        <v>6.81</v>
      </c>
      <c r="H37" s="10">
        <v>0.15</v>
      </c>
      <c r="I37" s="8" t="str">
        <f t="shared" si="4"/>
        <v>May</v>
      </c>
      <c r="J37" s="8">
        <f t="shared" si="5"/>
        <v>1968.65</v>
      </c>
      <c r="K37" s="8">
        <f t="shared" si="6"/>
        <v>-1569.3000000000002</v>
      </c>
      <c r="L37" s="8">
        <f t="shared" si="7"/>
        <v>-0.79714525182231488</v>
      </c>
      <c r="M37" s="8" t="str">
        <f>IF(E37&gt;=AVERAGE(orders[Sales]),"High Sales","Low Sales")</f>
        <v>Low Sales</v>
      </c>
      <c r="N37" s="8">
        <f>orders[[#This Row],[Profit]]/orders[[#This Row],[Sales]]</f>
        <v>1.705271065481407E-2</v>
      </c>
    </row>
    <row r="38" spans="1:14" x14ac:dyDescent="0.35">
      <c r="A38" s="1" t="s">
        <v>67</v>
      </c>
      <c r="B38" s="2">
        <v>45894</v>
      </c>
      <c r="C38" s="3" t="s">
        <v>39</v>
      </c>
      <c r="D38" s="4" t="s">
        <v>2</v>
      </c>
      <c r="E38" s="3">
        <v>514.62</v>
      </c>
      <c r="F38" s="3">
        <v>2</v>
      </c>
      <c r="G38" s="3">
        <v>111.88</v>
      </c>
      <c r="H38" s="5">
        <v>0.15</v>
      </c>
      <c r="I38" s="8" t="str">
        <f t="shared" si="4"/>
        <v>Aug</v>
      </c>
      <c r="J38" s="8">
        <f t="shared" si="5"/>
        <v>399.35</v>
      </c>
      <c r="K38" s="8">
        <f t="shared" si="6"/>
        <v>115.26999999999998</v>
      </c>
      <c r="L38" s="8">
        <f t="shared" si="7"/>
        <v>0.28864404657568543</v>
      </c>
      <c r="M38" s="8" t="str">
        <f>IF(E38&gt;=AVERAGE(orders[Sales]),"High Sales","Low Sales")</f>
        <v>Low Sales</v>
      </c>
      <c r="N38" s="8">
        <f>orders[[#This Row],[Profit]]/orders[[#This Row],[Sales]]</f>
        <v>0.217403132408379</v>
      </c>
    </row>
    <row r="39" spans="1:14" x14ac:dyDescent="0.35">
      <c r="A39" s="6" t="s">
        <v>68</v>
      </c>
      <c r="B39" s="7">
        <v>45683</v>
      </c>
      <c r="C39" s="8" t="s">
        <v>35</v>
      </c>
      <c r="D39" s="9" t="s">
        <v>2</v>
      </c>
      <c r="E39" s="8">
        <v>1311.25</v>
      </c>
      <c r="F39" s="8">
        <v>9</v>
      </c>
      <c r="G39" s="8">
        <v>446.74</v>
      </c>
      <c r="H39" s="10">
        <v>0</v>
      </c>
      <c r="I39" s="8" t="str">
        <f t="shared" si="4"/>
        <v>Jan</v>
      </c>
      <c r="J39" s="8">
        <f t="shared" si="5"/>
        <v>514.62</v>
      </c>
      <c r="K39" s="8">
        <f t="shared" si="6"/>
        <v>796.63</v>
      </c>
      <c r="L39" s="8">
        <f t="shared" si="7"/>
        <v>1.5479965800007773</v>
      </c>
      <c r="M39" s="8" t="str">
        <f>IF(E39&gt;=AVERAGE(orders[Sales]),"High Sales","Low Sales")</f>
        <v>High Sales</v>
      </c>
      <c r="N39" s="8">
        <f>orders[[#This Row],[Profit]]/orders[[#This Row],[Sales]]</f>
        <v>0.34069780743565303</v>
      </c>
    </row>
    <row r="40" spans="1:14" x14ac:dyDescent="0.35">
      <c r="A40" s="1" t="s">
        <v>69</v>
      </c>
      <c r="B40" s="2">
        <v>45743</v>
      </c>
      <c r="C40" s="3" t="s">
        <v>70</v>
      </c>
      <c r="D40" s="4" t="s">
        <v>2</v>
      </c>
      <c r="E40" s="3">
        <v>824.7</v>
      </c>
      <c r="F40" s="3">
        <v>8</v>
      </c>
      <c r="G40" s="3">
        <v>234.54</v>
      </c>
      <c r="H40" s="5">
        <v>0.05</v>
      </c>
      <c r="I40" s="8" t="str">
        <f t="shared" si="4"/>
        <v>Mar</v>
      </c>
      <c r="J40" s="8">
        <f t="shared" si="5"/>
        <v>1311.25</v>
      </c>
      <c r="K40" s="8">
        <f t="shared" si="6"/>
        <v>-486.54999999999995</v>
      </c>
      <c r="L40" s="8">
        <f t="shared" si="7"/>
        <v>-0.37105815061963771</v>
      </c>
      <c r="M40" s="8" t="str">
        <f>IF(E40&gt;=AVERAGE(orders[Sales]),"High Sales","Low Sales")</f>
        <v>Low Sales</v>
      </c>
      <c r="N40" s="8">
        <f>orders[[#This Row],[Profit]]/orders[[#This Row],[Sales]]</f>
        <v>0.28439432520916696</v>
      </c>
    </row>
    <row r="41" spans="1:14" x14ac:dyDescent="0.35">
      <c r="A41" s="6" t="s">
        <v>71</v>
      </c>
      <c r="B41" s="7">
        <v>45852</v>
      </c>
      <c r="C41" s="8" t="s">
        <v>72</v>
      </c>
      <c r="D41" s="9" t="s">
        <v>12</v>
      </c>
      <c r="E41" s="8">
        <v>24.27</v>
      </c>
      <c r="F41" s="8">
        <v>7</v>
      </c>
      <c r="G41" s="8">
        <v>6.75</v>
      </c>
      <c r="H41" s="10">
        <v>0.1</v>
      </c>
      <c r="I41" s="8" t="str">
        <f t="shared" si="4"/>
        <v>Jul</v>
      </c>
      <c r="J41" s="8">
        <f t="shared" si="5"/>
        <v>824.7</v>
      </c>
      <c r="K41" s="8">
        <f t="shared" si="6"/>
        <v>-800.43000000000006</v>
      </c>
      <c r="L41" s="8">
        <f t="shared" si="7"/>
        <v>-0.97057111676973451</v>
      </c>
      <c r="M41" s="8" t="str">
        <f>IF(E41&gt;=AVERAGE(orders[Sales]),"High Sales","Low Sales")</f>
        <v>Low Sales</v>
      </c>
      <c r="N41" s="8">
        <f>orders[[#This Row],[Profit]]/orders[[#This Row],[Sales]]</f>
        <v>0.27812113720642767</v>
      </c>
    </row>
    <row r="42" spans="1:14" x14ac:dyDescent="0.35">
      <c r="A42" s="1" t="s">
        <v>73</v>
      </c>
      <c r="B42" s="2">
        <v>45874</v>
      </c>
      <c r="C42" s="3" t="s">
        <v>74</v>
      </c>
      <c r="D42" s="4" t="s">
        <v>2</v>
      </c>
      <c r="E42" s="3">
        <v>1399.25</v>
      </c>
      <c r="F42" s="3">
        <v>9</v>
      </c>
      <c r="G42" s="3">
        <v>161.63999999999999</v>
      </c>
      <c r="H42" s="5">
        <v>0.3</v>
      </c>
      <c r="I42" s="8" t="str">
        <f t="shared" si="4"/>
        <v>Aug</v>
      </c>
      <c r="J42" s="8">
        <f t="shared" si="5"/>
        <v>24.27</v>
      </c>
      <c r="K42" s="8">
        <f t="shared" si="6"/>
        <v>1374.98</v>
      </c>
      <c r="L42" s="8">
        <f t="shared" si="7"/>
        <v>56.65348166460651</v>
      </c>
      <c r="M42" s="8" t="str">
        <f>IF(E42&gt;=AVERAGE(orders[Sales]),"High Sales","Low Sales")</f>
        <v>High Sales</v>
      </c>
      <c r="N42" s="8">
        <f>orders[[#This Row],[Profit]]/orders[[#This Row],[Sales]]</f>
        <v>0.11551902805074146</v>
      </c>
    </row>
    <row r="43" spans="1:14" x14ac:dyDescent="0.35">
      <c r="A43" s="6" t="s">
        <v>75</v>
      </c>
      <c r="B43" s="7">
        <v>45809</v>
      </c>
      <c r="C43" s="8" t="s">
        <v>70</v>
      </c>
      <c r="D43" s="9" t="s">
        <v>7</v>
      </c>
      <c r="E43" s="8">
        <v>451.05</v>
      </c>
      <c r="F43" s="8">
        <v>1</v>
      </c>
      <c r="G43" s="8">
        <v>77</v>
      </c>
      <c r="H43" s="10">
        <v>0.2</v>
      </c>
      <c r="I43" s="8" t="str">
        <f t="shared" si="4"/>
        <v>Jun</v>
      </c>
      <c r="J43" s="8">
        <f t="shared" si="5"/>
        <v>1399.25</v>
      </c>
      <c r="K43" s="8">
        <f t="shared" si="6"/>
        <v>-948.2</v>
      </c>
      <c r="L43" s="8">
        <f t="shared" si="7"/>
        <v>-0.67764874039664114</v>
      </c>
      <c r="M43" s="8" t="str">
        <f>IF(E43&gt;=AVERAGE(orders[Sales]),"High Sales","Low Sales")</f>
        <v>Low Sales</v>
      </c>
      <c r="N43" s="8">
        <f>orders[[#This Row],[Profit]]/orders[[#This Row],[Sales]]</f>
        <v>0.17071278128810552</v>
      </c>
    </row>
    <row r="44" spans="1:14" x14ac:dyDescent="0.35">
      <c r="A44" s="1" t="s">
        <v>76</v>
      </c>
      <c r="B44" s="2">
        <v>45818</v>
      </c>
      <c r="C44" s="3" t="s">
        <v>77</v>
      </c>
      <c r="D44" s="4" t="s">
        <v>2</v>
      </c>
      <c r="E44" s="3">
        <v>133.19</v>
      </c>
      <c r="F44" s="3">
        <v>10</v>
      </c>
      <c r="G44" s="3">
        <v>16.760000000000002</v>
      </c>
      <c r="H44" s="5">
        <v>0.15</v>
      </c>
      <c r="I44" s="8" t="str">
        <f t="shared" si="4"/>
        <v>Jun</v>
      </c>
      <c r="J44" s="8">
        <f t="shared" si="5"/>
        <v>451.05</v>
      </c>
      <c r="K44" s="8">
        <f t="shared" si="6"/>
        <v>-317.86</v>
      </c>
      <c r="L44" s="8">
        <f t="shared" si="7"/>
        <v>-0.70471122935373021</v>
      </c>
      <c r="M44" s="8" t="str">
        <f>IF(E44&gt;=AVERAGE(orders[Sales]),"High Sales","Low Sales")</f>
        <v>Low Sales</v>
      </c>
      <c r="N44" s="8">
        <f>orders[[#This Row],[Profit]]/orders[[#This Row],[Sales]]</f>
        <v>0.12583527291838728</v>
      </c>
    </row>
    <row r="45" spans="1:14" x14ac:dyDescent="0.35">
      <c r="A45" s="6" t="s">
        <v>78</v>
      </c>
      <c r="B45" s="7">
        <v>45687</v>
      </c>
      <c r="C45" s="8" t="s">
        <v>37</v>
      </c>
      <c r="D45" s="9" t="s">
        <v>7</v>
      </c>
      <c r="E45" s="8">
        <v>1922.34</v>
      </c>
      <c r="F45" s="8">
        <v>2</v>
      </c>
      <c r="G45" s="8">
        <v>87.57</v>
      </c>
      <c r="H45" s="10">
        <v>0.05</v>
      </c>
      <c r="I45" s="8" t="str">
        <f t="shared" si="4"/>
        <v>Jan</v>
      </c>
      <c r="J45" s="8">
        <f t="shared" si="5"/>
        <v>133.19</v>
      </c>
      <c r="K45" s="8">
        <f t="shared" si="6"/>
        <v>1789.1499999999999</v>
      </c>
      <c r="L45" s="8">
        <f t="shared" si="7"/>
        <v>13.433065545461369</v>
      </c>
      <c r="M45" s="8" t="str">
        <f>IF(E45&gt;=AVERAGE(orders[Sales]),"High Sales","Low Sales")</f>
        <v>High Sales</v>
      </c>
      <c r="N45" s="8">
        <f>orders[[#This Row],[Profit]]/orders[[#This Row],[Sales]]</f>
        <v>4.5553856237710286E-2</v>
      </c>
    </row>
    <row r="46" spans="1:14" x14ac:dyDescent="0.35">
      <c r="A46" s="1" t="s">
        <v>79</v>
      </c>
      <c r="B46" s="2">
        <v>45778</v>
      </c>
      <c r="C46" s="3" t="s">
        <v>80</v>
      </c>
      <c r="D46" s="4" t="s">
        <v>7</v>
      </c>
      <c r="E46" s="3">
        <v>819.48</v>
      </c>
      <c r="F46" s="3">
        <v>10</v>
      </c>
      <c r="G46" s="3">
        <v>162.81</v>
      </c>
      <c r="H46" s="5">
        <v>0.05</v>
      </c>
      <c r="I46" s="8" t="str">
        <f t="shared" si="4"/>
        <v>May</v>
      </c>
      <c r="J46" s="8">
        <f t="shared" si="5"/>
        <v>1922.34</v>
      </c>
      <c r="K46" s="8">
        <f t="shared" si="6"/>
        <v>-1102.8599999999999</v>
      </c>
      <c r="L46" s="8">
        <f t="shared" si="7"/>
        <v>-0.57370704453946753</v>
      </c>
      <c r="M46" s="8" t="str">
        <f>IF(E46&gt;=AVERAGE(orders[Sales]),"High Sales","Low Sales")</f>
        <v>Low Sales</v>
      </c>
      <c r="N46" s="8">
        <f>orders[[#This Row],[Profit]]/orders[[#This Row],[Sales]]</f>
        <v>0.19867476936593936</v>
      </c>
    </row>
    <row r="47" spans="1:14" x14ac:dyDescent="0.35">
      <c r="A47" s="6" t="s">
        <v>81</v>
      </c>
      <c r="B47" s="7">
        <v>45699</v>
      </c>
      <c r="C47" s="8" t="s">
        <v>82</v>
      </c>
      <c r="D47" s="9" t="s">
        <v>2</v>
      </c>
      <c r="E47" s="8">
        <v>850.07</v>
      </c>
      <c r="F47" s="8">
        <v>10</v>
      </c>
      <c r="G47" s="8">
        <v>90.82</v>
      </c>
      <c r="H47" s="10">
        <v>0.2</v>
      </c>
      <c r="I47" s="8" t="str">
        <f t="shared" si="4"/>
        <v>Feb</v>
      </c>
      <c r="J47" s="8">
        <f t="shared" si="5"/>
        <v>819.48</v>
      </c>
      <c r="K47" s="8">
        <f t="shared" si="6"/>
        <v>30.590000000000032</v>
      </c>
      <c r="L47" s="8">
        <f t="shared" si="7"/>
        <v>3.7328549812075985E-2</v>
      </c>
      <c r="M47" s="8" t="str">
        <f>IF(E47&gt;=AVERAGE(orders[Sales]),"High Sales","Low Sales")</f>
        <v>Low Sales</v>
      </c>
      <c r="N47" s="8">
        <f>orders[[#This Row],[Profit]]/orders[[#This Row],[Sales]]</f>
        <v>0.10683826037855705</v>
      </c>
    </row>
    <row r="48" spans="1:14" x14ac:dyDescent="0.35">
      <c r="A48" s="1" t="s">
        <v>83</v>
      </c>
      <c r="B48" s="2">
        <v>46000</v>
      </c>
      <c r="C48" s="3" t="s">
        <v>84</v>
      </c>
      <c r="D48" s="4" t="s">
        <v>7</v>
      </c>
      <c r="E48" s="3">
        <v>1438.06</v>
      </c>
      <c r="F48" s="3">
        <v>4</v>
      </c>
      <c r="G48" s="3">
        <v>170.75</v>
      </c>
      <c r="H48" s="5">
        <v>0.1</v>
      </c>
      <c r="I48" s="8" t="str">
        <f t="shared" si="4"/>
        <v>Dec</v>
      </c>
      <c r="J48" s="8">
        <f t="shared" si="5"/>
        <v>850.07</v>
      </c>
      <c r="K48" s="8">
        <f t="shared" si="6"/>
        <v>587.9899999999999</v>
      </c>
      <c r="L48" s="8">
        <f t="shared" si="7"/>
        <v>0.69169597797828397</v>
      </c>
      <c r="M48" s="8" t="str">
        <f>IF(E48&gt;=AVERAGE(orders[Sales]),"High Sales","Low Sales")</f>
        <v>High Sales</v>
      </c>
      <c r="N48" s="8">
        <f>orders[[#This Row],[Profit]]/orders[[#This Row],[Sales]]</f>
        <v>0.118736353142428</v>
      </c>
    </row>
    <row r="49" spans="1:14" x14ac:dyDescent="0.35">
      <c r="A49" s="6" t="s">
        <v>85</v>
      </c>
      <c r="B49" s="7">
        <v>45811</v>
      </c>
      <c r="C49" s="8" t="s">
        <v>86</v>
      </c>
      <c r="D49" s="9" t="s">
        <v>2</v>
      </c>
      <c r="E49" s="8">
        <v>925.3</v>
      </c>
      <c r="F49" s="8">
        <v>2</v>
      </c>
      <c r="G49" s="8">
        <v>173.48</v>
      </c>
      <c r="H49" s="10">
        <v>0</v>
      </c>
      <c r="I49" s="8" t="str">
        <f t="shared" si="4"/>
        <v>Jun</v>
      </c>
      <c r="J49" s="8">
        <f t="shared" si="5"/>
        <v>1438.06</v>
      </c>
      <c r="K49" s="8">
        <f t="shared" si="6"/>
        <v>-512.76</v>
      </c>
      <c r="L49" s="8">
        <f t="shared" si="7"/>
        <v>-0.35656370387883679</v>
      </c>
      <c r="M49" s="8" t="str">
        <f>IF(E49&gt;=AVERAGE(orders[Sales]),"High Sales","Low Sales")</f>
        <v>Low Sales</v>
      </c>
      <c r="N49" s="8">
        <f>orders[[#This Row],[Profit]]/orders[[#This Row],[Sales]]</f>
        <v>0.1874851399546093</v>
      </c>
    </row>
    <row r="50" spans="1:14" x14ac:dyDescent="0.35">
      <c r="A50" s="1" t="s">
        <v>87</v>
      </c>
      <c r="B50" s="2">
        <v>45695</v>
      </c>
      <c r="C50" s="3" t="s">
        <v>88</v>
      </c>
      <c r="D50" s="4" t="s">
        <v>2</v>
      </c>
      <c r="E50" s="3">
        <v>1084.52</v>
      </c>
      <c r="F50" s="3">
        <v>9</v>
      </c>
      <c r="G50" s="3">
        <v>43.1</v>
      </c>
      <c r="H50" s="5">
        <v>0.1</v>
      </c>
      <c r="I50" s="8" t="str">
        <f t="shared" si="4"/>
        <v>Feb</v>
      </c>
      <c r="J50" s="8">
        <f t="shared" si="5"/>
        <v>925.3</v>
      </c>
      <c r="K50" s="8">
        <f t="shared" si="6"/>
        <v>159.22000000000003</v>
      </c>
      <c r="L50" s="8">
        <f t="shared" si="7"/>
        <v>0.1720739219712526</v>
      </c>
      <c r="M50" s="8" t="str">
        <f>IF(E50&gt;=AVERAGE(orders[Sales]),"High Sales","Low Sales")</f>
        <v>High Sales</v>
      </c>
      <c r="N50" s="8">
        <f>orders[[#This Row],[Profit]]/orders[[#This Row],[Sales]]</f>
        <v>3.9741083613026966E-2</v>
      </c>
    </row>
    <row r="51" spans="1:14" x14ac:dyDescent="0.35">
      <c r="A51" s="6" t="s">
        <v>89</v>
      </c>
      <c r="B51" s="7">
        <v>45783</v>
      </c>
      <c r="C51" s="8" t="s">
        <v>18</v>
      </c>
      <c r="D51" s="9" t="s">
        <v>12</v>
      </c>
      <c r="E51" s="8">
        <v>751.66</v>
      </c>
      <c r="F51" s="8">
        <v>3</v>
      </c>
      <c r="G51" s="8">
        <v>169.22</v>
      </c>
      <c r="H51" s="10">
        <v>0.15</v>
      </c>
      <c r="I51" s="8" t="str">
        <f t="shared" si="4"/>
        <v>May</v>
      </c>
      <c r="J51" s="8">
        <f t="shared" si="5"/>
        <v>1084.52</v>
      </c>
      <c r="K51" s="8">
        <f t="shared" si="6"/>
        <v>-332.86</v>
      </c>
      <c r="L51" s="8">
        <f t="shared" si="7"/>
        <v>-0.30691919005643054</v>
      </c>
      <c r="M51" s="8" t="str">
        <f>IF(E51&gt;=AVERAGE(orders[Sales]),"High Sales","Low Sales")</f>
        <v>Low Sales</v>
      </c>
      <c r="N51" s="8">
        <f>orders[[#This Row],[Profit]]/orders[[#This Row],[Sales]]</f>
        <v>0.22512838251337042</v>
      </c>
    </row>
    <row r="52" spans="1:14" x14ac:dyDescent="0.35">
      <c r="A52" s="1" t="s">
        <v>90</v>
      </c>
      <c r="B52" s="2">
        <v>45971</v>
      </c>
      <c r="C52" s="3" t="s">
        <v>39</v>
      </c>
      <c r="D52" s="4" t="s">
        <v>12</v>
      </c>
      <c r="E52" s="3">
        <v>1968.03</v>
      </c>
      <c r="F52" s="3">
        <v>9</v>
      </c>
      <c r="G52" s="3">
        <v>492.71</v>
      </c>
      <c r="H52" s="5">
        <v>0</v>
      </c>
      <c r="I52" s="8" t="str">
        <f t="shared" si="4"/>
        <v>Nov</v>
      </c>
      <c r="J52" s="8">
        <f t="shared" si="5"/>
        <v>751.66</v>
      </c>
      <c r="K52" s="8">
        <f t="shared" si="6"/>
        <v>1216.3699999999999</v>
      </c>
      <c r="L52" s="8">
        <f t="shared" si="7"/>
        <v>1.6182449511747332</v>
      </c>
      <c r="M52" s="8" t="str">
        <f>IF(E52&gt;=AVERAGE(orders[Sales]),"High Sales","Low Sales")</f>
        <v>High Sales</v>
      </c>
      <c r="N52" s="8">
        <f>orders[[#This Row],[Profit]]/orders[[#This Row],[Sales]]</f>
        <v>0.25035695594071228</v>
      </c>
    </row>
    <row r="53" spans="1:14" x14ac:dyDescent="0.35">
      <c r="A53" s="6" t="s">
        <v>91</v>
      </c>
      <c r="B53" s="7">
        <v>45997</v>
      </c>
      <c r="C53" s="8" t="s">
        <v>92</v>
      </c>
      <c r="D53" s="9" t="s">
        <v>7</v>
      </c>
      <c r="E53" s="8">
        <v>225.1</v>
      </c>
      <c r="F53" s="8">
        <v>3</v>
      </c>
      <c r="G53" s="8">
        <v>7.79</v>
      </c>
      <c r="H53" s="10">
        <v>0.1</v>
      </c>
      <c r="I53" s="8" t="str">
        <f t="shared" si="4"/>
        <v>Dec</v>
      </c>
      <c r="J53" s="8">
        <f t="shared" si="5"/>
        <v>1968.03</v>
      </c>
      <c r="K53" s="8">
        <f t="shared" si="6"/>
        <v>-1742.93</v>
      </c>
      <c r="L53" s="8">
        <f t="shared" si="7"/>
        <v>-0.88562166227140848</v>
      </c>
      <c r="M53" s="8" t="str">
        <f>IF(E53&gt;=AVERAGE(orders[Sales]),"High Sales","Low Sales")</f>
        <v>Low Sales</v>
      </c>
      <c r="N53" s="8">
        <f>orders[[#This Row],[Profit]]/orders[[#This Row],[Sales]]</f>
        <v>3.4606841403820525E-2</v>
      </c>
    </row>
    <row r="54" spans="1:14" x14ac:dyDescent="0.35">
      <c r="A54" s="1" t="s">
        <v>93</v>
      </c>
      <c r="B54" s="2">
        <v>45941</v>
      </c>
      <c r="C54" s="3" t="s">
        <v>41</v>
      </c>
      <c r="D54" s="4" t="s">
        <v>2</v>
      </c>
      <c r="E54" s="3">
        <v>327.79</v>
      </c>
      <c r="F54" s="3">
        <v>5</v>
      </c>
      <c r="G54" s="3">
        <v>4.32</v>
      </c>
      <c r="H54" s="5">
        <v>0.2</v>
      </c>
      <c r="I54" s="8" t="str">
        <f t="shared" si="4"/>
        <v>Oct</v>
      </c>
      <c r="J54" s="8">
        <f t="shared" si="5"/>
        <v>225.1</v>
      </c>
      <c r="K54" s="8">
        <f t="shared" si="6"/>
        <v>102.69000000000003</v>
      </c>
      <c r="L54" s="8">
        <f t="shared" si="7"/>
        <v>0.45619724566859188</v>
      </c>
      <c r="M54" s="8" t="str">
        <f>IF(E54&gt;=AVERAGE(orders[Sales]),"High Sales","Low Sales")</f>
        <v>Low Sales</v>
      </c>
      <c r="N54" s="8">
        <f>orders[[#This Row],[Profit]]/orders[[#This Row],[Sales]]</f>
        <v>1.3179169590286465E-2</v>
      </c>
    </row>
    <row r="55" spans="1:14" x14ac:dyDescent="0.35">
      <c r="A55" s="6" t="s">
        <v>94</v>
      </c>
      <c r="B55" s="7">
        <v>46009</v>
      </c>
      <c r="C55" s="8" t="s">
        <v>63</v>
      </c>
      <c r="D55" s="9" t="s">
        <v>2</v>
      </c>
      <c r="E55" s="8">
        <v>1275.79</v>
      </c>
      <c r="F55" s="8">
        <v>5</v>
      </c>
      <c r="G55" s="8">
        <v>123.19</v>
      </c>
      <c r="H55" s="10">
        <v>0.2</v>
      </c>
      <c r="I55" s="8" t="str">
        <f t="shared" si="4"/>
        <v>Dec</v>
      </c>
      <c r="J55" s="8">
        <f t="shared" si="5"/>
        <v>327.79</v>
      </c>
      <c r="K55" s="8">
        <f t="shared" si="6"/>
        <v>948</v>
      </c>
      <c r="L55" s="8">
        <f t="shared" si="7"/>
        <v>2.8920955489795293</v>
      </c>
      <c r="M55" s="8" t="str">
        <f>IF(E55&gt;=AVERAGE(orders[Sales]),"High Sales","Low Sales")</f>
        <v>High Sales</v>
      </c>
      <c r="N55" s="8">
        <f>orders[[#This Row],[Profit]]/orders[[#This Row],[Sales]]</f>
        <v>9.6559778646956002E-2</v>
      </c>
    </row>
    <row r="56" spans="1:14" x14ac:dyDescent="0.35">
      <c r="A56" s="1" t="s">
        <v>95</v>
      </c>
      <c r="B56" s="2">
        <v>45982</v>
      </c>
      <c r="C56" s="3" t="s">
        <v>96</v>
      </c>
      <c r="D56" s="4" t="s">
        <v>2</v>
      </c>
      <c r="E56" s="3">
        <v>858.68</v>
      </c>
      <c r="F56" s="3">
        <v>5</v>
      </c>
      <c r="G56" s="3">
        <v>43.85</v>
      </c>
      <c r="H56" s="5">
        <v>0</v>
      </c>
      <c r="I56" s="8" t="str">
        <f t="shared" si="4"/>
        <v>Nov</v>
      </c>
      <c r="J56" s="8">
        <f t="shared" si="5"/>
        <v>1275.79</v>
      </c>
      <c r="K56" s="8">
        <f t="shared" si="6"/>
        <v>-417.11</v>
      </c>
      <c r="L56" s="8">
        <f t="shared" si="7"/>
        <v>-0.32694252188839856</v>
      </c>
      <c r="M56" s="8" t="str">
        <f>IF(E56&gt;=AVERAGE(orders[Sales]),"High Sales","Low Sales")</f>
        <v>Low Sales</v>
      </c>
      <c r="N56" s="8">
        <f>orders[[#This Row],[Profit]]/orders[[#This Row],[Sales]]</f>
        <v>5.1066753621838178E-2</v>
      </c>
    </row>
    <row r="57" spans="1:14" x14ac:dyDescent="0.35">
      <c r="A57" s="6" t="s">
        <v>97</v>
      </c>
      <c r="B57" s="7">
        <v>45984</v>
      </c>
      <c r="C57" s="8" t="s">
        <v>18</v>
      </c>
      <c r="D57" s="9" t="s">
        <v>12</v>
      </c>
      <c r="E57" s="8">
        <v>1960</v>
      </c>
      <c r="F57" s="8">
        <v>3</v>
      </c>
      <c r="G57" s="8">
        <v>63.8</v>
      </c>
      <c r="H57" s="10">
        <v>0.3</v>
      </c>
      <c r="I57" s="8" t="str">
        <f t="shared" si="4"/>
        <v>Nov</v>
      </c>
      <c r="J57" s="8">
        <f t="shared" si="5"/>
        <v>858.68</v>
      </c>
      <c r="K57" s="8">
        <f t="shared" si="6"/>
        <v>1101.3200000000002</v>
      </c>
      <c r="L57" s="8">
        <f t="shared" si="7"/>
        <v>1.2825732519681374</v>
      </c>
      <c r="M57" s="8" t="str">
        <f>IF(E57&gt;=AVERAGE(orders[Sales]),"High Sales","Low Sales")</f>
        <v>High Sales</v>
      </c>
      <c r="N57" s="8">
        <f>orders[[#This Row],[Profit]]/orders[[#This Row],[Sales]]</f>
        <v>3.2551020408163267E-2</v>
      </c>
    </row>
    <row r="58" spans="1:14" x14ac:dyDescent="0.35">
      <c r="A58" s="1" t="s">
        <v>98</v>
      </c>
      <c r="B58" s="2">
        <v>45945</v>
      </c>
      <c r="C58" s="3" t="s">
        <v>47</v>
      </c>
      <c r="D58" s="4" t="s">
        <v>2</v>
      </c>
      <c r="E58" s="3">
        <v>39.15</v>
      </c>
      <c r="F58" s="3">
        <v>2</v>
      </c>
      <c r="G58" s="3">
        <v>6.7</v>
      </c>
      <c r="H58" s="5">
        <v>0.3</v>
      </c>
      <c r="I58" s="8" t="str">
        <f t="shared" si="4"/>
        <v>Oct</v>
      </c>
      <c r="J58" s="8">
        <f t="shared" si="5"/>
        <v>1960</v>
      </c>
      <c r="K58" s="8">
        <f t="shared" si="6"/>
        <v>-1920.85</v>
      </c>
      <c r="L58" s="8">
        <f t="shared" si="7"/>
        <v>-0.98002551020408157</v>
      </c>
      <c r="M58" s="8" t="str">
        <f>IF(E58&gt;=AVERAGE(orders[Sales]),"High Sales","Low Sales")</f>
        <v>Low Sales</v>
      </c>
      <c r="N58" s="8">
        <f>orders[[#This Row],[Profit]]/orders[[#This Row],[Sales]]</f>
        <v>0.1711366538952746</v>
      </c>
    </row>
    <row r="59" spans="1:14" x14ac:dyDescent="0.35">
      <c r="A59" s="6" t="s">
        <v>99</v>
      </c>
      <c r="B59" s="7">
        <v>45847</v>
      </c>
      <c r="C59" s="8" t="s">
        <v>100</v>
      </c>
      <c r="D59" s="9" t="s">
        <v>12</v>
      </c>
      <c r="E59" s="8">
        <v>1173.3699999999999</v>
      </c>
      <c r="F59" s="8">
        <v>3</v>
      </c>
      <c r="G59" s="8">
        <v>15.53</v>
      </c>
      <c r="H59" s="10">
        <v>0.15</v>
      </c>
      <c r="I59" s="8" t="str">
        <f t="shared" si="4"/>
        <v>Jul</v>
      </c>
      <c r="J59" s="8">
        <f t="shared" si="5"/>
        <v>39.15</v>
      </c>
      <c r="K59" s="8">
        <f t="shared" si="6"/>
        <v>1134.2199999999998</v>
      </c>
      <c r="L59" s="8">
        <f t="shared" si="7"/>
        <v>28.971136653895272</v>
      </c>
      <c r="M59" s="8" t="str">
        <f>IF(E59&gt;=AVERAGE(orders[Sales]),"High Sales","Low Sales")</f>
        <v>High Sales</v>
      </c>
      <c r="N59" s="8">
        <f>orders[[#This Row],[Profit]]/orders[[#This Row],[Sales]]</f>
        <v>1.3235381848862679E-2</v>
      </c>
    </row>
    <row r="60" spans="1:14" x14ac:dyDescent="0.35">
      <c r="A60" s="1" t="s">
        <v>101</v>
      </c>
      <c r="B60" s="2">
        <v>45678</v>
      </c>
      <c r="C60" s="3" t="s">
        <v>92</v>
      </c>
      <c r="D60" s="4" t="s">
        <v>12</v>
      </c>
      <c r="E60" s="3">
        <v>1799.87</v>
      </c>
      <c r="F60" s="3">
        <v>4</v>
      </c>
      <c r="G60" s="3">
        <v>-45.25</v>
      </c>
      <c r="H60" s="5">
        <v>0.3</v>
      </c>
      <c r="I60" s="8" t="str">
        <f t="shared" si="4"/>
        <v>Jan</v>
      </c>
      <c r="J60" s="8">
        <f t="shared" si="5"/>
        <v>1173.3699999999999</v>
      </c>
      <c r="K60" s="8">
        <f t="shared" si="6"/>
        <v>626.5</v>
      </c>
      <c r="L60" s="8">
        <f t="shared" si="7"/>
        <v>0.5339321782557932</v>
      </c>
      <c r="M60" s="8" t="str">
        <f>IF(E60&gt;=AVERAGE(orders[Sales]),"High Sales","Low Sales")</f>
        <v>High Sales</v>
      </c>
      <c r="N60" s="8">
        <f>orders[[#This Row],[Profit]]/orders[[#This Row],[Sales]]</f>
        <v>-2.5140704606443801E-2</v>
      </c>
    </row>
    <row r="61" spans="1:14" x14ac:dyDescent="0.35">
      <c r="A61" s="6" t="s">
        <v>102</v>
      </c>
      <c r="B61" s="7">
        <v>45944</v>
      </c>
      <c r="C61" s="8" t="s">
        <v>103</v>
      </c>
      <c r="D61" s="9" t="s">
        <v>2</v>
      </c>
      <c r="E61" s="8">
        <v>1770.59</v>
      </c>
      <c r="F61" s="8">
        <v>7</v>
      </c>
      <c r="G61" s="8">
        <v>309.58</v>
      </c>
      <c r="H61" s="10">
        <v>0.2</v>
      </c>
      <c r="I61" s="8" t="str">
        <f t="shared" si="4"/>
        <v>Oct</v>
      </c>
      <c r="J61" s="8">
        <f t="shared" si="5"/>
        <v>1799.87</v>
      </c>
      <c r="K61" s="8">
        <f t="shared" si="6"/>
        <v>-29.279999999999973</v>
      </c>
      <c r="L61" s="8">
        <f t="shared" si="7"/>
        <v>-1.6267841566335331E-2</v>
      </c>
      <c r="M61" s="8" t="str">
        <f>IF(E61&gt;=AVERAGE(orders[Sales]),"High Sales","Low Sales")</f>
        <v>High Sales</v>
      </c>
      <c r="N61" s="8">
        <f>orders[[#This Row],[Profit]]/orders[[#This Row],[Sales]]</f>
        <v>0.17484567291128947</v>
      </c>
    </row>
    <row r="62" spans="1:14" x14ac:dyDescent="0.35">
      <c r="A62" s="1" t="s">
        <v>104</v>
      </c>
      <c r="B62" s="2">
        <v>45748</v>
      </c>
      <c r="C62" s="3" t="s">
        <v>105</v>
      </c>
      <c r="D62" s="4" t="s">
        <v>12</v>
      </c>
      <c r="E62" s="3">
        <v>1765.2</v>
      </c>
      <c r="F62" s="3">
        <v>1</v>
      </c>
      <c r="G62" s="3">
        <v>434.19</v>
      </c>
      <c r="H62" s="5">
        <v>0.05</v>
      </c>
      <c r="I62" s="8" t="str">
        <f t="shared" si="4"/>
        <v>Apr</v>
      </c>
      <c r="J62" s="8">
        <f t="shared" si="5"/>
        <v>1770.59</v>
      </c>
      <c r="K62" s="8">
        <f t="shared" si="6"/>
        <v>-5.3899999999998727</v>
      </c>
      <c r="L62" s="8">
        <f t="shared" si="7"/>
        <v>-3.0441830124421083E-3</v>
      </c>
      <c r="M62" s="8" t="str">
        <f>IF(E62&gt;=AVERAGE(orders[Sales]),"High Sales","Low Sales")</f>
        <v>High Sales</v>
      </c>
      <c r="N62" s="8">
        <f>orders[[#This Row],[Profit]]/orders[[#This Row],[Sales]]</f>
        <v>0.24597212780421482</v>
      </c>
    </row>
    <row r="63" spans="1:14" x14ac:dyDescent="0.35">
      <c r="A63" s="6" t="s">
        <v>106</v>
      </c>
      <c r="B63" s="7">
        <v>46000</v>
      </c>
      <c r="C63" s="8" t="s">
        <v>107</v>
      </c>
      <c r="D63" s="9" t="s">
        <v>2</v>
      </c>
      <c r="E63" s="8">
        <v>1730.85</v>
      </c>
      <c r="F63" s="8">
        <v>4</v>
      </c>
      <c r="G63" s="8">
        <v>82.66</v>
      </c>
      <c r="H63" s="10">
        <v>0.1</v>
      </c>
      <c r="I63" s="8" t="str">
        <f t="shared" si="4"/>
        <v>Dec</v>
      </c>
      <c r="J63" s="8">
        <f t="shared" si="5"/>
        <v>1765.2</v>
      </c>
      <c r="K63" s="8">
        <f t="shared" si="6"/>
        <v>-34.350000000000136</v>
      </c>
      <c r="L63" s="8">
        <f t="shared" si="7"/>
        <v>-1.9459551325628901E-2</v>
      </c>
      <c r="M63" s="8" t="str">
        <f>IF(E63&gt;=AVERAGE(orders[Sales]),"High Sales","Low Sales")</f>
        <v>High Sales</v>
      </c>
      <c r="N63" s="8">
        <f>orders[[#This Row],[Profit]]/orders[[#This Row],[Sales]]</f>
        <v>4.7756882456596469E-2</v>
      </c>
    </row>
    <row r="64" spans="1:14" x14ac:dyDescent="0.35">
      <c r="A64" s="1" t="s">
        <v>108</v>
      </c>
      <c r="B64" s="2">
        <v>45853</v>
      </c>
      <c r="C64" s="3" t="s">
        <v>72</v>
      </c>
      <c r="D64" s="4" t="s">
        <v>12</v>
      </c>
      <c r="E64" s="3">
        <v>1746.89</v>
      </c>
      <c r="F64" s="3">
        <v>8</v>
      </c>
      <c r="G64" s="3">
        <v>148.26</v>
      </c>
      <c r="H64" s="5">
        <v>0.05</v>
      </c>
      <c r="I64" s="8" t="str">
        <f t="shared" si="4"/>
        <v>Jul</v>
      </c>
      <c r="J64" s="8">
        <f t="shared" si="5"/>
        <v>1730.85</v>
      </c>
      <c r="K64" s="8">
        <f t="shared" si="6"/>
        <v>16.040000000000191</v>
      </c>
      <c r="L64" s="8">
        <f t="shared" si="7"/>
        <v>9.2671230898114746E-3</v>
      </c>
      <c r="M64" s="8" t="str">
        <f>IF(E64&gt;=AVERAGE(orders[Sales]),"High Sales","Low Sales")</f>
        <v>High Sales</v>
      </c>
      <c r="N64" s="8">
        <f>orders[[#This Row],[Profit]]/orders[[#This Row],[Sales]]</f>
        <v>8.4870827585022512E-2</v>
      </c>
    </row>
    <row r="65" spans="1:14" x14ac:dyDescent="0.35">
      <c r="A65" s="6" t="s">
        <v>109</v>
      </c>
      <c r="B65" s="7">
        <v>45814</v>
      </c>
      <c r="C65" s="8" t="s">
        <v>110</v>
      </c>
      <c r="D65" s="9" t="s">
        <v>12</v>
      </c>
      <c r="E65" s="8">
        <v>1644.66</v>
      </c>
      <c r="F65" s="8">
        <v>4</v>
      </c>
      <c r="G65" s="8">
        <v>52.79</v>
      </c>
      <c r="H65" s="10">
        <v>0.05</v>
      </c>
      <c r="I65" s="8" t="str">
        <f t="shared" si="4"/>
        <v>Jun</v>
      </c>
      <c r="J65" s="8">
        <f t="shared" si="5"/>
        <v>1746.89</v>
      </c>
      <c r="K65" s="8">
        <f t="shared" si="6"/>
        <v>-102.23000000000002</v>
      </c>
      <c r="L65" s="8">
        <f t="shared" si="7"/>
        <v>-5.852114328893062E-2</v>
      </c>
      <c r="M65" s="8" t="str">
        <f>IF(E65&gt;=AVERAGE(orders[Sales]),"High Sales","Low Sales")</f>
        <v>High Sales</v>
      </c>
      <c r="N65" s="8">
        <f>orders[[#This Row],[Profit]]/orders[[#This Row],[Sales]]</f>
        <v>3.2097819610132181E-2</v>
      </c>
    </row>
    <row r="66" spans="1:14" x14ac:dyDescent="0.35">
      <c r="A66" s="1" t="s">
        <v>111</v>
      </c>
      <c r="B66" s="2">
        <v>45826</v>
      </c>
      <c r="C66" s="3" t="s">
        <v>112</v>
      </c>
      <c r="D66" s="4" t="s">
        <v>12</v>
      </c>
      <c r="E66" s="3">
        <v>571.63</v>
      </c>
      <c r="F66" s="3">
        <v>2</v>
      </c>
      <c r="G66" s="3">
        <v>60.22</v>
      </c>
      <c r="H66" s="5">
        <v>0.1</v>
      </c>
      <c r="I66" s="8" t="str">
        <f t="shared" ref="I66:I97" si="8">TEXT(B66,"mmm")</f>
        <v>Jun</v>
      </c>
      <c r="J66" s="8">
        <f t="shared" ref="J66:J97" si="9">IF(ROW()=2,0,E65)</f>
        <v>1644.66</v>
      </c>
      <c r="K66" s="8">
        <f t="shared" ref="K66:K97" si="10">E66-J66</f>
        <v>-1073.0300000000002</v>
      </c>
      <c r="L66" s="8">
        <f t="shared" ref="L66:L97" si="11">IF(J66=0,0,(E66-J66)/J66)</f>
        <v>-0.65243272165675592</v>
      </c>
      <c r="M66" s="8" t="str">
        <f>IF(E66&gt;=AVERAGE(orders[Sales]),"High Sales","Low Sales")</f>
        <v>Low Sales</v>
      </c>
      <c r="N66" s="8">
        <f>orders[[#This Row],[Profit]]/orders[[#This Row],[Sales]]</f>
        <v>0.10534786487763063</v>
      </c>
    </row>
    <row r="67" spans="1:14" x14ac:dyDescent="0.35">
      <c r="A67" s="6" t="s">
        <v>113</v>
      </c>
      <c r="B67" s="7">
        <v>46005</v>
      </c>
      <c r="C67" s="8" t="s">
        <v>114</v>
      </c>
      <c r="D67" s="9" t="s">
        <v>12</v>
      </c>
      <c r="E67" s="8">
        <v>1962.68</v>
      </c>
      <c r="F67" s="8">
        <v>9</v>
      </c>
      <c r="G67" s="8">
        <v>553.03</v>
      </c>
      <c r="H67" s="10">
        <v>0.1</v>
      </c>
      <c r="I67" s="8" t="str">
        <f t="shared" si="8"/>
        <v>Dec</v>
      </c>
      <c r="J67" s="8">
        <f t="shared" si="9"/>
        <v>571.63</v>
      </c>
      <c r="K67" s="8">
        <f t="shared" si="10"/>
        <v>1391.0500000000002</v>
      </c>
      <c r="L67" s="8">
        <f t="shared" si="11"/>
        <v>2.4334796984063121</v>
      </c>
      <c r="M67" s="8" t="str">
        <f>IF(E67&gt;=AVERAGE(orders[Sales]),"High Sales","Low Sales")</f>
        <v>High Sales</v>
      </c>
      <c r="N67" s="8">
        <f>orders[[#This Row],[Profit]]/orders[[#This Row],[Sales]]</f>
        <v>0.28177288197770395</v>
      </c>
    </row>
    <row r="68" spans="1:14" x14ac:dyDescent="0.35">
      <c r="A68" s="1" t="s">
        <v>115</v>
      </c>
      <c r="B68" s="2">
        <v>45749</v>
      </c>
      <c r="C68" s="3" t="s">
        <v>116</v>
      </c>
      <c r="D68" s="4" t="s">
        <v>12</v>
      </c>
      <c r="E68" s="3">
        <v>1169.57</v>
      </c>
      <c r="F68" s="3">
        <v>5</v>
      </c>
      <c r="G68" s="3">
        <v>96.51</v>
      </c>
      <c r="H68" s="5">
        <v>0</v>
      </c>
      <c r="I68" s="8" t="str">
        <f t="shared" si="8"/>
        <v>Apr</v>
      </c>
      <c r="J68" s="8">
        <f t="shared" si="9"/>
        <v>1962.68</v>
      </c>
      <c r="K68" s="8">
        <f t="shared" si="10"/>
        <v>-793.11000000000013</v>
      </c>
      <c r="L68" s="8">
        <f t="shared" si="11"/>
        <v>-0.40409542054741482</v>
      </c>
      <c r="M68" s="8" t="str">
        <f>IF(E68&gt;=AVERAGE(orders[Sales]),"High Sales","Low Sales")</f>
        <v>High Sales</v>
      </c>
      <c r="N68" s="8">
        <f>orders[[#This Row],[Profit]]/orders[[#This Row],[Sales]]</f>
        <v>8.2517506433988572E-2</v>
      </c>
    </row>
    <row r="69" spans="1:14" x14ac:dyDescent="0.35">
      <c r="A69" s="6" t="s">
        <v>117</v>
      </c>
      <c r="B69" s="7">
        <v>45818</v>
      </c>
      <c r="C69" s="8" t="s">
        <v>118</v>
      </c>
      <c r="D69" s="9" t="s">
        <v>2</v>
      </c>
      <c r="E69" s="8">
        <v>884.06</v>
      </c>
      <c r="F69" s="8">
        <v>9</v>
      </c>
      <c r="G69" s="8">
        <v>146.36000000000001</v>
      </c>
      <c r="H69" s="10">
        <v>0</v>
      </c>
      <c r="I69" s="8" t="str">
        <f t="shared" si="8"/>
        <v>Jun</v>
      </c>
      <c r="J69" s="8">
        <f t="shared" si="9"/>
        <v>1169.57</v>
      </c>
      <c r="K69" s="8">
        <f t="shared" si="10"/>
        <v>-285.51</v>
      </c>
      <c r="L69" s="8">
        <f t="shared" si="11"/>
        <v>-0.24411535863607994</v>
      </c>
      <c r="M69" s="8" t="str">
        <f>IF(E69&gt;=AVERAGE(orders[Sales]),"High Sales","Low Sales")</f>
        <v>Low Sales</v>
      </c>
      <c r="N69" s="8">
        <f>orders[[#This Row],[Profit]]/orders[[#This Row],[Sales]]</f>
        <v>0.16555437413750201</v>
      </c>
    </row>
    <row r="70" spans="1:14" x14ac:dyDescent="0.35">
      <c r="A70" s="1" t="s">
        <v>119</v>
      </c>
      <c r="B70" s="2">
        <v>45788</v>
      </c>
      <c r="C70" s="3" t="s">
        <v>24</v>
      </c>
      <c r="D70" s="4" t="s">
        <v>7</v>
      </c>
      <c r="E70" s="3">
        <v>107.89</v>
      </c>
      <c r="F70" s="3">
        <v>7</v>
      </c>
      <c r="G70" s="3">
        <v>22.22</v>
      </c>
      <c r="H70" s="5">
        <v>0</v>
      </c>
      <c r="I70" s="8" t="str">
        <f t="shared" si="8"/>
        <v>May</v>
      </c>
      <c r="J70" s="8">
        <f t="shared" si="9"/>
        <v>884.06</v>
      </c>
      <c r="K70" s="8">
        <f t="shared" si="10"/>
        <v>-776.17</v>
      </c>
      <c r="L70" s="8">
        <f t="shared" si="11"/>
        <v>-0.87796077189331045</v>
      </c>
      <c r="M70" s="8" t="str">
        <f>IF(E70&gt;=AVERAGE(orders[Sales]),"High Sales","Low Sales")</f>
        <v>Low Sales</v>
      </c>
      <c r="N70" s="8">
        <f>orders[[#This Row],[Profit]]/orders[[#This Row],[Sales]]</f>
        <v>0.20595050514412827</v>
      </c>
    </row>
    <row r="71" spans="1:14" x14ac:dyDescent="0.35">
      <c r="A71" s="6" t="s">
        <v>120</v>
      </c>
      <c r="B71" s="7">
        <v>46001</v>
      </c>
      <c r="C71" s="8" t="s">
        <v>105</v>
      </c>
      <c r="D71" s="9" t="s">
        <v>7</v>
      </c>
      <c r="E71" s="8">
        <v>410.13</v>
      </c>
      <c r="F71" s="8">
        <v>7</v>
      </c>
      <c r="G71" s="8">
        <v>137.26</v>
      </c>
      <c r="H71" s="10">
        <v>0</v>
      </c>
      <c r="I71" s="8" t="str">
        <f t="shared" si="8"/>
        <v>Dec</v>
      </c>
      <c r="J71" s="8">
        <f t="shared" si="9"/>
        <v>107.89</v>
      </c>
      <c r="K71" s="8">
        <f t="shared" si="10"/>
        <v>302.24</v>
      </c>
      <c r="L71" s="8">
        <f t="shared" si="11"/>
        <v>2.8013717675410139</v>
      </c>
      <c r="M71" s="8" t="str">
        <f>IF(E71&gt;=AVERAGE(orders[Sales]),"High Sales","Low Sales")</f>
        <v>Low Sales</v>
      </c>
      <c r="N71" s="8">
        <f>orders[[#This Row],[Profit]]/orders[[#This Row],[Sales]]</f>
        <v>0.33467437154073099</v>
      </c>
    </row>
    <row r="72" spans="1:14" x14ac:dyDescent="0.35">
      <c r="A72" s="1" t="s">
        <v>121</v>
      </c>
      <c r="B72" s="2">
        <v>45818</v>
      </c>
      <c r="C72" s="3" t="s">
        <v>122</v>
      </c>
      <c r="D72" s="4" t="s">
        <v>12</v>
      </c>
      <c r="E72" s="3">
        <v>1333.51</v>
      </c>
      <c r="F72" s="3">
        <v>2</v>
      </c>
      <c r="G72" s="3">
        <v>226.72</v>
      </c>
      <c r="H72" s="5">
        <v>0.3</v>
      </c>
      <c r="I72" s="8" t="str">
        <f t="shared" si="8"/>
        <v>Jun</v>
      </c>
      <c r="J72" s="8">
        <f t="shared" si="9"/>
        <v>410.13</v>
      </c>
      <c r="K72" s="8">
        <f t="shared" si="10"/>
        <v>923.38</v>
      </c>
      <c r="L72" s="8">
        <f t="shared" si="11"/>
        <v>2.2514324726306292</v>
      </c>
      <c r="M72" s="8" t="str">
        <f>IF(E72&gt;=AVERAGE(orders[Sales]),"High Sales","Low Sales")</f>
        <v>High Sales</v>
      </c>
      <c r="N72" s="8">
        <f>orders[[#This Row],[Profit]]/orders[[#This Row],[Sales]]</f>
        <v>0.17001747268486925</v>
      </c>
    </row>
    <row r="73" spans="1:14" x14ac:dyDescent="0.35">
      <c r="A73" s="6" t="s">
        <v>123</v>
      </c>
      <c r="B73" s="7">
        <v>45999</v>
      </c>
      <c r="C73" s="8" t="s">
        <v>124</v>
      </c>
      <c r="D73" s="9" t="s">
        <v>2</v>
      </c>
      <c r="E73" s="8">
        <v>828.62</v>
      </c>
      <c r="F73" s="8">
        <v>7</v>
      </c>
      <c r="G73" s="8">
        <v>-9.3699999999999992</v>
      </c>
      <c r="H73" s="10">
        <v>0.3</v>
      </c>
      <c r="I73" s="8" t="str">
        <f t="shared" si="8"/>
        <v>Dec</v>
      </c>
      <c r="J73" s="8">
        <f t="shared" si="9"/>
        <v>1333.51</v>
      </c>
      <c r="K73" s="8">
        <f t="shared" si="10"/>
        <v>-504.89</v>
      </c>
      <c r="L73" s="8">
        <f t="shared" si="11"/>
        <v>-0.37861733320335056</v>
      </c>
      <c r="M73" s="8" t="str">
        <f>IF(E73&gt;=AVERAGE(orders[Sales]),"High Sales","Low Sales")</f>
        <v>Low Sales</v>
      </c>
      <c r="N73" s="8">
        <f>orders[[#This Row],[Profit]]/orders[[#This Row],[Sales]]</f>
        <v>-1.1307957809369794E-2</v>
      </c>
    </row>
    <row r="74" spans="1:14" x14ac:dyDescent="0.35">
      <c r="A74" s="1" t="s">
        <v>125</v>
      </c>
      <c r="B74" s="2">
        <v>45873</v>
      </c>
      <c r="C74" s="3" t="s">
        <v>126</v>
      </c>
      <c r="D74" s="4" t="s">
        <v>7</v>
      </c>
      <c r="E74" s="3">
        <v>1336.56</v>
      </c>
      <c r="F74" s="3">
        <v>7</v>
      </c>
      <c r="G74" s="3">
        <v>166.32</v>
      </c>
      <c r="H74" s="5">
        <v>0.3</v>
      </c>
      <c r="I74" s="8" t="str">
        <f t="shared" si="8"/>
        <v>Aug</v>
      </c>
      <c r="J74" s="8">
        <f t="shared" si="9"/>
        <v>828.62</v>
      </c>
      <c r="K74" s="8">
        <f t="shared" si="10"/>
        <v>507.93999999999994</v>
      </c>
      <c r="L74" s="8">
        <f t="shared" si="11"/>
        <v>0.61299510028722448</v>
      </c>
      <c r="M74" s="8" t="str">
        <f>IF(E74&gt;=AVERAGE(orders[Sales]),"High Sales","Low Sales")</f>
        <v>High Sales</v>
      </c>
      <c r="N74" s="8">
        <f>orders[[#This Row],[Profit]]/orders[[#This Row],[Sales]]</f>
        <v>0.12443885796372778</v>
      </c>
    </row>
    <row r="75" spans="1:14" x14ac:dyDescent="0.35">
      <c r="A75" s="6" t="s">
        <v>127</v>
      </c>
      <c r="B75" s="7">
        <v>45949</v>
      </c>
      <c r="C75" s="8" t="s">
        <v>22</v>
      </c>
      <c r="D75" s="9" t="s">
        <v>12</v>
      </c>
      <c r="E75" s="8">
        <v>615.88</v>
      </c>
      <c r="F75" s="8">
        <v>9</v>
      </c>
      <c r="G75" s="8">
        <v>86.94</v>
      </c>
      <c r="H75" s="10">
        <v>0</v>
      </c>
      <c r="I75" s="8" t="str">
        <f t="shared" si="8"/>
        <v>Oct</v>
      </c>
      <c r="J75" s="8">
        <f t="shared" si="9"/>
        <v>1336.56</v>
      </c>
      <c r="K75" s="8">
        <f t="shared" si="10"/>
        <v>-720.68</v>
      </c>
      <c r="L75" s="8">
        <f t="shared" si="11"/>
        <v>-0.53920512360088579</v>
      </c>
      <c r="M75" s="8" t="str">
        <f>IF(E75&gt;=AVERAGE(orders[Sales]),"High Sales","Low Sales")</f>
        <v>Low Sales</v>
      </c>
      <c r="N75" s="8">
        <f>orders[[#This Row],[Profit]]/orders[[#This Row],[Sales]]</f>
        <v>0.14116386309021237</v>
      </c>
    </row>
    <row r="76" spans="1:14" x14ac:dyDescent="0.35">
      <c r="A76" s="1" t="s">
        <v>128</v>
      </c>
      <c r="B76" s="2">
        <v>45954</v>
      </c>
      <c r="C76" s="3" t="s">
        <v>129</v>
      </c>
      <c r="D76" s="4" t="s">
        <v>2</v>
      </c>
      <c r="E76" s="3">
        <v>1221.19</v>
      </c>
      <c r="F76" s="3">
        <v>6</v>
      </c>
      <c r="G76" s="3">
        <v>131.32</v>
      </c>
      <c r="H76" s="5">
        <v>0.15</v>
      </c>
      <c r="I76" s="8" t="str">
        <f t="shared" si="8"/>
        <v>Oct</v>
      </c>
      <c r="J76" s="8">
        <f t="shared" si="9"/>
        <v>615.88</v>
      </c>
      <c r="K76" s="8">
        <f t="shared" si="10"/>
        <v>605.31000000000006</v>
      </c>
      <c r="L76" s="8">
        <f t="shared" si="11"/>
        <v>0.9828375657595636</v>
      </c>
      <c r="M76" s="8" t="str">
        <f>IF(E76&gt;=AVERAGE(orders[Sales]),"High Sales","Low Sales")</f>
        <v>High Sales</v>
      </c>
      <c r="N76" s="8">
        <f>orders[[#This Row],[Profit]]/orders[[#This Row],[Sales]]</f>
        <v>0.10753445409805189</v>
      </c>
    </row>
    <row r="77" spans="1:14" x14ac:dyDescent="0.35">
      <c r="A77" s="6" t="s">
        <v>130</v>
      </c>
      <c r="B77" s="7">
        <v>45919</v>
      </c>
      <c r="C77" s="8" t="s">
        <v>112</v>
      </c>
      <c r="D77" s="9" t="s">
        <v>7</v>
      </c>
      <c r="E77" s="8">
        <v>956.91</v>
      </c>
      <c r="F77" s="8">
        <v>3</v>
      </c>
      <c r="G77" s="8">
        <v>-71.349999999999994</v>
      </c>
      <c r="H77" s="10">
        <v>0.3</v>
      </c>
      <c r="I77" s="8" t="str">
        <f t="shared" si="8"/>
        <v>Sep</v>
      </c>
      <c r="J77" s="8">
        <f t="shared" si="9"/>
        <v>1221.19</v>
      </c>
      <c r="K77" s="8">
        <f t="shared" si="10"/>
        <v>-264.28000000000009</v>
      </c>
      <c r="L77" s="8">
        <f t="shared" si="11"/>
        <v>-0.21641186056223854</v>
      </c>
      <c r="M77" s="8" t="str">
        <f>IF(E77&gt;=AVERAGE(orders[Sales]),"High Sales","Low Sales")</f>
        <v>Low Sales</v>
      </c>
      <c r="N77" s="8">
        <f>orders[[#This Row],[Profit]]/orders[[#This Row],[Sales]]</f>
        <v>-7.4562916052711328E-2</v>
      </c>
    </row>
    <row r="78" spans="1:14" x14ac:dyDescent="0.35">
      <c r="A78" s="1" t="s">
        <v>131</v>
      </c>
      <c r="B78" s="2">
        <v>45982</v>
      </c>
      <c r="C78" s="3" t="s">
        <v>132</v>
      </c>
      <c r="D78" s="4" t="s">
        <v>2</v>
      </c>
      <c r="E78" s="3">
        <v>1246.1400000000001</v>
      </c>
      <c r="F78" s="3">
        <v>2</v>
      </c>
      <c r="G78" s="3">
        <v>282.67</v>
      </c>
      <c r="H78" s="5">
        <v>0.05</v>
      </c>
      <c r="I78" s="8" t="str">
        <f t="shared" si="8"/>
        <v>Nov</v>
      </c>
      <c r="J78" s="8">
        <f t="shared" si="9"/>
        <v>956.91</v>
      </c>
      <c r="K78" s="8">
        <f t="shared" si="10"/>
        <v>289.23000000000013</v>
      </c>
      <c r="L78" s="8">
        <f t="shared" si="11"/>
        <v>0.30225413048249067</v>
      </c>
      <c r="M78" s="8" t="str">
        <f>IF(E78&gt;=AVERAGE(orders[Sales]),"High Sales","Low Sales")</f>
        <v>High Sales</v>
      </c>
      <c r="N78" s="8">
        <f>orders[[#This Row],[Profit]]/orders[[#This Row],[Sales]]</f>
        <v>0.22683647102251753</v>
      </c>
    </row>
    <row r="79" spans="1:14" x14ac:dyDescent="0.35">
      <c r="A79" s="6" t="s">
        <v>133</v>
      </c>
      <c r="B79" s="7">
        <v>45733</v>
      </c>
      <c r="C79" s="8" t="s">
        <v>96</v>
      </c>
      <c r="D79" s="9" t="s">
        <v>2</v>
      </c>
      <c r="E79" s="8">
        <v>68.36</v>
      </c>
      <c r="F79" s="8">
        <v>4</v>
      </c>
      <c r="G79" s="8">
        <v>10.83</v>
      </c>
      <c r="H79" s="10">
        <v>0.15</v>
      </c>
      <c r="I79" s="8" t="str">
        <f t="shared" si="8"/>
        <v>Mar</v>
      </c>
      <c r="J79" s="8">
        <f t="shared" si="9"/>
        <v>1246.1400000000001</v>
      </c>
      <c r="K79" s="8">
        <f t="shared" si="10"/>
        <v>-1177.7800000000002</v>
      </c>
      <c r="L79" s="8">
        <f t="shared" si="11"/>
        <v>-0.94514260034988051</v>
      </c>
      <c r="M79" s="8" t="str">
        <f>IF(E79&gt;=AVERAGE(orders[Sales]),"High Sales","Low Sales")</f>
        <v>Low Sales</v>
      </c>
      <c r="N79" s="8">
        <f>orders[[#This Row],[Profit]]/orders[[#This Row],[Sales]]</f>
        <v>0.15842598010532474</v>
      </c>
    </row>
    <row r="80" spans="1:14" x14ac:dyDescent="0.35">
      <c r="A80" s="1" t="s">
        <v>134</v>
      </c>
      <c r="B80" s="2">
        <v>45891</v>
      </c>
      <c r="C80" s="3" t="s">
        <v>135</v>
      </c>
      <c r="D80" s="4" t="s">
        <v>12</v>
      </c>
      <c r="E80" s="3">
        <v>840.59</v>
      </c>
      <c r="F80" s="3">
        <v>10</v>
      </c>
      <c r="G80" s="3">
        <v>202.17</v>
      </c>
      <c r="H80" s="5">
        <v>0.05</v>
      </c>
      <c r="I80" s="8" t="str">
        <f t="shared" si="8"/>
        <v>Aug</v>
      </c>
      <c r="J80" s="8">
        <f t="shared" si="9"/>
        <v>68.36</v>
      </c>
      <c r="K80" s="8">
        <f t="shared" si="10"/>
        <v>772.23</v>
      </c>
      <c r="L80" s="8">
        <f t="shared" si="11"/>
        <v>11.296518431831482</v>
      </c>
      <c r="M80" s="8" t="str">
        <f>IF(E80&gt;=AVERAGE(orders[Sales]),"High Sales","Low Sales")</f>
        <v>Low Sales</v>
      </c>
      <c r="N80" s="8">
        <f>orders[[#This Row],[Profit]]/orders[[#This Row],[Sales]]</f>
        <v>0.24050964203714056</v>
      </c>
    </row>
    <row r="81" spans="1:14" x14ac:dyDescent="0.35">
      <c r="A81" s="6" t="s">
        <v>136</v>
      </c>
      <c r="B81" s="7">
        <v>45862</v>
      </c>
      <c r="C81" s="8" t="s">
        <v>132</v>
      </c>
      <c r="D81" s="9" t="s">
        <v>2</v>
      </c>
      <c r="E81" s="8">
        <v>503.09</v>
      </c>
      <c r="F81" s="8">
        <v>1</v>
      </c>
      <c r="G81" s="8">
        <v>142.63999999999999</v>
      </c>
      <c r="H81" s="10">
        <v>0</v>
      </c>
      <c r="I81" s="8" t="str">
        <f t="shared" si="8"/>
        <v>Jul</v>
      </c>
      <c r="J81" s="8">
        <f t="shared" si="9"/>
        <v>840.59</v>
      </c>
      <c r="K81" s="8">
        <f t="shared" si="10"/>
        <v>-337.50000000000006</v>
      </c>
      <c r="L81" s="8">
        <f t="shared" si="11"/>
        <v>-0.40150370573049887</v>
      </c>
      <c r="M81" s="8" t="str">
        <f>IF(E81&gt;=AVERAGE(orders[Sales]),"High Sales","Low Sales")</f>
        <v>Low Sales</v>
      </c>
      <c r="N81" s="8">
        <f>orders[[#This Row],[Profit]]/orders[[#This Row],[Sales]]</f>
        <v>0.28352779820708024</v>
      </c>
    </row>
    <row r="82" spans="1:14" x14ac:dyDescent="0.35">
      <c r="A82" s="1" t="s">
        <v>137</v>
      </c>
      <c r="B82" s="2">
        <v>46014</v>
      </c>
      <c r="C82" s="3" t="s">
        <v>138</v>
      </c>
      <c r="D82" s="4" t="s">
        <v>12</v>
      </c>
      <c r="E82" s="3">
        <v>1045.56</v>
      </c>
      <c r="F82" s="3">
        <v>1</v>
      </c>
      <c r="G82" s="3">
        <v>25.89</v>
      </c>
      <c r="H82" s="5">
        <v>0.2</v>
      </c>
      <c r="I82" s="8" t="str">
        <f t="shared" si="8"/>
        <v>Dec</v>
      </c>
      <c r="J82" s="8">
        <f t="shared" si="9"/>
        <v>503.09</v>
      </c>
      <c r="K82" s="8">
        <f t="shared" si="10"/>
        <v>542.47</v>
      </c>
      <c r="L82" s="8">
        <f t="shared" si="11"/>
        <v>1.0782762527579559</v>
      </c>
      <c r="M82" s="8" t="str">
        <f>IF(E82&gt;=AVERAGE(orders[Sales]),"High Sales","Low Sales")</f>
        <v>Low Sales</v>
      </c>
      <c r="N82" s="8">
        <f>orders[[#This Row],[Profit]]/orders[[#This Row],[Sales]]</f>
        <v>2.4761850109032483E-2</v>
      </c>
    </row>
    <row r="83" spans="1:14" x14ac:dyDescent="0.35">
      <c r="A83" s="6" t="s">
        <v>139</v>
      </c>
      <c r="B83" s="7">
        <v>45726</v>
      </c>
      <c r="C83" s="8" t="s">
        <v>35</v>
      </c>
      <c r="D83" s="9" t="s">
        <v>12</v>
      </c>
      <c r="E83" s="8">
        <v>1606.8</v>
      </c>
      <c r="F83" s="8">
        <v>9</v>
      </c>
      <c r="G83" s="8">
        <v>206.69</v>
      </c>
      <c r="H83" s="10">
        <v>0.2</v>
      </c>
      <c r="I83" s="8" t="str">
        <f t="shared" si="8"/>
        <v>Mar</v>
      </c>
      <c r="J83" s="8">
        <f t="shared" si="9"/>
        <v>1045.56</v>
      </c>
      <c r="K83" s="8">
        <f t="shared" si="10"/>
        <v>561.24</v>
      </c>
      <c r="L83" s="8">
        <f t="shared" si="11"/>
        <v>0.53678411568920004</v>
      </c>
      <c r="M83" s="8" t="str">
        <f>IF(E83&gt;=AVERAGE(orders[Sales]),"High Sales","Low Sales")</f>
        <v>High Sales</v>
      </c>
      <c r="N83" s="8">
        <f>orders[[#This Row],[Profit]]/orders[[#This Row],[Sales]]</f>
        <v>0.12863455314911626</v>
      </c>
    </row>
    <row r="84" spans="1:14" x14ac:dyDescent="0.35">
      <c r="A84" s="1" t="s">
        <v>140</v>
      </c>
      <c r="B84" s="2">
        <v>45971</v>
      </c>
      <c r="C84" s="3" t="s">
        <v>39</v>
      </c>
      <c r="D84" s="4" t="s">
        <v>12</v>
      </c>
      <c r="E84" s="3">
        <v>1633.71</v>
      </c>
      <c r="F84" s="3">
        <v>9</v>
      </c>
      <c r="G84" s="3">
        <v>366.23</v>
      </c>
      <c r="H84" s="5">
        <v>0.15</v>
      </c>
      <c r="I84" s="8" t="str">
        <f t="shared" si="8"/>
        <v>Nov</v>
      </c>
      <c r="J84" s="8">
        <f t="shared" si="9"/>
        <v>1606.8</v>
      </c>
      <c r="K84" s="8">
        <f t="shared" si="10"/>
        <v>26.910000000000082</v>
      </c>
      <c r="L84" s="8">
        <f t="shared" si="11"/>
        <v>1.6747572815534031E-2</v>
      </c>
      <c r="M84" s="8" t="str">
        <f>IF(E84&gt;=AVERAGE(orders[Sales]),"High Sales","Low Sales")</f>
        <v>High Sales</v>
      </c>
      <c r="N84" s="8">
        <f>orders[[#This Row],[Profit]]/orders[[#This Row],[Sales]]</f>
        <v>0.22417075245912677</v>
      </c>
    </row>
    <row r="85" spans="1:14" x14ac:dyDescent="0.35">
      <c r="A85" s="6" t="s">
        <v>141</v>
      </c>
      <c r="B85" s="7">
        <v>45739</v>
      </c>
      <c r="C85" s="8" t="s">
        <v>31</v>
      </c>
      <c r="D85" s="9" t="s">
        <v>7</v>
      </c>
      <c r="E85" s="8">
        <v>1492.44</v>
      </c>
      <c r="F85" s="8">
        <v>8</v>
      </c>
      <c r="G85" s="8">
        <v>78.739999999999995</v>
      </c>
      <c r="H85" s="10">
        <v>0.15</v>
      </c>
      <c r="I85" s="8" t="str">
        <f t="shared" si="8"/>
        <v>Mar</v>
      </c>
      <c r="J85" s="8">
        <f t="shared" si="9"/>
        <v>1633.71</v>
      </c>
      <c r="K85" s="8">
        <f t="shared" si="10"/>
        <v>-141.26999999999998</v>
      </c>
      <c r="L85" s="8">
        <f t="shared" si="11"/>
        <v>-8.647189525680811E-2</v>
      </c>
      <c r="M85" s="8" t="str">
        <f>IF(E85&gt;=AVERAGE(orders[Sales]),"High Sales","Low Sales")</f>
        <v>High Sales</v>
      </c>
      <c r="N85" s="8">
        <f>orders[[#This Row],[Profit]]/orders[[#This Row],[Sales]]</f>
        <v>5.2759239902441635E-2</v>
      </c>
    </row>
    <row r="86" spans="1:14" x14ac:dyDescent="0.35">
      <c r="A86" s="1" t="s">
        <v>142</v>
      </c>
      <c r="B86" s="2">
        <v>45799</v>
      </c>
      <c r="C86" s="3" t="s">
        <v>9</v>
      </c>
      <c r="D86" s="4" t="s">
        <v>12</v>
      </c>
      <c r="E86" s="3">
        <v>1536.31</v>
      </c>
      <c r="F86" s="3">
        <v>9</v>
      </c>
      <c r="G86" s="3">
        <v>250.46</v>
      </c>
      <c r="H86" s="5">
        <v>0.15</v>
      </c>
      <c r="I86" s="8" t="str">
        <f t="shared" si="8"/>
        <v>May</v>
      </c>
      <c r="J86" s="8">
        <f t="shared" si="9"/>
        <v>1492.44</v>
      </c>
      <c r="K86" s="8">
        <f t="shared" si="10"/>
        <v>43.869999999999891</v>
      </c>
      <c r="L86" s="8">
        <f t="shared" si="11"/>
        <v>2.9394816542038467E-2</v>
      </c>
      <c r="M86" s="8" t="str">
        <f>IF(E86&gt;=AVERAGE(orders[Sales]),"High Sales","Low Sales")</f>
        <v>High Sales</v>
      </c>
      <c r="N86" s="8">
        <f>orders[[#This Row],[Profit]]/orders[[#This Row],[Sales]]</f>
        <v>0.16302699325006023</v>
      </c>
    </row>
    <row r="87" spans="1:14" x14ac:dyDescent="0.35">
      <c r="A87" s="6" t="s">
        <v>143</v>
      </c>
      <c r="B87" s="7">
        <v>45697</v>
      </c>
      <c r="C87" s="8" t="s">
        <v>47</v>
      </c>
      <c r="D87" s="9" t="s">
        <v>2</v>
      </c>
      <c r="E87" s="8">
        <v>1432.82</v>
      </c>
      <c r="F87" s="8">
        <v>4</v>
      </c>
      <c r="G87" s="8">
        <v>144.36000000000001</v>
      </c>
      <c r="H87" s="10">
        <v>0.1</v>
      </c>
      <c r="I87" s="8" t="str">
        <f t="shared" si="8"/>
        <v>Feb</v>
      </c>
      <c r="J87" s="8">
        <f t="shared" si="9"/>
        <v>1536.31</v>
      </c>
      <c r="K87" s="8">
        <f t="shared" si="10"/>
        <v>-103.49000000000001</v>
      </c>
      <c r="L87" s="8">
        <f t="shared" si="11"/>
        <v>-6.736270674538343E-2</v>
      </c>
      <c r="M87" s="8" t="str">
        <f>IF(E87&gt;=AVERAGE(orders[Sales]),"High Sales","Low Sales")</f>
        <v>High Sales</v>
      </c>
      <c r="N87" s="8">
        <f>orders[[#This Row],[Profit]]/orders[[#This Row],[Sales]]</f>
        <v>0.10075236247400234</v>
      </c>
    </row>
    <row r="88" spans="1:14" x14ac:dyDescent="0.35">
      <c r="A88" s="1" t="s">
        <v>144</v>
      </c>
      <c r="B88" s="2">
        <v>45728</v>
      </c>
      <c r="C88" s="3" t="s">
        <v>145</v>
      </c>
      <c r="D88" s="4" t="s">
        <v>2</v>
      </c>
      <c r="E88" s="3">
        <v>318.64</v>
      </c>
      <c r="F88" s="3">
        <v>7</v>
      </c>
      <c r="G88" s="3">
        <v>-17.260000000000002</v>
      </c>
      <c r="H88" s="5">
        <v>0.3</v>
      </c>
      <c r="I88" s="8" t="str">
        <f t="shared" si="8"/>
        <v>Mar</v>
      </c>
      <c r="J88" s="8">
        <f t="shared" si="9"/>
        <v>1432.82</v>
      </c>
      <c r="K88" s="8">
        <f t="shared" si="10"/>
        <v>-1114.1799999999998</v>
      </c>
      <c r="L88" s="8">
        <f t="shared" si="11"/>
        <v>-0.77761337781438</v>
      </c>
      <c r="M88" s="8" t="str">
        <f>IF(E88&gt;=AVERAGE(orders[Sales]),"High Sales","Low Sales")</f>
        <v>Low Sales</v>
      </c>
      <c r="N88" s="8">
        <f>orders[[#This Row],[Profit]]/orders[[#This Row],[Sales]]</f>
        <v>-5.4167712779312087E-2</v>
      </c>
    </row>
    <row r="89" spans="1:14" x14ac:dyDescent="0.35">
      <c r="A89" s="6" t="s">
        <v>146</v>
      </c>
      <c r="B89" s="7">
        <v>45870</v>
      </c>
      <c r="C89" s="8" t="s">
        <v>22</v>
      </c>
      <c r="D89" s="9" t="s">
        <v>12</v>
      </c>
      <c r="E89" s="8">
        <v>827.05</v>
      </c>
      <c r="F89" s="8">
        <v>9</v>
      </c>
      <c r="G89" s="8">
        <v>82.48</v>
      </c>
      <c r="H89" s="10">
        <v>0.15</v>
      </c>
      <c r="I89" s="8" t="str">
        <f t="shared" si="8"/>
        <v>Aug</v>
      </c>
      <c r="J89" s="8">
        <f t="shared" si="9"/>
        <v>318.64</v>
      </c>
      <c r="K89" s="8">
        <f t="shared" si="10"/>
        <v>508.40999999999997</v>
      </c>
      <c r="L89" s="8">
        <f t="shared" si="11"/>
        <v>1.5955623901581721</v>
      </c>
      <c r="M89" s="8" t="str">
        <f>IF(E89&gt;=AVERAGE(orders[Sales]),"High Sales","Low Sales")</f>
        <v>Low Sales</v>
      </c>
      <c r="N89" s="8">
        <f>orders[[#This Row],[Profit]]/orders[[#This Row],[Sales]]</f>
        <v>9.9727948733450228E-2</v>
      </c>
    </row>
    <row r="90" spans="1:14" x14ac:dyDescent="0.35">
      <c r="A90" s="1" t="s">
        <v>147</v>
      </c>
      <c r="B90" s="2">
        <v>45857</v>
      </c>
      <c r="C90" s="3" t="s">
        <v>11</v>
      </c>
      <c r="D90" s="4" t="s">
        <v>7</v>
      </c>
      <c r="E90" s="3">
        <v>1811.58</v>
      </c>
      <c r="F90" s="3">
        <v>10</v>
      </c>
      <c r="G90" s="3">
        <v>-170.54</v>
      </c>
      <c r="H90" s="5">
        <v>0.3</v>
      </c>
      <c r="I90" s="8" t="str">
        <f t="shared" si="8"/>
        <v>Jul</v>
      </c>
      <c r="J90" s="8">
        <f t="shared" si="9"/>
        <v>827.05</v>
      </c>
      <c r="K90" s="8">
        <f t="shared" si="10"/>
        <v>984.53</v>
      </c>
      <c r="L90" s="8">
        <f t="shared" si="11"/>
        <v>1.1904117042500453</v>
      </c>
      <c r="M90" s="8" t="str">
        <f>IF(E90&gt;=AVERAGE(orders[Sales]),"High Sales","Low Sales")</f>
        <v>High Sales</v>
      </c>
      <c r="N90" s="8">
        <f>orders[[#This Row],[Profit]]/orders[[#This Row],[Sales]]</f>
        <v>-9.4138818048333503E-2</v>
      </c>
    </row>
    <row r="91" spans="1:14" x14ac:dyDescent="0.35">
      <c r="A91" s="6" t="s">
        <v>148</v>
      </c>
      <c r="B91" s="7">
        <v>45852</v>
      </c>
      <c r="C91" s="8" t="s">
        <v>149</v>
      </c>
      <c r="D91" s="9" t="s">
        <v>7</v>
      </c>
      <c r="E91" s="8">
        <v>964.42</v>
      </c>
      <c r="F91" s="8">
        <v>6</v>
      </c>
      <c r="G91" s="8">
        <v>218</v>
      </c>
      <c r="H91" s="10">
        <v>0.1</v>
      </c>
      <c r="I91" s="8" t="str">
        <f t="shared" si="8"/>
        <v>Jul</v>
      </c>
      <c r="J91" s="8">
        <f t="shared" si="9"/>
        <v>1811.58</v>
      </c>
      <c r="K91" s="8">
        <f t="shared" si="10"/>
        <v>-847.16</v>
      </c>
      <c r="L91" s="8">
        <f t="shared" si="11"/>
        <v>-0.46763598626613234</v>
      </c>
      <c r="M91" s="8" t="str">
        <f>IF(E91&gt;=AVERAGE(orders[Sales]),"High Sales","Low Sales")</f>
        <v>Low Sales</v>
      </c>
      <c r="N91" s="8">
        <f>orders[[#This Row],[Profit]]/orders[[#This Row],[Sales]]</f>
        <v>0.22604259554965681</v>
      </c>
    </row>
    <row r="92" spans="1:14" x14ac:dyDescent="0.35">
      <c r="A92" s="1" t="s">
        <v>150</v>
      </c>
      <c r="B92" s="2">
        <v>45937</v>
      </c>
      <c r="C92" s="3" t="s">
        <v>116</v>
      </c>
      <c r="D92" s="4" t="s">
        <v>12</v>
      </c>
      <c r="E92" s="3">
        <v>1603.74</v>
      </c>
      <c r="F92" s="3">
        <v>4</v>
      </c>
      <c r="G92" s="3">
        <v>65.48</v>
      </c>
      <c r="H92" s="5">
        <v>0.15</v>
      </c>
      <c r="I92" s="8" t="str">
        <f t="shared" si="8"/>
        <v>Oct</v>
      </c>
      <c r="J92" s="8">
        <f t="shared" si="9"/>
        <v>964.42</v>
      </c>
      <c r="K92" s="8">
        <f t="shared" si="10"/>
        <v>639.32000000000005</v>
      </c>
      <c r="L92" s="8">
        <f t="shared" si="11"/>
        <v>0.66290620269177336</v>
      </c>
      <c r="M92" s="8" t="str">
        <f>IF(E92&gt;=AVERAGE(orders[Sales]),"High Sales","Low Sales")</f>
        <v>High Sales</v>
      </c>
      <c r="N92" s="8">
        <f>orders[[#This Row],[Profit]]/orders[[#This Row],[Sales]]</f>
        <v>4.0829560901392996E-2</v>
      </c>
    </row>
    <row r="93" spans="1:14" x14ac:dyDescent="0.35">
      <c r="A93" s="6" t="s">
        <v>151</v>
      </c>
      <c r="B93" s="7">
        <v>45672</v>
      </c>
      <c r="C93" s="8" t="s">
        <v>152</v>
      </c>
      <c r="D93" s="9" t="s">
        <v>2</v>
      </c>
      <c r="E93" s="8">
        <v>789.94</v>
      </c>
      <c r="F93" s="8">
        <v>7</v>
      </c>
      <c r="G93" s="8">
        <v>-39.880000000000003</v>
      </c>
      <c r="H93" s="10">
        <v>0.3</v>
      </c>
      <c r="I93" s="8" t="str">
        <f t="shared" si="8"/>
        <v>Jan</v>
      </c>
      <c r="J93" s="8">
        <f t="shared" si="9"/>
        <v>1603.74</v>
      </c>
      <c r="K93" s="8">
        <f t="shared" si="10"/>
        <v>-813.8</v>
      </c>
      <c r="L93" s="8">
        <f t="shared" si="11"/>
        <v>-0.50743886166086771</v>
      </c>
      <c r="M93" s="8" t="str">
        <f>IF(E93&gt;=AVERAGE(orders[Sales]),"High Sales","Low Sales")</f>
        <v>Low Sales</v>
      </c>
      <c r="N93" s="8">
        <f>orders[[#This Row],[Profit]]/orders[[#This Row],[Sales]]</f>
        <v>-5.0484846950401299E-2</v>
      </c>
    </row>
    <row r="94" spans="1:14" x14ac:dyDescent="0.35">
      <c r="A94" s="1" t="s">
        <v>153</v>
      </c>
      <c r="B94" s="2">
        <v>45976</v>
      </c>
      <c r="C94" s="3" t="s">
        <v>154</v>
      </c>
      <c r="D94" s="4" t="s">
        <v>2</v>
      </c>
      <c r="E94" s="3">
        <v>1077.56</v>
      </c>
      <c r="F94" s="3">
        <v>7</v>
      </c>
      <c r="G94" s="3">
        <v>128.57</v>
      </c>
      <c r="H94" s="5">
        <v>0.2</v>
      </c>
      <c r="I94" s="8" t="str">
        <f t="shared" si="8"/>
        <v>Nov</v>
      </c>
      <c r="J94" s="8">
        <f t="shared" si="9"/>
        <v>789.94</v>
      </c>
      <c r="K94" s="8">
        <f t="shared" si="10"/>
        <v>287.61999999999989</v>
      </c>
      <c r="L94" s="8">
        <f t="shared" si="11"/>
        <v>0.36410360280527621</v>
      </c>
      <c r="M94" s="8" t="str">
        <f>IF(E94&gt;=AVERAGE(orders[Sales]),"High Sales","Low Sales")</f>
        <v>High Sales</v>
      </c>
      <c r="N94" s="8">
        <f>orders[[#This Row],[Profit]]/orders[[#This Row],[Sales]]</f>
        <v>0.11931586176175804</v>
      </c>
    </row>
    <row r="95" spans="1:14" x14ac:dyDescent="0.35">
      <c r="A95" s="6" t="s">
        <v>155</v>
      </c>
      <c r="B95" s="7">
        <v>45987</v>
      </c>
      <c r="C95" s="8" t="s">
        <v>16</v>
      </c>
      <c r="D95" s="9" t="s">
        <v>12</v>
      </c>
      <c r="E95" s="8">
        <v>868.65</v>
      </c>
      <c r="F95" s="8">
        <v>8</v>
      </c>
      <c r="G95" s="8">
        <v>34.82</v>
      </c>
      <c r="H95" s="10">
        <v>0.05</v>
      </c>
      <c r="I95" s="8" t="str">
        <f t="shared" si="8"/>
        <v>Nov</v>
      </c>
      <c r="J95" s="8">
        <f t="shared" si="9"/>
        <v>1077.56</v>
      </c>
      <c r="K95" s="8">
        <f t="shared" si="10"/>
        <v>-208.90999999999997</v>
      </c>
      <c r="L95" s="8">
        <f t="shared" si="11"/>
        <v>-0.19387319499610228</v>
      </c>
      <c r="M95" s="8" t="str">
        <f>IF(E95&gt;=AVERAGE(orders[Sales]),"High Sales","Low Sales")</f>
        <v>Low Sales</v>
      </c>
      <c r="N95" s="8">
        <f>orders[[#This Row],[Profit]]/orders[[#This Row],[Sales]]</f>
        <v>4.008518966211938E-2</v>
      </c>
    </row>
    <row r="96" spans="1:14" x14ac:dyDescent="0.35">
      <c r="A96" s="1" t="s">
        <v>156</v>
      </c>
      <c r="B96" s="2">
        <v>45766</v>
      </c>
      <c r="C96" s="3" t="s">
        <v>149</v>
      </c>
      <c r="D96" s="4" t="s">
        <v>12</v>
      </c>
      <c r="E96" s="3">
        <v>920.3</v>
      </c>
      <c r="F96" s="3">
        <v>6</v>
      </c>
      <c r="G96" s="3">
        <v>53.82</v>
      </c>
      <c r="H96" s="5">
        <v>0.15</v>
      </c>
      <c r="I96" s="8" t="str">
        <f t="shared" si="8"/>
        <v>Apr</v>
      </c>
      <c r="J96" s="8">
        <f t="shared" si="9"/>
        <v>868.65</v>
      </c>
      <c r="K96" s="8">
        <f t="shared" si="10"/>
        <v>51.649999999999977</v>
      </c>
      <c r="L96" s="8">
        <f t="shared" si="11"/>
        <v>5.9460081736027147E-2</v>
      </c>
      <c r="M96" s="8" t="str">
        <f>IF(E96&gt;=AVERAGE(orders[Sales]),"High Sales","Low Sales")</f>
        <v>Low Sales</v>
      </c>
      <c r="N96" s="8">
        <f>orders[[#This Row],[Profit]]/orders[[#This Row],[Sales]]</f>
        <v>5.848093013147887E-2</v>
      </c>
    </row>
    <row r="97" spans="1:14" x14ac:dyDescent="0.35">
      <c r="A97" s="6" t="s">
        <v>157</v>
      </c>
      <c r="B97" s="7">
        <v>45699</v>
      </c>
      <c r="C97" s="8" t="s">
        <v>88</v>
      </c>
      <c r="D97" s="9" t="s">
        <v>2</v>
      </c>
      <c r="E97" s="8">
        <v>951.21</v>
      </c>
      <c r="F97" s="8">
        <v>9</v>
      </c>
      <c r="G97" s="8">
        <v>332.9</v>
      </c>
      <c r="H97" s="10">
        <v>0</v>
      </c>
      <c r="I97" s="8" t="str">
        <f t="shared" si="8"/>
        <v>Feb</v>
      </c>
      <c r="J97" s="8">
        <f t="shared" si="9"/>
        <v>920.3</v>
      </c>
      <c r="K97" s="8">
        <f t="shared" si="10"/>
        <v>30.910000000000082</v>
      </c>
      <c r="L97" s="8">
        <f t="shared" si="11"/>
        <v>3.3586873845485261E-2</v>
      </c>
      <c r="M97" s="8" t="str">
        <f>IF(E97&gt;=AVERAGE(orders[Sales]),"High Sales","Low Sales")</f>
        <v>Low Sales</v>
      </c>
      <c r="N97" s="8">
        <f>orders[[#This Row],[Profit]]/orders[[#This Row],[Sales]]</f>
        <v>0.34997529462474108</v>
      </c>
    </row>
    <row r="98" spans="1:14" x14ac:dyDescent="0.35">
      <c r="A98" s="1" t="s">
        <v>158</v>
      </c>
      <c r="B98" s="2">
        <v>45990</v>
      </c>
      <c r="C98" s="3" t="s">
        <v>6</v>
      </c>
      <c r="D98" s="4" t="s">
        <v>2</v>
      </c>
      <c r="E98" s="3">
        <v>155.86000000000001</v>
      </c>
      <c r="F98" s="3">
        <v>1</v>
      </c>
      <c r="G98" s="3">
        <v>52.19</v>
      </c>
      <c r="H98" s="5">
        <v>0</v>
      </c>
      <c r="I98" s="8" t="str">
        <f t="shared" ref="I98:I129" si="12">TEXT(B98,"mmm")</f>
        <v>Nov</v>
      </c>
      <c r="J98" s="8">
        <f t="shared" ref="J98:J129" si="13">IF(ROW()=2,0,E97)</f>
        <v>951.21</v>
      </c>
      <c r="K98" s="8">
        <f t="shared" ref="K98:K129" si="14">E98-J98</f>
        <v>-795.35</v>
      </c>
      <c r="L98" s="8">
        <f t="shared" ref="L98:L129" si="15">IF(J98=0,0,(E98-J98)/J98)</f>
        <v>-0.83614554094258886</v>
      </c>
      <c r="M98" s="8" t="str">
        <f>IF(E98&gt;=AVERAGE(orders[Sales]),"High Sales","Low Sales")</f>
        <v>Low Sales</v>
      </c>
      <c r="N98" s="8">
        <f>orders[[#This Row],[Profit]]/orders[[#This Row],[Sales]]</f>
        <v>0.33485179006800969</v>
      </c>
    </row>
    <row r="99" spans="1:14" x14ac:dyDescent="0.35">
      <c r="A99" s="6" t="s">
        <v>159</v>
      </c>
      <c r="B99" s="7">
        <v>45976</v>
      </c>
      <c r="C99" s="8" t="s">
        <v>86</v>
      </c>
      <c r="D99" s="9" t="s">
        <v>2</v>
      </c>
      <c r="E99" s="8">
        <v>321.72000000000003</v>
      </c>
      <c r="F99" s="8">
        <v>3</v>
      </c>
      <c r="G99" s="8">
        <v>56.57</v>
      </c>
      <c r="H99" s="10">
        <v>0.15</v>
      </c>
      <c r="I99" s="8" t="str">
        <f t="shared" si="12"/>
        <v>Nov</v>
      </c>
      <c r="J99" s="8">
        <f t="shared" si="13"/>
        <v>155.86000000000001</v>
      </c>
      <c r="K99" s="8">
        <f t="shared" si="14"/>
        <v>165.86</v>
      </c>
      <c r="L99" s="8">
        <f t="shared" si="15"/>
        <v>1.064160143718722</v>
      </c>
      <c r="M99" s="8" t="str">
        <f>IF(E99&gt;=AVERAGE(orders[Sales]),"High Sales","Low Sales")</f>
        <v>Low Sales</v>
      </c>
      <c r="N99" s="8">
        <f>orders[[#This Row],[Profit]]/orders[[#This Row],[Sales]]</f>
        <v>0.17583613079696631</v>
      </c>
    </row>
    <row r="100" spans="1:14" x14ac:dyDescent="0.35">
      <c r="A100" s="1" t="s">
        <v>160</v>
      </c>
      <c r="B100" s="2">
        <v>45896</v>
      </c>
      <c r="C100" s="3" t="s">
        <v>161</v>
      </c>
      <c r="D100" s="4" t="s">
        <v>7</v>
      </c>
      <c r="E100" s="3">
        <v>1404.94</v>
      </c>
      <c r="F100" s="3">
        <v>6</v>
      </c>
      <c r="G100" s="3">
        <v>290.5</v>
      </c>
      <c r="H100" s="5">
        <v>0.05</v>
      </c>
      <c r="I100" s="8" t="str">
        <f t="shared" si="12"/>
        <v>Aug</v>
      </c>
      <c r="J100" s="8">
        <f t="shared" si="13"/>
        <v>321.72000000000003</v>
      </c>
      <c r="K100" s="8">
        <f t="shared" si="14"/>
        <v>1083.22</v>
      </c>
      <c r="L100" s="8">
        <f t="shared" si="15"/>
        <v>3.3669650627875169</v>
      </c>
      <c r="M100" s="8" t="str">
        <f>IF(E100&gt;=AVERAGE(orders[Sales]),"High Sales","Low Sales")</f>
        <v>High Sales</v>
      </c>
      <c r="N100" s="8">
        <f>orders[[#This Row],[Profit]]/orders[[#This Row],[Sales]]</f>
        <v>0.2067703958887924</v>
      </c>
    </row>
    <row r="101" spans="1:14" x14ac:dyDescent="0.35">
      <c r="A101" s="6" t="s">
        <v>162</v>
      </c>
      <c r="B101" s="7">
        <v>45716</v>
      </c>
      <c r="C101" s="8" t="s">
        <v>154</v>
      </c>
      <c r="D101" s="9" t="s">
        <v>12</v>
      </c>
      <c r="E101" s="8">
        <v>1560.03</v>
      </c>
      <c r="F101" s="8">
        <v>3</v>
      </c>
      <c r="G101" s="8">
        <v>50.59</v>
      </c>
      <c r="H101" s="10">
        <v>0.1</v>
      </c>
      <c r="I101" s="8" t="str">
        <f t="shared" si="12"/>
        <v>Feb</v>
      </c>
      <c r="J101" s="8">
        <f t="shared" si="13"/>
        <v>1404.94</v>
      </c>
      <c r="K101" s="8">
        <f t="shared" si="14"/>
        <v>155.08999999999992</v>
      </c>
      <c r="L101" s="8">
        <f t="shared" si="15"/>
        <v>0.11038905576038828</v>
      </c>
      <c r="M101" s="8" t="str">
        <f>IF(E101&gt;=AVERAGE(orders[Sales]),"High Sales","Low Sales")</f>
        <v>High Sales</v>
      </c>
      <c r="N101" s="8">
        <f>orders[[#This Row],[Profit]]/orders[[#This Row],[Sales]]</f>
        <v>3.2428863547495884E-2</v>
      </c>
    </row>
    <row r="102" spans="1:14" x14ac:dyDescent="0.35">
      <c r="A102" s="1" t="s">
        <v>163</v>
      </c>
      <c r="B102" s="2">
        <v>45952</v>
      </c>
      <c r="C102" s="3" t="s">
        <v>6</v>
      </c>
      <c r="D102" s="4" t="s">
        <v>2</v>
      </c>
      <c r="E102" s="3">
        <v>1361.15</v>
      </c>
      <c r="F102" s="3">
        <v>7</v>
      </c>
      <c r="G102" s="3">
        <v>350.42</v>
      </c>
      <c r="H102" s="5">
        <v>0.15</v>
      </c>
      <c r="I102" s="8" t="str">
        <f t="shared" si="12"/>
        <v>Oct</v>
      </c>
      <c r="J102" s="8">
        <f t="shared" si="13"/>
        <v>1560.03</v>
      </c>
      <c r="K102" s="8">
        <f t="shared" si="14"/>
        <v>-198.87999999999988</v>
      </c>
      <c r="L102" s="8">
        <f t="shared" si="15"/>
        <v>-0.12748472785779752</v>
      </c>
      <c r="M102" s="8" t="str">
        <f>IF(E102&gt;=AVERAGE(orders[Sales]),"High Sales","Low Sales")</f>
        <v>High Sales</v>
      </c>
      <c r="N102" s="8">
        <f>orders[[#This Row],[Profit]]/orders[[#This Row],[Sales]]</f>
        <v>0.25744407302648498</v>
      </c>
    </row>
    <row r="103" spans="1:14" x14ac:dyDescent="0.35">
      <c r="A103" s="6" t="s">
        <v>164</v>
      </c>
      <c r="B103" s="7">
        <v>45961</v>
      </c>
      <c r="C103" s="8" t="s">
        <v>45</v>
      </c>
      <c r="D103" s="9" t="s">
        <v>7</v>
      </c>
      <c r="E103" s="8">
        <v>1387.42</v>
      </c>
      <c r="F103" s="8">
        <v>4</v>
      </c>
      <c r="G103" s="8">
        <v>359.56</v>
      </c>
      <c r="H103" s="10">
        <v>0</v>
      </c>
      <c r="I103" s="8" t="str">
        <f t="shared" si="12"/>
        <v>Oct</v>
      </c>
      <c r="J103" s="8">
        <f t="shared" si="13"/>
        <v>1361.15</v>
      </c>
      <c r="K103" s="8">
        <f t="shared" si="14"/>
        <v>26.269999999999982</v>
      </c>
      <c r="L103" s="8">
        <f t="shared" si="15"/>
        <v>1.9299856738787039E-2</v>
      </c>
      <c r="M103" s="8" t="str">
        <f>IF(E103&gt;=AVERAGE(orders[Sales]),"High Sales","Low Sales")</f>
        <v>High Sales</v>
      </c>
      <c r="N103" s="8">
        <f>orders[[#This Row],[Profit]]/orders[[#This Row],[Sales]]</f>
        <v>0.25915728474434563</v>
      </c>
    </row>
    <row r="104" spans="1:14" x14ac:dyDescent="0.35">
      <c r="A104" s="1" t="s">
        <v>165</v>
      </c>
      <c r="B104" s="2">
        <v>45965</v>
      </c>
      <c r="C104" s="3" t="s">
        <v>166</v>
      </c>
      <c r="D104" s="4" t="s">
        <v>7</v>
      </c>
      <c r="E104" s="3">
        <v>1614.95</v>
      </c>
      <c r="F104" s="3">
        <v>10</v>
      </c>
      <c r="G104" s="3">
        <v>248.96</v>
      </c>
      <c r="H104" s="5">
        <v>0</v>
      </c>
      <c r="I104" s="8" t="str">
        <f t="shared" si="12"/>
        <v>Nov</v>
      </c>
      <c r="J104" s="8">
        <f t="shared" si="13"/>
        <v>1387.42</v>
      </c>
      <c r="K104" s="8">
        <f t="shared" si="14"/>
        <v>227.52999999999997</v>
      </c>
      <c r="L104" s="8">
        <f t="shared" si="15"/>
        <v>0.16399504115552604</v>
      </c>
      <c r="M104" s="8" t="str">
        <f>IF(E104&gt;=AVERAGE(orders[Sales]),"High Sales","Low Sales")</f>
        <v>High Sales</v>
      </c>
      <c r="N104" s="8">
        <f>orders[[#This Row],[Profit]]/orders[[#This Row],[Sales]]</f>
        <v>0.15415957150376172</v>
      </c>
    </row>
    <row r="105" spans="1:14" x14ac:dyDescent="0.35">
      <c r="A105" s="6" t="s">
        <v>167</v>
      </c>
      <c r="B105" s="7">
        <v>45847</v>
      </c>
      <c r="C105" s="8" t="s">
        <v>51</v>
      </c>
      <c r="D105" s="9" t="s">
        <v>2</v>
      </c>
      <c r="E105" s="8">
        <v>156.53</v>
      </c>
      <c r="F105" s="8">
        <v>6</v>
      </c>
      <c r="G105" s="8">
        <v>47.72</v>
      </c>
      <c r="H105" s="10">
        <v>0</v>
      </c>
      <c r="I105" s="8" t="str">
        <f t="shared" si="12"/>
        <v>Jul</v>
      </c>
      <c r="J105" s="8">
        <f t="shared" si="13"/>
        <v>1614.95</v>
      </c>
      <c r="K105" s="8">
        <f t="shared" si="14"/>
        <v>-1458.42</v>
      </c>
      <c r="L105" s="8">
        <f t="shared" si="15"/>
        <v>-0.90307439858819161</v>
      </c>
      <c r="M105" s="8" t="str">
        <f>IF(E105&gt;=AVERAGE(orders[Sales]),"High Sales","Low Sales")</f>
        <v>Low Sales</v>
      </c>
      <c r="N105" s="8">
        <f>orders[[#This Row],[Profit]]/orders[[#This Row],[Sales]]</f>
        <v>0.30486168785536316</v>
      </c>
    </row>
    <row r="106" spans="1:14" x14ac:dyDescent="0.35">
      <c r="A106" s="1" t="s">
        <v>168</v>
      </c>
      <c r="B106" s="2">
        <v>45879</v>
      </c>
      <c r="C106" s="3" t="s">
        <v>126</v>
      </c>
      <c r="D106" s="4" t="s">
        <v>7</v>
      </c>
      <c r="E106" s="3">
        <v>1922.36</v>
      </c>
      <c r="F106" s="3">
        <v>8</v>
      </c>
      <c r="G106" s="3">
        <v>-104</v>
      </c>
      <c r="H106" s="5">
        <v>0.3</v>
      </c>
      <c r="I106" s="8" t="str">
        <f t="shared" si="12"/>
        <v>Aug</v>
      </c>
      <c r="J106" s="8">
        <f t="shared" si="13"/>
        <v>156.53</v>
      </c>
      <c r="K106" s="8">
        <f t="shared" si="14"/>
        <v>1765.83</v>
      </c>
      <c r="L106" s="8">
        <f t="shared" si="15"/>
        <v>11.281096275474349</v>
      </c>
      <c r="M106" s="8" t="str">
        <f>IF(E106&gt;=AVERAGE(orders[Sales]),"High Sales","Low Sales")</f>
        <v>High Sales</v>
      </c>
      <c r="N106" s="8">
        <f>orders[[#This Row],[Profit]]/orders[[#This Row],[Sales]]</f>
        <v>-5.4100168542832769E-2</v>
      </c>
    </row>
    <row r="107" spans="1:14" x14ac:dyDescent="0.35">
      <c r="A107" s="6" t="s">
        <v>169</v>
      </c>
      <c r="B107" s="7">
        <v>45925</v>
      </c>
      <c r="C107" s="8" t="s">
        <v>24</v>
      </c>
      <c r="D107" s="9" t="s">
        <v>12</v>
      </c>
      <c r="E107" s="8">
        <v>1931.64</v>
      </c>
      <c r="F107" s="8">
        <v>5</v>
      </c>
      <c r="G107" s="8">
        <v>371.76</v>
      </c>
      <c r="H107" s="10">
        <v>0.2</v>
      </c>
      <c r="I107" s="8" t="str">
        <f t="shared" si="12"/>
        <v>Sep</v>
      </c>
      <c r="J107" s="8">
        <f t="shared" si="13"/>
        <v>1922.36</v>
      </c>
      <c r="K107" s="8">
        <f t="shared" si="14"/>
        <v>9.2800000000002001</v>
      </c>
      <c r="L107" s="8">
        <f t="shared" si="15"/>
        <v>4.8273996545913356E-3</v>
      </c>
      <c r="M107" s="8" t="str">
        <f>IF(E107&gt;=AVERAGE(orders[Sales]),"High Sales","Low Sales")</f>
        <v>High Sales</v>
      </c>
      <c r="N107" s="8">
        <f>orders[[#This Row],[Profit]]/orders[[#This Row],[Sales]]</f>
        <v>0.19245822202894947</v>
      </c>
    </row>
    <row r="108" spans="1:14" x14ac:dyDescent="0.35">
      <c r="A108" s="1" t="s">
        <v>170</v>
      </c>
      <c r="B108" s="2">
        <v>45896</v>
      </c>
      <c r="C108" s="3" t="s">
        <v>31</v>
      </c>
      <c r="D108" s="4" t="s">
        <v>2</v>
      </c>
      <c r="E108" s="3">
        <v>882.44</v>
      </c>
      <c r="F108" s="3">
        <v>10</v>
      </c>
      <c r="G108" s="3">
        <v>85.32</v>
      </c>
      <c r="H108" s="5">
        <v>0.1</v>
      </c>
      <c r="I108" s="8" t="str">
        <f t="shared" si="12"/>
        <v>Aug</v>
      </c>
      <c r="J108" s="8">
        <f t="shared" si="13"/>
        <v>1931.64</v>
      </c>
      <c r="K108" s="8">
        <f t="shared" si="14"/>
        <v>-1049.2</v>
      </c>
      <c r="L108" s="8">
        <f t="shared" si="15"/>
        <v>-0.54316539313743761</v>
      </c>
      <c r="M108" s="8" t="str">
        <f>IF(E108&gt;=AVERAGE(orders[Sales]),"High Sales","Low Sales")</f>
        <v>Low Sales</v>
      </c>
      <c r="N108" s="8">
        <f>orders[[#This Row],[Profit]]/orders[[#This Row],[Sales]]</f>
        <v>9.6686460269253413E-2</v>
      </c>
    </row>
    <row r="109" spans="1:14" x14ac:dyDescent="0.35">
      <c r="A109" s="6" t="s">
        <v>171</v>
      </c>
      <c r="B109" s="7">
        <v>45800</v>
      </c>
      <c r="C109" s="8" t="s">
        <v>84</v>
      </c>
      <c r="D109" s="9" t="s">
        <v>12</v>
      </c>
      <c r="E109" s="8">
        <v>1765.63</v>
      </c>
      <c r="F109" s="8">
        <v>4</v>
      </c>
      <c r="G109" s="8">
        <v>257.7</v>
      </c>
      <c r="H109" s="10">
        <v>0.15</v>
      </c>
      <c r="I109" s="8" t="str">
        <f t="shared" si="12"/>
        <v>May</v>
      </c>
      <c r="J109" s="8">
        <f t="shared" si="13"/>
        <v>882.44</v>
      </c>
      <c r="K109" s="8">
        <f t="shared" si="14"/>
        <v>883.19</v>
      </c>
      <c r="L109" s="8">
        <f t="shared" si="15"/>
        <v>1.0008499161416073</v>
      </c>
      <c r="M109" s="8" t="str">
        <f>IF(E109&gt;=AVERAGE(orders[Sales]),"High Sales","Low Sales")</f>
        <v>High Sales</v>
      </c>
      <c r="N109" s="8">
        <f>orders[[#This Row],[Profit]]/orders[[#This Row],[Sales]]</f>
        <v>0.14595356898104359</v>
      </c>
    </row>
    <row r="110" spans="1:14" x14ac:dyDescent="0.35">
      <c r="A110" s="1" t="s">
        <v>172</v>
      </c>
      <c r="B110" s="2">
        <v>45830</v>
      </c>
      <c r="C110" s="3" t="s">
        <v>173</v>
      </c>
      <c r="D110" s="4" t="s">
        <v>12</v>
      </c>
      <c r="E110" s="3">
        <v>76.83</v>
      </c>
      <c r="F110" s="3">
        <v>6</v>
      </c>
      <c r="G110" s="3">
        <v>13.16</v>
      </c>
      <c r="H110" s="5">
        <v>0.05</v>
      </c>
      <c r="I110" s="8" t="str">
        <f t="shared" si="12"/>
        <v>Jun</v>
      </c>
      <c r="J110" s="8">
        <f t="shared" si="13"/>
        <v>1765.63</v>
      </c>
      <c r="K110" s="8">
        <f t="shared" si="14"/>
        <v>-1688.8000000000002</v>
      </c>
      <c r="L110" s="8">
        <f t="shared" si="15"/>
        <v>-0.95648578694290431</v>
      </c>
      <c r="M110" s="8" t="str">
        <f>IF(E110&gt;=AVERAGE(orders[Sales]),"High Sales","Low Sales")</f>
        <v>Low Sales</v>
      </c>
      <c r="N110" s="8">
        <f>orders[[#This Row],[Profit]]/orders[[#This Row],[Sales]]</f>
        <v>0.17128725758167382</v>
      </c>
    </row>
    <row r="111" spans="1:14" x14ac:dyDescent="0.35">
      <c r="A111" s="6" t="s">
        <v>174</v>
      </c>
      <c r="B111" s="7">
        <v>45832</v>
      </c>
      <c r="C111" s="8" t="s">
        <v>175</v>
      </c>
      <c r="D111" s="9" t="s">
        <v>2</v>
      </c>
      <c r="E111" s="8">
        <v>573.72</v>
      </c>
      <c r="F111" s="8">
        <v>10</v>
      </c>
      <c r="G111" s="8">
        <v>94.11</v>
      </c>
      <c r="H111" s="10">
        <v>0.3</v>
      </c>
      <c r="I111" s="8" t="str">
        <f t="shared" si="12"/>
        <v>Jun</v>
      </c>
      <c r="J111" s="8">
        <f t="shared" si="13"/>
        <v>76.83</v>
      </c>
      <c r="K111" s="8">
        <f t="shared" si="14"/>
        <v>496.89000000000004</v>
      </c>
      <c r="L111" s="8">
        <f t="shared" si="15"/>
        <v>6.4673955486138235</v>
      </c>
      <c r="M111" s="8" t="str">
        <f>IF(E111&gt;=AVERAGE(orders[Sales]),"High Sales","Low Sales")</f>
        <v>Low Sales</v>
      </c>
      <c r="N111" s="8">
        <f>orders[[#This Row],[Profit]]/orders[[#This Row],[Sales]]</f>
        <v>0.16403472076971343</v>
      </c>
    </row>
    <row r="112" spans="1:14" x14ac:dyDescent="0.35">
      <c r="A112" s="1" t="s">
        <v>176</v>
      </c>
      <c r="B112" s="2">
        <v>45922</v>
      </c>
      <c r="C112" s="3" t="s">
        <v>51</v>
      </c>
      <c r="D112" s="4" t="s">
        <v>7</v>
      </c>
      <c r="E112" s="3">
        <v>1897.16</v>
      </c>
      <c r="F112" s="3">
        <v>2</v>
      </c>
      <c r="G112" s="3">
        <v>457.26</v>
      </c>
      <c r="H112" s="5">
        <v>0.05</v>
      </c>
      <c r="I112" s="8" t="str">
        <f t="shared" si="12"/>
        <v>Sep</v>
      </c>
      <c r="J112" s="8">
        <f t="shared" si="13"/>
        <v>573.72</v>
      </c>
      <c r="K112" s="8">
        <f t="shared" si="14"/>
        <v>1323.44</v>
      </c>
      <c r="L112" s="8">
        <f t="shared" si="15"/>
        <v>2.3067698528899117</v>
      </c>
      <c r="M112" s="8" t="str">
        <f>IF(E112&gt;=AVERAGE(orders[Sales]),"High Sales","Low Sales")</f>
        <v>High Sales</v>
      </c>
      <c r="N112" s="8">
        <f>orders[[#This Row],[Profit]]/orders[[#This Row],[Sales]]</f>
        <v>0.2410234244871281</v>
      </c>
    </row>
    <row r="113" spans="1:14" x14ac:dyDescent="0.35">
      <c r="A113" s="6" t="s">
        <v>177</v>
      </c>
      <c r="B113" s="7">
        <v>45781</v>
      </c>
      <c r="C113" s="8" t="s">
        <v>178</v>
      </c>
      <c r="D113" s="9" t="s">
        <v>12</v>
      </c>
      <c r="E113" s="8">
        <v>1387.41</v>
      </c>
      <c r="F113" s="8">
        <v>8</v>
      </c>
      <c r="G113" s="8">
        <v>295.35000000000002</v>
      </c>
      <c r="H113" s="10">
        <v>0.15</v>
      </c>
      <c r="I113" s="8" t="str">
        <f t="shared" si="12"/>
        <v>May</v>
      </c>
      <c r="J113" s="8">
        <f t="shared" si="13"/>
        <v>1897.16</v>
      </c>
      <c r="K113" s="8">
        <f t="shared" si="14"/>
        <v>-509.75</v>
      </c>
      <c r="L113" s="8">
        <f t="shared" si="15"/>
        <v>-0.2686910961647937</v>
      </c>
      <c r="M113" s="8" t="str">
        <f>IF(E113&gt;=AVERAGE(orders[Sales]),"High Sales","Low Sales")</f>
        <v>High Sales</v>
      </c>
      <c r="N113" s="8">
        <f>orders[[#This Row],[Profit]]/orders[[#This Row],[Sales]]</f>
        <v>0.21287867321123533</v>
      </c>
    </row>
    <row r="114" spans="1:14" x14ac:dyDescent="0.35">
      <c r="A114" s="1" t="s">
        <v>179</v>
      </c>
      <c r="B114" s="2">
        <v>45771</v>
      </c>
      <c r="C114" s="3" t="s">
        <v>180</v>
      </c>
      <c r="D114" s="4" t="s">
        <v>12</v>
      </c>
      <c r="E114" s="3">
        <v>820.71</v>
      </c>
      <c r="F114" s="3">
        <v>4</v>
      </c>
      <c r="G114" s="3">
        <v>163.47999999999999</v>
      </c>
      <c r="H114" s="5">
        <v>0.1</v>
      </c>
      <c r="I114" s="8" t="str">
        <f t="shared" si="12"/>
        <v>Apr</v>
      </c>
      <c r="J114" s="8">
        <f t="shared" si="13"/>
        <v>1387.41</v>
      </c>
      <c r="K114" s="8">
        <f t="shared" si="14"/>
        <v>-566.70000000000005</v>
      </c>
      <c r="L114" s="8">
        <f t="shared" si="15"/>
        <v>-0.40845892706553938</v>
      </c>
      <c r="M114" s="8" t="str">
        <f>IF(E114&gt;=AVERAGE(orders[Sales]),"High Sales","Low Sales")</f>
        <v>Low Sales</v>
      </c>
      <c r="N114" s="8">
        <f>orders[[#This Row],[Profit]]/orders[[#This Row],[Sales]]</f>
        <v>0.19919338134054657</v>
      </c>
    </row>
    <row r="115" spans="1:14" x14ac:dyDescent="0.35">
      <c r="A115" s="6" t="s">
        <v>181</v>
      </c>
      <c r="B115" s="7">
        <v>45941</v>
      </c>
      <c r="C115" s="8" t="s">
        <v>173</v>
      </c>
      <c r="D115" s="9" t="s">
        <v>7</v>
      </c>
      <c r="E115" s="8">
        <v>1071.23</v>
      </c>
      <c r="F115" s="8">
        <v>7</v>
      </c>
      <c r="G115" s="8">
        <v>69.75</v>
      </c>
      <c r="H115" s="10">
        <v>0.3</v>
      </c>
      <c r="I115" s="8" t="str">
        <f t="shared" si="12"/>
        <v>Oct</v>
      </c>
      <c r="J115" s="8">
        <f t="shared" si="13"/>
        <v>820.71</v>
      </c>
      <c r="K115" s="8">
        <f t="shared" si="14"/>
        <v>250.51999999999998</v>
      </c>
      <c r="L115" s="8">
        <f t="shared" si="15"/>
        <v>0.30524789511520511</v>
      </c>
      <c r="M115" s="8" t="str">
        <f>IF(E115&gt;=AVERAGE(orders[Sales]),"High Sales","Low Sales")</f>
        <v>High Sales</v>
      </c>
      <c r="N115" s="8">
        <f>orders[[#This Row],[Profit]]/orders[[#This Row],[Sales]]</f>
        <v>6.5112067436498236E-2</v>
      </c>
    </row>
    <row r="116" spans="1:14" x14ac:dyDescent="0.35">
      <c r="A116" s="1" t="s">
        <v>182</v>
      </c>
      <c r="B116" s="2">
        <v>45890</v>
      </c>
      <c r="C116" s="3" t="s">
        <v>110</v>
      </c>
      <c r="D116" s="4" t="s">
        <v>12</v>
      </c>
      <c r="E116" s="3">
        <v>556.41</v>
      </c>
      <c r="F116" s="3">
        <v>5</v>
      </c>
      <c r="G116" s="3">
        <v>34.049999999999997</v>
      </c>
      <c r="H116" s="5">
        <v>0.05</v>
      </c>
      <c r="I116" s="8" t="str">
        <f t="shared" si="12"/>
        <v>Aug</v>
      </c>
      <c r="J116" s="8">
        <f t="shared" si="13"/>
        <v>1071.23</v>
      </c>
      <c r="K116" s="8">
        <f t="shared" si="14"/>
        <v>-514.82000000000005</v>
      </c>
      <c r="L116" s="8">
        <f t="shared" si="15"/>
        <v>-0.48058773559366341</v>
      </c>
      <c r="M116" s="8" t="str">
        <f>IF(E116&gt;=AVERAGE(orders[Sales]),"High Sales","Low Sales")</f>
        <v>Low Sales</v>
      </c>
      <c r="N116" s="8">
        <f>orders[[#This Row],[Profit]]/orders[[#This Row],[Sales]]</f>
        <v>6.1195880735428906E-2</v>
      </c>
    </row>
    <row r="117" spans="1:14" x14ac:dyDescent="0.35">
      <c r="A117" s="6" t="s">
        <v>183</v>
      </c>
      <c r="B117" s="7">
        <v>45719</v>
      </c>
      <c r="C117" s="8" t="s">
        <v>184</v>
      </c>
      <c r="D117" s="9" t="s">
        <v>12</v>
      </c>
      <c r="E117" s="8">
        <v>1490.9</v>
      </c>
      <c r="F117" s="8">
        <v>3</v>
      </c>
      <c r="G117" s="8">
        <v>134.05000000000001</v>
      </c>
      <c r="H117" s="10">
        <v>0.05</v>
      </c>
      <c r="I117" s="8" t="str">
        <f t="shared" si="12"/>
        <v>Mar</v>
      </c>
      <c r="J117" s="8">
        <f t="shared" si="13"/>
        <v>556.41</v>
      </c>
      <c r="K117" s="8">
        <f t="shared" si="14"/>
        <v>934.49000000000012</v>
      </c>
      <c r="L117" s="8">
        <f t="shared" si="15"/>
        <v>1.6794989306446688</v>
      </c>
      <c r="M117" s="8" t="str">
        <f>IF(E117&gt;=AVERAGE(orders[Sales]),"High Sales","Low Sales")</f>
        <v>High Sales</v>
      </c>
      <c r="N117" s="8">
        <f>orders[[#This Row],[Profit]]/orders[[#This Row],[Sales]]</f>
        <v>8.9912133610570794E-2</v>
      </c>
    </row>
    <row r="118" spans="1:14" x14ac:dyDescent="0.35">
      <c r="A118" s="1" t="s">
        <v>185</v>
      </c>
      <c r="B118" s="2">
        <v>45959</v>
      </c>
      <c r="C118" s="3" t="s">
        <v>20</v>
      </c>
      <c r="D118" s="4" t="s">
        <v>2</v>
      </c>
      <c r="E118" s="3">
        <v>1953.68</v>
      </c>
      <c r="F118" s="3">
        <v>9</v>
      </c>
      <c r="G118" s="3">
        <v>68.180000000000007</v>
      </c>
      <c r="H118" s="5">
        <v>0.2</v>
      </c>
      <c r="I118" s="8" t="str">
        <f t="shared" si="12"/>
        <v>Oct</v>
      </c>
      <c r="J118" s="8">
        <f t="shared" si="13"/>
        <v>1490.9</v>
      </c>
      <c r="K118" s="8">
        <f t="shared" si="14"/>
        <v>462.78</v>
      </c>
      <c r="L118" s="8">
        <f t="shared" si="15"/>
        <v>0.31040311221409883</v>
      </c>
      <c r="M118" s="8" t="str">
        <f>IF(E118&gt;=AVERAGE(orders[Sales]),"High Sales","Low Sales")</f>
        <v>High Sales</v>
      </c>
      <c r="N118" s="8">
        <f>orders[[#This Row],[Profit]]/orders[[#This Row],[Sales]]</f>
        <v>3.4898243315179558E-2</v>
      </c>
    </row>
    <row r="119" spans="1:14" x14ac:dyDescent="0.35">
      <c r="A119" s="6" t="s">
        <v>186</v>
      </c>
      <c r="B119" s="7">
        <v>45809</v>
      </c>
      <c r="C119" s="8" t="s">
        <v>24</v>
      </c>
      <c r="D119" s="9" t="s">
        <v>2</v>
      </c>
      <c r="E119" s="8">
        <v>470.42</v>
      </c>
      <c r="F119" s="8">
        <v>3</v>
      </c>
      <c r="G119" s="8">
        <v>2</v>
      </c>
      <c r="H119" s="10">
        <v>0.1</v>
      </c>
      <c r="I119" s="8" t="str">
        <f t="shared" si="12"/>
        <v>Jun</v>
      </c>
      <c r="J119" s="8">
        <f t="shared" si="13"/>
        <v>1953.68</v>
      </c>
      <c r="K119" s="8">
        <f t="shared" si="14"/>
        <v>-1483.26</v>
      </c>
      <c r="L119" s="8">
        <f t="shared" si="15"/>
        <v>-0.75921338192539201</v>
      </c>
      <c r="M119" s="8" t="str">
        <f>IF(E119&gt;=AVERAGE(orders[Sales]),"High Sales","Low Sales")</f>
        <v>Low Sales</v>
      </c>
      <c r="N119" s="8">
        <f>orders[[#This Row],[Profit]]/orders[[#This Row],[Sales]]</f>
        <v>4.2515199183708174E-3</v>
      </c>
    </row>
    <row r="120" spans="1:14" x14ac:dyDescent="0.35">
      <c r="A120" s="1" t="s">
        <v>187</v>
      </c>
      <c r="B120" s="2">
        <v>45798</v>
      </c>
      <c r="C120" s="3" t="s">
        <v>124</v>
      </c>
      <c r="D120" s="4" t="s">
        <v>7</v>
      </c>
      <c r="E120" s="3">
        <v>110.12</v>
      </c>
      <c r="F120" s="3">
        <v>1</v>
      </c>
      <c r="G120" s="3">
        <v>4.1500000000000004</v>
      </c>
      <c r="H120" s="5">
        <v>0.2</v>
      </c>
      <c r="I120" s="8" t="str">
        <f t="shared" si="12"/>
        <v>May</v>
      </c>
      <c r="J120" s="8">
        <f t="shared" si="13"/>
        <v>470.42</v>
      </c>
      <c r="K120" s="8">
        <f t="shared" si="14"/>
        <v>-360.3</v>
      </c>
      <c r="L120" s="8">
        <f t="shared" si="15"/>
        <v>-0.76591131329450279</v>
      </c>
      <c r="M120" s="8" t="str">
        <f>IF(E120&gt;=AVERAGE(orders[Sales]),"High Sales","Low Sales")</f>
        <v>Low Sales</v>
      </c>
      <c r="N120" s="8">
        <f>orders[[#This Row],[Profit]]/orders[[#This Row],[Sales]]</f>
        <v>3.7686160552124953E-2</v>
      </c>
    </row>
    <row r="121" spans="1:14" x14ac:dyDescent="0.35">
      <c r="A121" s="6" t="s">
        <v>188</v>
      </c>
      <c r="B121" s="7">
        <v>45909</v>
      </c>
      <c r="C121" s="8" t="s">
        <v>184</v>
      </c>
      <c r="D121" s="9" t="s">
        <v>12</v>
      </c>
      <c r="E121" s="8">
        <v>223.12</v>
      </c>
      <c r="F121" s="8">
        <v>1</v>
      </c>
      <c r="G121" s="8">
        <v>7.88</v>
      </c>
      <c r="H121" s="10">
        <v>0.2</v>
      </c>
      <c r="I121" s="8" t="str">
        <f t="shared" si="12"/>
        <v>Sep</v>
      </c>
      <c r="J121" s="8">
        <f t="shared" si="13"/>
        <v>110.12</v>
      </c>
      <c r="K121" s="8">
        <f t="shared" si="14"/>
        <v>113</v>
      </c>
      <c r="L121" s="8">
        <f t="shared" si="15"/>
        <v>1.0261532873229204</v>
      </c>
      <c r="M121" s="8" t="str">
        <f>IF(E121&gt;=AVERAGE(orders[Sales]),"High Sales","Low Sales")</f>
        <v>Low Sales</v>
      </c>
      <c r="N121" s="8">
        <f>orders[[#This Row],[Profit]]/orders[[#This Row],[Sales]]</f>
        <v>3.5317318035138039E-2</v>
      </c>
    </row>
    <row r="122" spans="1:14" x14ac:dyDescent="0.35">
      <c r="A122" s="1" t="s">
        <v>189</v>
      </c>
      <c r="B122" s="2">
        <v>45832</v>
      </c>
      <c r="C122" s="3" t="s">
        <v>184</v>
      </c>
      <c r="D122" s="4" t="s">
        <v>2</v>
      </c>
      <c r="E122" s="3">
        <v>385.04</v>
      </c>
      <c r="F122" s="3">
        <v>1</v>
      </c>
      <c r="G122" s="3">
        <v>108.7</v>
      </c>
      <c r="H122" s="5">
        <v>0.1</v>
      </c>
      <c r="I122" s="8" t="str">
        <f t="shared" si="12"/>
        <v>Jun</v>
      </c>
      <c r="J122" s="8">
        <f t="shared" si="13"/>
        <v>223.12</v>
      </c>
      <c r="K122" s="8">
        <f t="shared" si="14"/>
        <v>161.92000000000002</v>
      </c>
      <c r="L122" s="8">
        <f t="shared" si="15"/>
        <v>0.7257081391179635</v>
      </c>
      <c r="M122" s="8" t="str">
        <f>IF(E122&gt;=AVERAGE(orders[Sales]),"High Sales","Low Sales")</f>
        <v>Low Sales</v>
      </c>
      <c r="N122" s="8">
        <f>orders[[#This Row],[Profit]]/orders[[#This Row],[Sales]]</f>
        <v>0.28230833160191149</v>
      </c>
    </row>
    <row r="123" spans="1:14" x14ac:dyDescent="0.35">
      <c r="A123" s="6" t="s">
        <v>190</v>
      </c>
      <c r="B123" s="7">
        <v>45691</v>
      </c>
      <c r="C123" s="8" t="s">
        <v>63</v>
      </c>
      <c r="D123" s="9" t="s">
        <v>2</v>
      </c>
      <c r="E123" s="8">
        <v>813.4</v>
      </c>
      <c r="F123" s="8">
        <v>2</v>
      </c>
      <c r="G123" s="8">
        <v>112.93</v>
      </c>
      <c r="H123" s="10">
        <v>0.2</v>
      </c>
      <c r="I123" s="8" t="str">
        <f t="shared" si="12"/>
        <v>Feb</v>
      </c>
      <c r="J123" s="8">
        <f t="shared" si="13"/>
        <v>385.04</v>
      </c>
      <c r="K123" s="8">
        <f t="shared" si="14"/>
        <v>428.35999999999996</v>
      </c>
      <c r="L123" s="8">
        <f t="shared" si="15"/>
        <v>1.1125077913982961</v>
      </c>
      <c r="M123" s="8" t="str">
        <f>IF(E123&gt;=AVERAGE(orders[Sales]),"High Sales","Low Sales")</f>
        <v>Low Sales</v>
      </c>
      <c r="N123" s="8">
        <f>orders[[#This Row],[Profit]]/orders[[#This Row],[Sales]]</f>
        <v>0.1388369805753627</v>
      </c>
    </row>
    <row r="124" spans="1:14" x14ac:dyDescent="0.35">
      <c r="A124" s="1" t="s">
        <v>191</v>
      </c>
      <c r="B124" s="2">
        <v>45734</v>
      </c>
      <c r="C124" s="3" t="s">
        <v>138</v>
      </c>
      <c r="D124" s="4" t="s">
        <v>7</v>
      </c>
      <c r="E124" s="3">
        <v>1626.06</v>
      </c>
      <c r="F124" s="3">
        <v>5</v>
      </c>
      <c r="G124" s="3">
        <v>566.15</v>
      </c>
      <c r="H124" s="5">
        <v>0</v>
      </c>
      <c r="I124" s="8" t="str">
        <f t="shared" si="12"/>
        <v>Mar</v>
      </c>
      <c r="J124" s="8">
        <f t="shared" si="13"/>
        <v>813.4</v>
      </c>
      <c r="K124" s="8">
        <f t="shared" si="14"/>
        <v>812.66</v>
      </c>
      <c r="L124" s="8">
        <f t="shared" si="15"/>
        <v>0.99909023850504053</v>
      </c>
      <c r="M124" s="8" t="str">
        <f>IF(E124&gt;=AVERAGE(orders[Sales]),"High Sales","Low Sales")</f>
        <v>High Sales</v>
      </c>
      <c r="N124" s="8">
        <f>orders[[#This Row],[Profit]]/orders[[#This Row],[Sales]]</f>
        <v>0.34817288414941638</v>
      </c>
    </row>
    <row r="125" spans="1:14" x14ac:dyDescent="0.35">
      <c r="A125" s="6" t="s">
        <v>192</v>
      </c>
      <c r="B125" s="7">
        <v>45871</v>
      </c>
      <c r="C125" s="8" t="s">
        <v>16</v>
      </c>
      <c r="D125" s="9" t="s">
        <v>12</v>
      </c>
      <c r="E125" s="8">
        <v>1220.51</v>
      </c>
      <c r="F125" s="8">
        <v>10</v>
      </c>
      <c r="G125" s="8">
        <v>314.54000000000002</v>
      </c>
      <c r="H125" s="10">
        <v>0.05</v>
      </c>
      <c r="I125" s="8" t="str">
        <f t="shared" si="12"/>
        <v>Aug</v>
      </c>
      <c r="J125" s="8">
        <f t="shared" si="13"/>
        <v>1626.06</v>
      </c>
      <c r="K125" s="8">
        <f t="shared" si="14"/>
        <v>-405.54999999999995</v>
      </c>
      <c r="L125" s="8">
        <f t="shared" si="15"/>
        <v>-0.24940654096404805</v>
      </c>
      <c r="M125" s="8" t="str">
        <f>IF(E125&gt;=AVERAGE(orders[Sales]),"High Sales","Low Sales")</f>
        <v>High Sales</v>
      </c>
      <c r="N125" s="8">
        <f>orders[[#This Row],[Profit]]/orders[[#This Row],[Sales]]</f>
        <v>0.25771194009061787</v>
      </c>
    </row>
    <row r="126" spans="1:14" x14ac:dyDescent="0.35">
      <c r="A126" s="1" t="s">
        <v>193</v>
      </c>
      <c r="B126" s="2">
        <v>45884</v>
      </c>
      <c r="C126" s="3" t="s">
        <v>194</v>
      </c>
      <c r="D126" s="4" t="s">
        <v>2</v>
      </c>
      <c r="E126" s="3">
        <v>608.76</v>
      </c>
      <c r="F126" s="3">
        <v>10</v>
      </c>
      <c r="G126" s="3">
        <v>40.549999999999997</v>
      </c>
      <c r="H126" s="5">
        <v>0.15</v>
      </c>
      <c r="I126" s="8" t="str">
        <f t="shared" si="12"/>
        <v>Aug</v>
      </c>
      <c r="J126" s="8">
        <f t="shared" si="13"/>
        <v>1220.51</v>
      </c>
      <c r="K126" s="8">
        <f t="shared" si="14"/>
        <v>-611.75</v>
      </c>
      <c r="L126" s="8">
        <f t="shared" si="15"/>
        <v>-0.50122489778862933</v>
      </c>
      <c r="M126" s="8" t="str">
        <f>IF(E126&gt;=AVERAGE(orders[Sales]),"High Sales","Low Sales")</f>
        <v>Low Sales</v>
      </c>
      <c r="N126" s="8">
        <f>orders[[#This Row],[Profit]]/orders[[#This Row],[Sales]]</f>
        <v>6.6610815428083309E-2</v>
      </c>
    </row>
    <row r="127" spans="1:14" x14ac:dyDescent="0.35">
      <c r="A127" s="6" t="s">
        <v>195</v>
      </c>
      <c r="B127" s="7">
        <v>45970</v>
      </c>
      <c r="C127" s="8" t="s">
        <v>82</v>
      </c>
      <c r="D127" s="9" t="s">
        <v>7</v>
      </c>
      <c r="E127" s="8">
        <v>1921.02</v>
      </c>
      <c r="F127" s="8">
        <v>2</v>
      </c>
      <c r="G127" s="8">
        <v>408.51</v>
      </c>
      <c r="H127" s="10">
        <v>0.05</v>
      </c>
      <c r="I127" s="8" t="str">
        <f t="shared" si="12"/>
        <v>Nov</v>
      </c>
      <c r="J127" s="8">
        <f t="shared" si="13"/>
        <v>608.76</v>
      </c>
      <c r="K127" s="8">
        <f t="shared" si="14"/>
        <v>1312.26</v>
      </c>
      <c r="L127" s="8">
        <f t="shared" si="15"/>
        <v>2.1556278336290164</v>
      </c>
      <c r="M127" s="8" t="str">
        <f>IF(E127&gt;=AVERAGE(orders[Sales]),"High Sales","Low Sales")</f>
        <v>High Sales</v>
      </c>
      <c r="N127" s="8">
        <f>orders[[#This Row],[Profit]]/orders[[#This Row],[Sales]]</f>
        <v>0.21265265327794608</v>
      </c>
    </row>
    <row r="128" spans="1:14" x14ac:dyDescent="0.35">
      <c r="A128" s="1" t="s">
        <v>196</v>
      </c>
      <c r="B128" s="2">
        <v>45699</v>
      </c>
      <c r="C128" s="3" t="s">
        <v>197</v>
      </c>
      <c r="D128" s="4" t="s">
        <v>12</v>
      </c>
      <c r="E128" s="3">
        <v>330.97</v>
      </c>
      <c r="F128" s="3">
        <v>3</v>
      </c>
      <c r="G128" s="3">
        <v>-9.1</v>
      </c>
      <c r="H128" s="5">
        <v>0.2</v>
      </c>
      <c r="I128" s="8" t="str">
        <f t="shared" si="12"/>
        <v>Feb</v>
      </c>
      <c r="J128" s="8">
        <f t="shared" si="13"/>
        <v>1921.02</v>
      </c>
      <c r="K128" s="8">
        <f t="shared" si="14"/>
        <v>-1590.05</v>
      </c>
      <c r="L128" s="8">
        <f t="shared" si="15"/>
        <v>-0.82771132002790182</v>
      </c>
      <c r="M128" s="8" t="str">
        <f>IF(E128&gt;=AVERAGE(orders[Sales]),"High Sales","Low Sales")</f>
        <v>Low Sales</v>
      </c>
      <c r="N128" s="8">
        <f>orders[[#This Row],[Profit]]/orders[[#This Row],[Sales]]</f>
        <v>-2.749493911834909E-2</v>
      </c>
    </row>
    <row r="129" spans="1:14" x14ac:dyDescent="0.35">
      <c r="A129" s="6" t="s">
        <v>198</v>
      </c>
      <c r="B129" s="7">
        <v>45888</v>
      </c>
      <c r="C129" s="8" t="s">
        <v>199</v>
      </c>
      <c r="D129" s="9" t="s">
        <v>7</v>
      </c>
      <c r="E129" s="8">
        <v>1384.95</v>
      </c>
      <c r="F129" s="8">
        <v>8</v>
      </c>
      <c r="G129" s="8">
        <v>13.56</v>
      </c>
      <c r="H129" s="10">
        <v>0.1</v>
      </c>
      <c r="I129" s="8" t="str">
        <f t="shared" si="12"/>
        <v>Aug</v>
      </c>
      <c r="J129" s="8">
        <f t="shared" si="13"/>
        <v>330.97</v>
      </c>
      <c r="K129" s="8">
        <f t="shared" si="14"/>
        <v>1053.98</v>
      </c>
      <c r="L129" s="8">
        <f t="shared" si="15"/>
        <v>3.1845182342810525</v>
      </c>
      <c r="M129" s="8" t="str">
        <f>IF(E129&gt;=AVERAGE(orders[Sales]),"High Sales","Low Sales")</f>
        <v>High Sales</v>
      </c>
      <c r="N129" s="8">
        <f>orders[[#This Row],[Profit]]/orders[[#This Row],[Sales]]</f>
        <v>9.7909671829307914E-3</v>
      </c>
    </row>
    <row r="130" spans="1:14" x14ac:dyDescent="0.35">
      <c r="A130" s="1" t="s">
        <v>200</v>
      </c>
      <c r="B130" s="2">
        <v>45802</v>
      </c>
      <c r="C130" s="3" t="s">
        <v>82</v>
      </c>
      <c r="D130" s="4" t="s">
        <v>7</v>
      </c>
      <c r="E130" s="3">
        <v>1411.92</v>
      </c>
      <c r="F130" s="3">
        <v>8</v>
      </c>
      <c r="G130" s="3">
        <v>361.76</v>
      </c>
      <c r="H130" s="5">
        <v>0</v>
      </c>
      <c r="I130" s="8" t="str">
        <f t="shared" ref="I130:I151" si="16">TEXT(B130,"mmm")</f>
        <v>May</v>
      </c>
      <c r="J130" s="8">
        <f t="shared" ref="J130:J151" si="17">IF(ROW()=2,0,E129)</f>
        <v>1384.95</v>
      </c>
      <c r="K130" s="8">
        <f t="shared" ref="K130:K161" si="18">E130-J130</f>
        <v>26.970000000000027</v>
      </c>
      <c r="L130" s="8">
        <f t="shared" ref="L130:L151" si="19">IF(J130=0,0,(E130-J130)/J130)</f>
        <v>1.9473627206758385E-2</v>
      </c>
      <c r="M130" s="8" t="str">
        <f>IF(E130&gt;=AVERAGE(orders[Sales]),"High Sales","Low Sales")</f>
        <v>High Sales</v>
      </c>
      <c r="N130" s="8">
        <f>orders[[#This Row],[Profit]]/orders[[#This Row],[Sales]]</f>
        <v>0.25621848263357694</v>
      </c>
    </row>
    <row r="131" spans="1:14" x14ac:dyDescent="0.35">
      <c r="A131" s="6" t="s">
        <v>201</v>
      </c>
      <c r="B131" s="7">
        <v>45959</v>
      </c>
      <c r="C131" s="8" t="s">
        <v>132</v>
      </c>
      <c r="D131" s="9" t="s">
        <v>7</v>
      </c>
      <c r="E131" s="8">
        <v>1329.14</v>
      </c>
      <c r="F131" s="8">
        <v>4</v>
      </c>
      <c r="G131" s="8">
        <v>12.54</v>
      </c>
      <c r="H131" s="10">
        <v>0.15</v>
      </c>
      <c r="I131" s="8" t="str">
        <f t="shared" si="16"/>
        <v>Oct</v>
      </c>
      <c r="J131" s="8">
        <f t="shared" si="17"/>
        <v>1411.92</v>
      </c>
      <c r="K131" s="8">
        <f t="shared" si="18"/>
        <v>-82.779999999999973</v>
      </c>
      <c r="L131" s="8">
        <f t="shared" si="19"/>
        <v>-5.8629384101082191E-2</v>
      </c>
      <c r="M131" s="8" t="str">
        <f>IF(E131&gt;=AVERAGE(orders[Sales]),"High Sales","Low Sales")</f>
        <v>High Sales</v>
      </c>
      <c r="N131" s="8">
        <f>orders[[#This Row],[Profit]]/orders[[#This Row],[Sales]]</f>
        <v>9.4346720435770481E-3</v>
      </c>
    </row>
    <row r="132" spans="1:14" x14ac:dyDescent="0.35">
      <c r="A132" s="1" t="s">
        <v>202</v>
      </c>
      <c r="B132" s="2">
        <v>45734</v>
      </c>
      <c r="C132" s="3" t="s">
        <v>100</v>
      </c>
      <c r="D132" s="4" t="s">
        <v>7</v>
      </c>
      <c r="E132" s="3">
        <v>1818.65</v>
      </c>
      <c r="F132" s="3">
        <v>3</v>
      </c>
      <c r="G132" s="3">
        <v>123.47</v>
      </c>
      <c r="H132" s="5">
        <v>0</v>
      </c>
      <c r="I132" s="8" t="str">
        <f t="shared" si="16"/>
        <v>Mar</v>
      </c>
      <c r="J132" s="8">
        <f t="shared" si="17"/>
        <v>1329.14</v>
      </c>
      <c r="K132" s="8">
        <f t="shared" si="18"/>
        <v>489.51</v>
      </c>
      <c r="L132" s="8">
        <f t="shared" si="19"/>
        <v>0.3682907744857577</v>
      </c>
      <c r="M132" s="8" t="str">
        <f>IF(E132&gt;=AVERAGE(orders[Sales]),"High Sales","Low Sales")</f>
        <v>High Sales</v>
      </c>
      <c r="N132" s="8">
        <f>orders[[#This Row],[Profit]]/orders[[#This Row],[Sales]]</f>
        <v>6.7891018062848807E-2</v>
      </c>
    </row>
    <row r="133" spans="1:14" x14ac:dyDescent="0.35">
      <c r="A133" s="6" t="s">
        <v>203</v>
      </c>
      <c r="B133" s="7">
        <v>45949</v>
      </c>
      <c r="C133" s="8" t="s">
        <v>45</v>
      </c>
      <c r="D133" s="9" t="s">
        <v>7</v>
      </c>
      <c r="E133" s="8">
        <v>1843.96</v>
      </c>
      <c r="F133" s="8">
        <v>8</v>
      </c>
      <c r="G133" s="8">
        <v>351.48</v>
      </c>
      <c r="H133" s="10">
        <v>0</v>
      </c>
      <c r="I133" s="8" t="str">
        <f t="shared" si="16"/>
        <v>Oct</v>
      </c>
      <c r="J133" s="8">
        <f t="shared" si="17"/>
        <v>1818.65</v>
      </c>
      <c r="K133" s="8">
        <f t="shared" si="18"/>
        <v>25.309999999999945</v>
      </c>
      <c r="L133" s="8">
        <f t="shared" si="19"/>
        <v>1.3916916394028507E-2</v>
      </c>
      <c r="M133" s="8" t="str">
        <f>IF(E133&gt;=AVERAGE(orders[Sales]),"High Sales","Low Sales")</f>
        <v>High Sales</v>
      </c>
      <c r="N133" s="8">
        <f>orders[[#This Row],[Profit]]/orders[[#This Row],[Sales]]</f>
        <v>0.19061151001106316</v>
      </c>
    </row>
    <row r="134" spans="1:14" x14ac:dyDescent="0.35">
      <c r="A134" s="1" t="s">
        <v>204</v>
      </c>
      <c r="B134" s="2">
        <v>45864</v>
      </c>
      <c r="C134" s="3" t="s">
        <v>205</v>
      </c>
      <c r="D134" s="4" t="s">
        <v>7</v>
      </c>
      <c r="E134" s="3">
        <v>1886.5</v>
      </c>
      <c r="F134" s="3">
        <v>9</v>
      </c>
      <c r="G134" s="3">
        <v>185.14</v>
      </c>
      <c r="H134" s="5">
        <v>0.2</v>
      </c>
      <c r="I134" s="8" t="str">
        <f t="shared" si="16"/>
        <v>Jul</v>
      </c>
      <c r="J134" s="8">
        <f t="shared" si="17"/>
        <v>1843.96</v>
      </c>
      <c r="K134" s="8">
        <f t="shared" si="18"/>
        <v>42.539999999999964</v>
      </c>
      <c r="L134" s="8">
        <f t="shared" si="19"/>
        <v>2.3069914748693011E-2</v>
      </c>
      <c r="M134" s="8" t="str">
        <f>IF(E134&gt;=AVERAGE(orders[Sales]),"High Sales","Low Sales")</f>
        <v>High Sales</v>
      </c>
      <c r="N134" s="8">
        <f>orders[[#This Row],[Profit]]/orders[[#This Row],[Sales]]</f>
        <v>9.8139411608799354E-2</v>
      </c>
    </row>
    <row r="135" spans="1:14" x14ac:dyDescent="0.35">
      <c r="A135" s="6" t="s">
        <v>206</v>
      </c>
      <c r="B135" s="7">
        <v>45678</v>
      </c>
      <c r="C135" s="8" t="s">
        <v>178</v>
      </c>
      <c r="D135" s="9" t="s">
        <v>2</v>
      </c>
      <c r="E135" s="8">
        <v>1781.06</v>
      </c>
      <c r="F135" s="8">
        <v>6</v>
      </c>
      <c r="G135" s="8">
        <v>44.72</v>
      </c>
      <c r="H135" s="10">
        <v>0.2</v>
      </c>
      <c r="I135" s="8" t="str">
        <f t="shared" si="16"/>
        <v>Jan</v>
      </c>
      <c r="J135" s="8">
        <f t="shared" si="17"/>
        <v>1886.5</v>
      </c>
      <c r="K135" s="8">
        <f t="shared" si="18"/>
        <v>-105.44000000000005</v>
      </c>
      <c r="L135" s="8">
        <f t="shared" si="19"/>
        <v>-5.5891863238802041E-2</v>
      </c>
      <c r="M135" s="8" t="str">
        <f>IF(E135&gt;=AVERAGE(orders[Sales]),"High Sales","Low Sales")</f>
        <v>High Sales</v>
      </c>
      <c r="N135" s="8">
        <f>orders[[#This Row],[Profit]]/orders[[#This Row],[Sales]]</f>
        <v>2.5108643167551906E-2</v>
      </c>
    </row>
    <row r="136" spans="1:14" x14ac:dyDescent="0.35">
      <c r="A136" s="1" t="s">
        <v>207</v>
      </c>
      <c r="B136" s="2">
        <v>46003</v>
      </c>
      <c r="C136" s="3" t="s">
        <v>11</v>
      </c>
      <c r="D136" s="4" t="s">
        <v>7</v>
      </c>
      <c r="E136" s="3">
        <v>1675.2</v>
      </c>
      <c r="F136" s="3">
        <v>10</v>
      </c>
      <c r="G136" s="3">
        <v>394.07</v>
      </c>
      <c r="H136" s="5">
        <v>0.2</v>
      </c>
      <c r="I136" s="8" t="str">
        <f t="shared" si="16"/>
        <v>Dec</v>
      </c>
      <c r="J136" s="8">
        <f t="shared" si="17"/>
        <v>1781.06</v>
      </c>
      <c r="K136" s="8">
        <f t="shared" si="18"/>
        <v>-105.8599999999999</v>
      </c>
      <c r="L136" s="8">
        <f t="shared" si="19"/>
        <v>-5.9436515333565351E-2</v>
      </c>
      <c r="M136" s="8" t="str">
        <f>IF(E136&gt;=AVERAGE(orders[Sales]),"High Sales","Low Sales")</f>
        <v>High Sales</v>
      </c>
      <c r="N136" s="8">
        <f>orders[[#This Row],[Profit]]/orders[[#This Row],[Sales]]</f>
        <v>0.23523758357211078</v>
      </c>
    </row>
    <row r="137" spans="1:14" x14ac:dyDescent="0.35">
      <c r="A137" s="6" t="s">
        <v>208</v>
      </c>
      <c r="B137" s="7">
        <v>45795</v>
      </c>
      <c r="C137" s="8" t="s">
        <v>209</v>
      </c>
      <c r="D137" s="9" t="s">
        <v>12</v>
      </c>
      <c r="E137" s="8">
        <v>1160.97</v>
      </c>
      <c r="F137" s="8">
        <v>3</v>
      </c>
      <c r="G137" s="8">
        <v>151.72999999999999</v>
      </c>
      <c r="H137" s="10">
        <v>0.15</v>
      </c>
      <c r="I137" s="8" t="str">
        <f t="shared" si="16"/>
        <v>May</v>
      </c>
      <c r="J137" s="8">
        <f t="shared" si="17"/>
        <v>1675.2</v>
      </c>
      <c r="K137" s="8">
        <f t="shared" si="18"/>
        <v>-514.23</v>
      </c>
      <c r="L137" s="8">
        <f t="shared" si="19"/>
        <v>-0.30696633237822352</v>
      </c>
      <c r="M137" s="8" t="str">
        <f>IF(E137&gt;=AVERAGE(orders[Sales]),"High Sales","Low Sales")</f>
        <v>High Sales</v>
      </c>
      <c r="N137" s="8">
        <f>orders[[#This Row],[Profit]]/orders[[#This Row],[Sales]]</f>
        <v>0.13069243821976451</v>
      </c>
    </row>
    <row r="138" spans="1:14" x14ac:dyDescent="0.35">
      <c r="A138" s="1" t="s">
        <v>210</v>
      </c>
      <c r="B138" s="2">
        <v>45750</v>
      </c>
      <c r="C138" s="3" t="s">
        <v>178</v>
      </c>
      <c r="D138" s="4" t="s">
        <v>12</v>
      </c>
      <c r="E138" s="3">
        <v>1993.95</v>
      </c>
      <c r="F138" s="3">
        <v>7</v>
      </c>
      <c r="G138" s="3">
        <v>287.67</v>
      </c>
      <c r="H138" s="5">
        <v>0.3</v>
      </c>
      <c r="I138" s="8" t="str">
        <f t="shared" si="16"/>
        <v>Apr</v>
      </c>
      <c r="J138" s="8">
        <f t="shared" si="17"/>
        <v>1160.97</v>
      </c>
      <c r="K138" s="8">
        <f t="shared" si="18"/>
        <v>832.98</v>
      </c>
      <c r="L138" s="8">
        <f t="shared" si="19"/>
        <v>0.71748623995452077</v>
      </c>
      <c r="M138" s="8" t="str">
        <f>IF(E138&gt;=AVERAGE(orders[Sales]),"High Sales","Low Sales")</f>
        <v>High Sales</v>
      </c>
      <c r="N138" s="8">
        <f>orders[[#This Row],[Profit]]/orders[[#This Row],[Sales]]</f>
        <v>0.14427142104867224</v>
      </c>
    </row>
    <row r="139" spans="1:14" x14ac:dyDescent="0.35">
      <c r="A139" s="6" t="s">
        <v>211</v>
      </c>
      <c r="B139" s="7">
        <v>45836</v>
      </c>
      <c r="C139" s="8" t="s">
        <v>212</v>
      </c>
      <c r="D139" s="9" t="s">
        <v>12</v>
      </c>
      <c r="E139" s="8">
        <v>828.53</v>
      </c>
      <c r="F139" s="8">
        <v>6</v>
      </c>
      <c r="G139" s="8">
        <v>-56.85</v>
      </c>
      <c r="H139" s="10">
        <v>0.3</v>
      </c>
      <c r="I139" s="8" t="str">
        <f t="shared" si="16"/>
        <v>Jun</v>
      </c>
      <c r="J139" s="8">
        <f t="shared" si="17"/>
        <v>1993.95</v>
      </c>
      <c r="K139" s="8">
        <f t="shared" si="18"/>
        <v>-1165.42</v>
      </c>
      <c r="L139" s="8">
        <f t="shared" si="19"/>
        <v>-0.58447804608942056</v>
      </c>
      <c r="M139" s="8" t="str">
        <f>IF(E139&gt;=AVERAGE(orders[Sales]),"High Sales","Low Sales")</f>
        <v>Low Sales</v>
      </c>
      <c r="N139" s="8">
        <f>orders[[#This Row],[Profit]]/orders[[#This Row],[Sales]]</f>
        <v>-6.8615499740504265E-2</v>
      </c>
    </row>
    <row r="140" spans="1:14" x14ac:dyDescent="0.35">
      <c r="A140" s="1" t="s">
        <v>213</v>
      </c>
      <c r="B140" s="2">
        <v>45868</v>
      </c>
      <c r="C140" s="3" t="s">
        <v>11</v>
      </c>
      <c r="D140" s="4" t="s">
        <v>7</v>
      </c>
      <c r="E140" s="3">
        <v>1393.47</v>
      </c>
      <c r="F140" s="3">
        <v>5</v>
      </c>
      <c r="G140" s="3">
        <v>255.78</v>
      </c>
      <c r="H140" s="5">
        <v>0.3</v>
      </c>
      <c r="I140" s="8" t="str">
        <f t="shared" si="16"/>
        <v>Jul</v>
      </c>
      <c r="J140" s="8">
        <f t="shared" si="17"/>
        <v>828.53</v>
      </c>
      <c r="K140" s="8">
        <f t="shared" si="18"/>
        <v>564.94000000000005</v>
      </c>
      <c r="L140" s="8">
        <f t="shared" si="19"/>
        <v>0.68185823084257668</v>
      </c>
      <c r="M140" s="8" t="str">
        <f>IF(E140&gt;=AVERAGE(orders[Sales]),"High Sales","Low Sales")</f>
        <v>High Sales</v>
      </c>
      <c r="N140" s="8">
        <f>orders[[#This Row],[Profit]]/orders[[#This Row],[Sales]]</f>
        <v>0.18355615836724148</v>
      </c>
    </row>
    <row r="141" spans="1:14" x14ac:dyDescent="0.35">
      <c r="A141" s="6" t="s">
        <v>214</v>
      </c>
      <c r="B141" s="7">
        <v>45676</v>
      </c>
      <c r="C141" s="8" t="s">
        <v>96</v>
      </c>
      <c r="D141" s="9" t="s">
        <v>12</v>
      </c>
      <c r="E141" s="8">
        <v>920.56</v>
      </c>
      <c r="F141" s="8">
        <v>6</v>
      </c>
      <c r="G141" s="8">
        <v>89.28</v>
      </c>
      <c r="H141" s="10">
        <v>0.1</v>
      </c>
      <c r="I141" s="8" t="str">
        <f t="shared" si="16"/>
        <v>Jan</v>
      </c>
      <c r="J141" s="8">
        <f t="shared" si="17"/>
        <v>1393.47</v>
      </c>
      <c r="K141" s="8">
        <f t="shared" si="18"/>
        <v>-472.91000000000008</v>
      </c>
      <c r="L141" s="8">
        <f t="shared" si="19"/>
        <v>-0.33937580285187341</v>
      </c>
      <c r="M141" s="8" t="str">
        <f>IF(E141&gt;=AVERAGE(orders[Sales]),"High Sales","Low Sales")</f>
        <v>Low Sales</v>
      </c>
      <c r="N141" s="8">
        <f>orders[[#This Row],[Profit]]/orders[[#This Row],[Sales]]</f>
        <v>9.6984444251325283E-2</v>
      </c>
    </row>
    <row r="142" spans="1:14" x14ac:dyDescent="0.35">
      <c r="A142" s="1" t="s">
        <v>215</v>
      </c>
      <c r="B142" s="2">
        <v>45921</v>
      </c>
      <c r="C142" s="3" t="s">
        <v>152</v>
      </c>
      <c r="D142" s="4" t="s">
        <v>12</v>
      </c>
      <c r="E142" s="3">
        <v>1653.36</v>
      </c>
      <c r="F142" s="3">
        <v>1</v>
      </c>
      <c r="G142" s="3">
        <v>265.88</v>
      </c>
      <c r="H142" s="5">
        <v>0.3</v>
      </c>
      <c r="I142" s="8" t="str">
        <f t="shared" si="16"/>
        <v>Sep</v>
      </c>
      <c r="J142" s="8">
        <f t="shared" si="17"/>
        <v>920.56</v>
      </c>
      <c r="K142" s="8">
        <f t="shared" si="18"/>
        <v>732.8</v>
      </c>
      <c r="L142" s="8">
        <f t="shared" si="19"/>
        <v>0.79603719475102108</v>
      </c>
      <c r="M142" s="8" t="str">
        <f>IF(E142&gt;=AVERAGE(orders[Sales]),"High Sales","Low Sales")</f>
        <v>High Sales</v>
      </c>
      <c r="N142" s="8">
        <f>orders[[#This Row],[Profit]]/orders[[#This Row],[Sales]]</f>
        <v>0.16081192238834857</v>
      </c>
    </row>
    <row r="143" spans="1:14" x14ac:dyDescent="0.35">
      <c r="A143" s="6" t="s">
        <v>216</v>
      </c>
      <c r="B143" s="7">
        <v>45685</v>
      </c>
      <c r="C143" s="8" t="s">
        <v>217</v>
      </c>
      <c r="D143" s="9" t="s">
        <v>12</v>
      </c>
      <c r="E143" s="8">
        <v>391.41</v>
      </c>
      <c r="F143" s="8">
        <v>6</v>
      </c>
      <c r="G143" s="8">
        <v>69.25</v>
      </c>
      <c r="H143" s="10">
        <v>0.2</v>
      </c>
      <c r="I143" s="8" t="str">
        <f t="shared" si="16"/>
        <v>Jan</v>
      </c>
      <c r="J143" s="8">
        <f t="shared" si="17"/>
        <v>1653.36</v>
      </c>
      <c r="K143" s="8">
        <f t="shared" si="18"/>
        <v>-1261.9499999999998</v>
      </c>
      <c r="L143" s="8">
        <f t="shared" si="19"/>
        <v>-0.76326389896937141</v>
      </c>
      <c r="M143" s="8" t="str">
        <f>IF(E143&gt;=AVERAGE(orders[Sales]),"High Sales","Low Sales")</f>
        <v>Low Sales</v>
      </c>
      <c r="N143" s="8">
        <f>orders[[#This Row],[Profit]]/orders[[#This Row],[Sales]]</f>
        <v>0.1769244526200148</v>
      </c>
    </row>
    <row r="144" spans="1:14" x14ac:dyDescent="0.35">
      <c r="A144" s="1" t="s">
        <v>218</v>
      </c>
      <c r="B144" s="2">
        <v>45684</v>
      </c>
      <c r="C144" s="3" t="s">
        <v>209</v>
      </c>
      <c r="D144" s="4" t="s">
        <v>7</v>
      </c>
      <c r="E144" s="3">
        <v>423.05</v>
      </c>
      <c r="F144" s="3">
        <v>9</v>
      </c>
      <c r="G144" s="3">
        <v>128.31</v>
      </c>
      <c r="H144" s="5">
        <v>0.05</v>
      </c>
      <c r="I144" s="8" t="str">
        <f t="shared" si="16"/>
        <v>Jan</v>
      </c>
      <c r="J144" s="8">
        <f t="shared" si="17"/>
        <v>391.41</v>
      </c>
      <c r="K144" s="8">
        <f t="shared" si="18"/>
        <v>31.639999999999986</v>
      </c>
      <c r="L144" s="8">
        <f t="shared" si="19"/>
        <v>8.0835952070718642E-2</v>
      </c>
      <c r="M144" s="8" t="str">
        <f>IF(E144&gt;=AVERAGE(orders[Sales]),"High Sales","Low Sales")</f>
        <v>Low Sales</v>
      </c>
      <c r="N144" s="8">
        <f>orders[[#This Row],[Profit]]/orders[[#This Row],[Sales]]</f>
        <v>0.30329748256707245</v>
      </c>
    </row>
    <row r="145" spans="1:14" x14ac:dyDescent="0.35">
      <c r="A145" s="6" t="s">
        <v>219</v>
      </c>
      <c r="B145" s="7">
        <v>45906</v>
      </c>
      <c r="C145" s="8" t="s">
        <v>100</v>
      </c>
      <c r="D145" s="9" t="s">
        <v>7</v>
      </c>
      <c r="E145" s="8">
        <v>260.42</v>
      </c>
      <c r="F145" s="8">
        <v>10</v>
      </c>
      <c r="G145" s="8">
        <v>61.96</v>
      </c>
      <c r="H145" s="10">
        <v>0.05</v>
      </c>
      <c r="I145" s="8" t="str">
        <f t="shared" si="16"/>
        <v>Sep</v>
      </c>
      <c r="J145" s="8">
        <f t="shared" si="17"/>
        <v>423.05</v>
      </c>
      <c r="K145" s="8">
        <f t="shared" si="18"/>
        <v>-162.63</v>
      </c>
      <c r="L145" s="8">
        <f t="shared" si="19"/>
        <v>-0.38442264507741397</v>
      </c>
      <c r="M145" s="8" t="str">
        <f>IF(E145&gt;=AVERAGE(orders[Sales]),"High Sales","Low Sales")</f>
        <v>Low Sales</v>
      </c>
      <c r="N145" s="8">
        <f>orders[[#This Row],[Profit]]/orders[[#This Row],[Sales]]</f>
        <v>0.23792335458106134</v>
      </c>
    </row>
    <row r="146" spans="1:14" x14ac:dyDescent="0.35">
      <c r="A146" s="1" t="s">
        <v>220</v>
      </c>
      <c r="B146" s="2">
        <v>45665</v>
      </c>
      <c r="C146" s="3" t="s">
        <v>114</v>
      </c>
      <c r="D146" s="4" t="s">
        <v>12</v>
      </c>
      <c r="E146" s="3">
        <v>1113.46</v>
      </c>
      <c r="F146" s="3">
        <v>2</v>
      </c>
      <c r="G146" s="3">
        <v>359.29</v>
      </c>
      <c r="H146" s="5">
        <v>0.05</v>
      </c>
      <c r="I146" s="8" t="str">
        <f t="shared" si="16"/>
        <v>Jan</v>
      </c>
      <c r="J146" s="8">
        <f t="shared" si="17"/>
        <v>260.42</v>
      </c>
      <c r="K146" s="8">
        <f t="shared" si="18"/>
        <v>853.04</v>
      </c>
      <c r="L146" s="8">
        <f t="shared" si="19"/>
        <v>3.2756316719145993</v>
      </c>
      <c r="M146" s="8" t="str">
        <f>IF(E146&gt;=AVERAGE(orders[Sales]),"High Sales","Low Sales")</f>
        <v>High Sales</v>
      </c>
      <c r="N146" s="8">
        <f>orders[[#This Row],[Profit]]/orders[[#This Row],[Sales]]</f>
        <v>0.32267885689652076</v>
      </c>
    </row>
    <row r="147" spans="1:14" x14ac:dyDescent="0.35">
      <c r="A147" s="6" t="s">
        <v>221</v>
      </c>
      <c r="B147" s="7">
        <v>45718</v>
      </c>
      <c r="C147" s="8" t="s">
        <v>222</v>
      </c>
      <c r="D147" s="9" t="s">
        <v>7</v>
      </c>
      <c r="E147" s="8">
        <v>1302.47</v>
      </c>
      <c r="F147" s="8">
        <v>3</v>
      </c>
      <c r="G147" s="8">
        <v>331.86</v>
      </c>
      <c r="H147" s="10">
        <v>0.15</v>
      </c>
      <c r="I147" s="8" t="str">
        <f t="shared" si="16"/>
        <v>Mar</v>
      </c>
      <c r="J147" s="8">
        <f t="shared" si="17"/>
        <v>1113.46</v>
      </c>
      <c r="K147" s="8">
        <f t="shared" si="18"/>
        <v>189.01</v>
      </c>
      <c r="L147" s="8">
        <f t="shared" si="19"/>
        <v>0.16975014818673323</v>
      </c>
      <c r="M147" s="8" t="str">
        <f>IF(E147&gt;=AVERAGE(orders[Sales]),"High Sales","Low Sales")</f>
        <v>High Sales</v>
      </c>
      <c r="N147" s="8">
        <f>orders[[#This Row],[Profit]]/orders[[#This Row],[Sales]]</f>
        <v>0.25479281672514531</v>
      </c>
    </row>
    <row r="148" spans="1:14" x14ac:dyDescent="0.35">
      <c r="A148" s="1" t="s">
        <v>223</v>
      </c>
      <c r="B148" s="2">
        <v>46019</v>
      </c>
      <c r="C148" s="3" t="s">
        <v>39</v>
      </c>
      <c r="D148" s="4" t="s">
        <v>2</v>
      </c>
      <c r="E148" s="3">
        <v>561.38</v>
      </c>
      <c r="F148" s="3">
        <v>8</v>
      </c>
      <c r="G148" s="3">
        <v>27.01</v>
      </c>
      <c r="H148" s="5">
        <v>0.15</v>
      </c>
      <c r="I148" s="8" t="str">
        <f t="shared" si="16"/>
        <v>Dec</v>
      </c>
      <c r="J148" s="8">
        <f t="shared" si="17"/>
        <v>1302.47</v>
      </c>
      <c r="K148" s="8">
        <f t="shared" si="18"/>
        <v>-741.09</v>
      </c>
      <c r="L148" s="8">
        <f t="shared" si="19"/>
        <v>-0.56898815327800256</v>
      </c>
      <c r="M148" s="8" t="str">
        <f>IF(E148&gt;=AVERAGE(orders[Sales]),"High Sales","Low Sales")</f>
        <v>Low Sales</v>
      </c>
      <c r="N148" s="8">
        <f>orders[[#This Row],[Profit]]/orders[[#This Row],[Sales]]</f>
        <v>4.8113577256047597E-2</v>
      </c>
    </row>
    <row r="149" spans="1:14" x14ac:dyDescent="0.35">
      <c r="A149" s="6" t="s">
        <v>224</v>
      </c>
      <c r="B149" s="7">
        <v>45854</v>
      </c>
      <c r="C149" s="8" t="s">
        <v>225</v>
      </c>
      <c r="D149" s="9" t="s">
        <v>2</v>
      </c>
      <c r="E149" s="8">
        <v>397.41</v>
      </c>
      <c r="F149" s="8">
        <v>10</v>
      </c>
      <c r="G149" s="8">
        <v>69.099999999999994</v>
      </c>
      <c r="H149" s="10">
        <v>0.2</v>
      </c>
      <c r="I149" s="8" t="str">
        <f t="shared" si="16"/>
        <v>Jul</v>
      </c>
      <c r="J149" s="8">
        <f t="shared" si="17"/>
        <v>561.38</v>
      </c>
      <c r="K149" s="8">
        <f t="shared" si="18"/>
        <v>-163.96999999999997</v>
      </c>
      <c r="L149" s="8">
        <f t="shared" si="19"/>
        <v>-0.29208379350885311</v>
      </c>
      <c r="M149" s="8" t="str">
        <f>IF(E149&gt;=AVERAGE(orders[Sales]),"High Sales","Low Sales")</f>
        <v>Low Sales</v>
      </c>
      <c r="N149" s="8">
        <f>orders[[#This Row],[Profit]]/orders[[#This Row],[Sales]]</f>
        <v>0.17387584610352028</v>
      </c>
    </row>
    <row r="150" spans="1:14" x14ac:dyDescent="0.35">
      <c r="A150" s="1" t="s">
        <v>226</v>
      </c>
      <c r="B150" s="2">
        <v>45799</v>
      </c>
      <c r="C150" s="3" t="s">
        <v>122</v>
      </c>
      <c r="D150" s="4" t="s">
        <v>12</v>
      </c>
      <c r="E150" s="3">
        <v>1549.9</v>
      </c>
      <c r="F150" s="3">
        <v>7</v>
      </c>
      <c r="G150" s="3">
        <v>434.4</v>
      </c>
      <c r="H150" s="5">
        <v>0.1</v>
      </c>
      <c r="I150" s="8" t="str">
        <f t="shared" si="16"/>
        <v>May</v>
      </c>
      <c r="J150" s="8">
        <f t="shared" si="17"/>
        <v>397.41</v>
      </c>
      <c r="K150" s="8">
        <f t="shared" si="18"/>
        <v>1152.49</v>
      </c>
      <c r="L150" s="8">
        <f t="shared" si="19"/>
        <v>2.900002516292997</v>
      </c>
      <c r="M150" s="8" t="str">
        <f>IF(E150&gt;=AVERAGE(orders[Sales]),"High Sales","Low Sales")</f>
        <v>High Sales</v>
      </c>
      <c r="N150" s="8">
        <f>orders[[#This Row],[Profit]]/orders[[#This Row],[Sales]]</f>
        <v>0.28027614684818375</v>
      </c>
    </row>
    <row r="151" spans="1:14" x14ac:dyDescent="0.35">
      <c r="A151" s="14" t="s">
        <v>227</v>
      </c>
      <c r="B151" s="12">
        <v>45659</v>
      </c>
      <c r="C151" s="11" t="s">
        <v>228</v>
      </c>
      <c r="D151" s="13" t="s">
        <v>12</v>
      </c>
      <c r="E151" s="11">
        <v>580.02</v>
      </c>
      <c r="F151" s="11">
        <v>5</v>
      </c>
      <c r="G151" s="11">
        <v>71.91</v>
      </c>
      <c r="H151" s="15">
        <v>0.2</v>
      </c>
      <c r="I151" s="11" t="str">
        <f t="shared" si="16"/>
        <v>Jan</v>
      </c>
      <c r="J151" s="11">
        <f t="shared" si="17"/>
        <v>1549.9</v>
      </c>
      <c r="K151" s="11">
        <f t="shared" si="18"/>
        <v>-969.88000000000011</v>
      </c>
      <c r="L151" s="11">
        <f t="shared" si="19"/>
        <v>-0.62576940447770824</v>
      </c>
      <c r="M151" s="11" t="str">
        <f>IF(E151&gt;=AVERAGE(orders[Sales]),"High Sales","Low Sales")</f>
        <v>Low Sales</v>
      </c>
      <c r="N151" s="11">
        <f>orders[[#This Row],[Profit]]/orders[[#This Row],[Sales]]</f>
        <v>0.12397848350056895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CC2EFBB-216E-46D5-91BE-23DC0EE2B85B}">
            <xm:f>NOT(ISERROR(SEARCH("-",K1)))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" operator="containsText" id="{58569348-C014-4797-B0FA-FE8E2F7100A4}">
            <xm:f>NOT(ISERROR(SEARCH("-",N2)))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N2:N151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943B-5505-4351-BD73-2613990A0749}">
  <dimension ref="A1:D101"/>
  <sheetViews>
    <sheetView workbookViewId="0">
      <selection activeCell="E14" sqref="E14"/>
    </sheetView>
  </sheetViews>
  <sheetFormatPr defaultRowHeight="14.5" x14ac:dyDescent="0.35"/>
  <cols>
    <col min="1" max="1" width="13.26953125" customWidth="1"/>
    <col min="2" max="2" width="16.36328125" customWidth="1"/>
    <col min="4" max="4" width="10.08984375" customWidth="1"/>
  </cols>
  <sheetData>
    <row r="1" spans="1:4" x14ac:dyDescent="0.35">
      <c r="A1" t="s">
        <v>229</v>
      </c>
      <c r="B1" t="s">
        <v>230</v>
      </c>
      <c r="C1" t="s">
        <v>231</v>
      </c>
      <c r="D1" t="s">
        <v>232</v>
      </c>
    </row>
    <row r="2" spans="1:4" x14ac:dyDescent="0.35">
      <c r="A2" t="s">
        <v>197</v>
      </c>
      <c r="B2" t="s">
        <v>233</v>
      </c>
      <c r="C2" t="s">
        <v>234</v>
      </c>
      <c r="D2" t="s">
        <v>235</v>
      </c>
    </row>
    <row r="3" spans="1:4" x14ac:dyDescent="0.35">
      <c r="A3" t="s">
        <v>236</v>
      </c>
      <c r="B3" t="s">
        <v>237</v>
      </c>
      <c r="C3" t="s">
        <v>238</v>
      </c>
      <c r="D3" t="s">
        <v>239</v>
      </c>
    </row>
    <row r="4" spans="1:4" x14ac:dyDescent="0.35">
      <c r="A4" t="s">
        <v>240</v>
      </c>
      <c r="B4" t="s">
        <v>241</v>
      </c>
      <c r="C4" t="s">
        <v>242</v>
      </c>
      <c r="D4" t="s">
        <v>243</v>
      </c>
    </row>
    <row r="5" spans="1:4" x14ac:dyDescent="0.35">
      <c r="A5" t="s">
        <v>154</v>
      </c>
      <c r="B5" t="s">
        <v>244</v>
      </c>
      <c r="C5" t="s">
        <v>234</v>
      </c>
      <c r="D5" t="s">
        <v>243</v>
      </c>
    </row>
    <row r="6" spans="1:4" x14ac:dyDescent="0.35">
      <c r="A6" t="s">
        <v>4</v>
      </c>
      <c r="B6" t="s">
        <v>245</v>
      </c>
      <c r="C6" t="s">
        <v>234</v>
      </c>
      <c r="D6" t="s">
        <v>243</v>
      </c>
    </row>
    <row r="7" spans="1:4" x14ac:dyDescent="0.35">
      <c r="A7" t="s">
        <v>80</v>
      </c>
      <c r="B7" t="s">
        <v>246</v>
      </c>
      <c r="C7" t="s">
        <v>242</v>
      </c>
      <c r="D7" t="s">
        <v>235</v>
      </c>
    </row>
    <row r="8" spans="1:4" x14ac:dyDescent="0.35">
      <c r="A8" t="s">
        <v>63</v>
      </c>
      <c r="B8" t="s">
        <v>241</v>
      </c>
      <c r="C8" t="s">
        <v>234</v>
      </c>
      <c r="D8" t="s">
        <v>243</v>
      </c>
    </row>
    <row r="9" spans="1:4" x14ac:dyDescent="0.35">
      <c r="A9" t="s">
        <v>70</v>
      </c>
      <c r="B9" t="s">
        <v>247</v>
      </c>
      <c r="C9" t="s">
        <v>242</v>
      </c>
      <c r="D9" t="s">
        <v>239</v>
      </c>
    </row>
    <row r="10" spans="1:4" x14ac:dyDescent="0.35">
      <c r="A10" t="s">
        <v>37</v>
      </c>
      <c r="B10" t="s">
        <v>248</v>
      </c>
      <c r="C10" t="s">
        <v>238</v>
      </c>
      <c r="D10" t="s">
        <v>235</v>
      </c>
    </row>
    <row r="11" spans="1:4" x14ac:dyDescent="0.35">
      <c r="A11" t="s">
        <v>58</v>
      </c>
      <c r="B11" t="s">
        <v>249</v>
      </c>
      <c r="C11" t="s">
        <v>242</v>
      </c>
      <c r="D11" t="s">
        <v>243</v>
      </c>
    </row>
    <row r="12" spans="1:4" x14ac:dyDescent="0.35">
      <c r="A12" t="s">
        <v>205</v>
      </c>
      <c r="B12" t="s">
        <v>250</v>
      </c>
      <c r="C12" t="s">
        <v>242</v>
      </c>
      <c r="D12" t="s">
        <v>239</v>
      </c>
    </row>
    <row r="13" spans="1:4" x14ac:dyDescent="0.35">
      <c r="A13" t="s">
        <v>178</v>
      </c>
      <c r="B13" t="s">
        <v>251</v>
      </c>
      <c r="C13" t="s">
        <v>238</v>
      </c>
      <c r="D13" t="s">
        <v>235</v>
      </c>
    </row>
    <row r="14" spans="1:4" x14ac:dyDescent="0.35">
      <c r="A14" t="s">
        <v>20</v>
      </c>
      <c r="B14" t="s">
        <v>252</v>
      </c>
      <c r="C14" t="s">
        <v>242</v>
      </c>
      <c r="D14" t="s">
        <v>239</v>
      </c>
    </row>
    <row r="15" spans="1:4" x14ac:dyDescent="0.35">
      <c r="A15" t="s">
        <v>92</v>
      </c>
      <c r="B15" t="s">
        <v>253</v>
      </c>
      <c r="C15" t="s">
        <v>254</v>
      </c>
      <c r="D15" t="s">
        <v>239</v>
      </c>
    </row>
    <row r="16" spans="1:4" x14ac:dyDescent="0.35">
      <c r="A16" t="s">
        <v>114</v>
      </c>
      <c r="B16" t="s">
        <v>255</v>
      </c>
      <c r="C16" t="s">
        <v>254</v>
      </c>
      <c r="D16" t="s">
        <v>239</v>
      </c>
    </row>
    <row r="17" spans="1:4" x14ac:dyDescent="0.35">
      <c r="A17" t="s">
        <v>138</v>
      </c>
      <c r="B17" t="s">
        <v>256</v>
      </c>
      <c r="C17" t="s">
        <v>242</v>
      </c>
      <c r="D17" t="s">
        <v>243</v>
      </c>
    </row>
    <row r="18" spans="1:4" x14ac:dyDescent="0.35">
      <c r="A18" t="s">
        <v>124</v>
      </c>
      <c r="B18" t="s">
        <v>257</v>
      </c>
      <c r="C18" t="s">
        <v>234</v>
      </c>
      <c r="D18" t="s">
        <v>239</v>
      </c>
    </row>
    <row r="19" spans="1:4" x14ac:dyDescent="0.35">
      <c r="A19" t="s">
        <v>225</v>
      </c>
      <c r="B19" t="s">
        <v>258</v>
      </c>
      <c r="C19" t="s">
        <v>238</v>
      </c>
      <c r="D19" t="s">
        <v>243</v>
      </c>
    </row>
    <row r="20" spans="1:4" x14ac:dyDescent="0.35">
      <c r="A20" t="s">
        <v>259</v>
      </c>
      <c r="B20" t="s">
        <v>260</v>
      </c>
      <c r="C20" t="s">
        <v>242</v>
      </c>
      <c r="D20" t="s">
        <v>239</v>
      </c>
    </row>
    <row r="21" spans="1:4" x14ac:dyDescent="0.35">
      <c r="A21" t="s">
        <v>74</v>
      </c>
      <c r="B21" t="s">
        <v>261</v>
      </c>
      <c r="C21" t="s">
        <v>234</v>
      </c>
      <c r="D21" t="s">
        <v>243</v>
      </c>
    </row>
    <row r="22" spans="1:4" x14ac:dyDescent="0.35">
      <c r="A22" t="s">
        <v>212</v>
      </c>
      <c r="B22" t="s">
        <v>262</v>
      </c>
      <c r="C22" t="s">
        <v>254</v>
      </c>
      <c r="D22" t="s">
        <v>239</v>
      </c>
    </row>
    <row r="23" spans="1:4" x14ac:dyDescent="0.35">
      <c r="A23" t="s">
        <v>263</v>
      </c>
      <c r="B23" t="s">
        <v>264</v>
      </c>
      <c r="C23" t="s">
        <v>234</v>
      </c>
      <c r="D23" t="s">
        <v>235</v>
      </c>
    </row>
    <row r="24" spans="1:4" x14ac:dyDescent="0.35">
      <c r="A24" t="s">
        <v>126</v>
      </c>
      <c r="B24" t="s">
        <v>265</v>
      </c>
      <c r="C24" t="s">
        <v>238</v>
      </c>
      <c r="D24" t="s">
        <v>239</v>
      </c>
    </row>
    <row r="25" spans="1:4" x14ac:dyDescent="0.35">
      <c r="A25" t="s">
        <v>66</v>
      </c>
      <c r="B25" t="s">
        <v>266</v>
      </c>
      <c r="C25" t="s">
        <v>238</v>
      </c>
      <c r="D25" t="s">
        <v>235</v>
      </c>
    </row>
    <row r="26" spans="1:4" x14ac:dyDescent="0.35">
      <c r="A26" t="s">
        <v>110</v>
      </c>
      <c r="B26" t="s">
        <v>267</v>
      </c>
      <c r="C26" t="s">
        <v>234</v>
      </c>
      <c r="D26" t="s">
        <v>239</v>
      </c>
    </row>
    <row r="27" spans="1:4" x14ac:dyDescent="0.35">
      <c r="A27" t="s">
        <v>6</v>
      </c>
      <c r="B27" t="s">
        <v>268</v>
      </c>
      <c r="C27" t="s">
        <v>238</v>
      </c>
      <c r="D27" t="s">
        <v>239</v>
      </c>
    </row>
    <row r="28" spans="1:4" x14ac:dyDescent="0.35">
      <c r="A28" t="s">
        <v>22</v>
      </c>
      <c r="B28" t="s">
        <v>269</v>
      </c>
      <c r="C28" t="s">
        <v>238</v>
      </c>
      <c r="D28" t="s">
        <v>239</v>
      </c>
    </row>
    <row r="29" spans="1:4" x14ac:dyDescent="0.35">
      <c r="A29" t="s">
        <v>145</v>
      </c>
      <c r="B29" t="s">
        <v>270</v>
      </c>
      <c r="C29" t="s">
        <v>254</v>
      </c>
      <c r="D29" t="s">
        <v>243</v>
      </c>
    </row>
    <row r="30" spans="1:4" x14ac:dyDescent="0.35">
      <c r="A30" t="s">
        <v>132</v>
      </c>
      <c r="B30" t="s">
        <v>271</v>
      </c>
      <c r="C30" t="s">
        <v>234</v>
      </c>
      <c r="D30" t="s">
        <v>239</v>
      </c>
    </row>
    <row r="31" spans="1:4" x14ac:dyDescent="0.35">
      <c r="A31" t="s">
        <v>272</v>
      </c>
      <c r="B31" t="s">
        <v>273</v>
      </c>
      <c r="C31" t="s">
        <v>234</v>
      </c>
      <c r="D31" t="s">
        <v>239</v>
      </c>
    </row>
    <row r="32" spans="1:4" x14ac:dyDescent="0.35">
      <c r="A32" t="s">
        <v>103</v>
      </c>
      <c r="B32" t="s">
        <v>274</v>
      </c>
      <c r="C32" t="s">
        <v>242</v>
      </c>
      <c r="D32" t="s">
        <v>239</v>
      </c>
    </row>
    <row r="33" spans="1:4" x14ac:dyDescent="0.35">
      <c r="A33" t="s">
        <v>31</v>
      </c>
      <c r="B33" t="s">
        <v>274</v>
      </c>
      <c r="C33" t="s">
        <v>234</v>
      </c>
      <c r="D33" t="s">
        <v>239</v>
      </c>
    </row>
    <row r="34" spans="1:4" x14ac:dyDescent="0.35">
      <c r="A34" t="s">
        <v>275</v>
      </c>
      <c r="B34" t="s">
        <v>276</v>
      </c>
      <c r="C34" t="s">
        <v>242</v>
      </c>
      <c r="D34" t="s">
        <v>243</v>
      </c>
    </row>
    <row r="35" spans="1:4" x14ac:dyDescent="0.35">
      <c r="A35" t="s">
        <v>82</v>
      </c>
      <c r="B35" t="s">
        <v>277</v>
      </c>
      <c r="C35" t="s">
        <v>242</v>
      </c>
      <c r="D35" t="s">
        <v>235</v>
      </c>
    </row>
    <row r="36" spans="1:4" x14ac:dyDescent="0.35">
      <c r="A36" t="s">
        <v>278</v>
      </c>
      <c r="B36" t="s">
        <v>247</v>
      </c>
      <c r="C36" t="s">
        <v>234</v>
      </c>
      <c r="D36" t="s">
        <v>235</v>
      </c>
    </row>
    <row r="37" spans="1:4" x14ac:dyDescent="0.35">
      <c r="A37" t="s">
        <v>9</v>
      </c>
      <c r="B37" t="s">
        <v>279</v>
      </c>
      <c r="C37" t="s">
        <v>254</v>
      </c>
      <c r="D37" t="s">
        <v>243</v>
      </c>
    </row>
    <row r="38" spans="1:4" x14ac:dyDescent="0.35">
      <c r="A38" t="s">
        <v>199</v>
      </c>
      <c r="B38" t="s">
        <v>280</v>
      </c>
      <c r="C38" t="s">
        <v>254</v>
      </c>
      <c r="D38" t="s">
        <v>235</v>
      </c>
    </row>
    <row r="39" spans="1:4" x14ac:dyDescent="0.35">
      <c r="A39" t="s">
        <v>222</v>
      </c>
      <c r="B39" t="s">
        <v>281</v>
      </c>
      <c r="C39" t="s">
        <v>242</v>
      </c>
      <c r="D39" t="s">
        <v>235</v>
      </c>
    </row>
    <row r="40" spans="1:4" x14ac:dyDescent="0.35">
      <c r="A40" t="s">
        <v>45</v>
      </c>
      <c r="B40" t="s">
        <v>282</v>
      </c>
      <c r="C40" t="s">
        <v>238</v>
      </c>
      <c r="D40" t="s">
        <v>239</v>
      </c>
    </row>
    <row r="41" spans="1:4" x14ac:dyDescent="0.35">
      <c r="A41" t="s">
        <v>100</v>
      </c>
      <c r="B41" t="s">
        <v>253</v>
      </c>
      <c r="C41" t="s">
        <v>234</v>
      </c>
      <c r="D41" t="s">
        <v>239</v>
      </c>
    </row>
    <row r="42" spans="1:4" x14ac:dyDescent="0.35">
      <c r="A42" t="s">
        <v>29</v>
      </c>
      <c r="B42" t="s">
        <v>283</v>
      </c>
      <c r="C42" t="s">
        <v>234</v>
      </c>
      <c r="D42" t="s">
        <v>235</v>
      </c>
    </row>
    <row r="43" spans="1:4" x14ac:dyDescent="0.35">
      <c r="A43" t="s">
        <v>284</v>
      </c>
      <c r="B43" t="s">
        <v>285</v>
      </c>
      <c r="C43" t="s">
        <v>242</v>
      </c>
      <c r="D43" t="s">
        <v>243</v>
      </c>
    </row>
    <row r="44" spans="1:4" x14ac:dyDescent="0.35">
      <c r="A44" t="s">
        <v>105</v>
      </c>
      <c r="B44" t="s">
        <v>286</v>
      </c>
      <c r="C44" t="s">
        <v>242</v>
      </c>
      <c r="D44" t="s">
        <v>243</v>
      </c>
    </row>
    <row r="45" spans="1:4" x14ac:dyDescent="0.35">
      <c r="A45" t="s">
        <v>41</v>
      </c>
      <c r="B45" t="s">
        <v>287</v>
      </c>
      <c r="C45" t="s">
        <v>238</v>
      </c>
      <c r="D45" t="s">
        <v>243</v>
      </c>
    </row>
    <row r="46" spans="1:4" x14ac:dyDescent="0.35">
      <c r="A46" t="s">
        <v>88</v>
      </c>
      <c r="B46" t="s">
        <v>288</v>
      </c>
      <c r="C46" t="s">
        <v>242</v>
      </c>
      <c r="D46" t="s">
        <v>235</v>
      </c>
    </row>
    <row r="47" spans="1:4" x14ac:dyDescent="0.35">
      <c r="A47" t="s">
        <v>173</v>
      </c>
      <c r="B47" t="s">
        <v>289</v>
      </c>
      <c r="C47" t="s">
        <v>238</v>
      </c>
      <c r="D47" t="s">
        <v>243</v>
      </c>
    </row>
    <row r="48" spans="1:4" x14ac:dyDescent="0.35">
      <c r="A48" t="s">
        <v>49</v>
      </c>
      <c r="B48" t="s">
        <v>290</v>
      </c>
      <c r="C48" t="s">
        <v>234</v>
      </c>
      <c r="D48" t="s">
        <v>243</v>
      </c>
    </row>
    <row r="49" spans="1:4" x14ac:dyDescent="0.35">
      <c r="A49" t="s">
        <v>180</v>
      </c>
      <c r="B49" t="s">
        <v>291</v>
      </c>
      <c r="C49" t="s">
        <v>254</v>
      </c>
      <c r="D49" t="s">
        <v>239</v>
      </c>
    </row>
    <row r="50" spans="1:4" x14ac:dyDescent="0.35">
      <c r="A50" t="s">
        <v>16</v>
      </c>
      <c r="B50" t="s">
        <v>292</v>
      </c>
      <c r="C50" t="s">
        <v>234</v>
      </c>
      <c r="D50" t="s">
        <v>239</v>
      </c>
    </row>
    <row r="51" spans="1:4" x14ac:dyDescent="0.35">
      <c r="A51" t="s">
        <v>135</v>
      </c>
      <c r="B51" t="s">
        <v>293</v>
      </c>
      <c r="C51" t="s">
        <v>254</v>
      </c>
      <c r="D51" t="s">
        <v>243</v>
      </c>
    </row>
    <row r="52" spans="1:4" x14ac:dyDescent="0.35">
      <c r="A52" t="s">
        <v>294</v>
      </c>
      <c r="B52" t="s">
        <v>295</v>
      </c>
      <c r="C52" t="s">
        <v>254</v>
      </c>
      <c r="D52" t="s">
        <v>235</v>
      </c>
    </row>
    <row r="53" spans="1:4" x14ac:dyDescent="0.35">
      <c r="A53" t="s">
        <v>33</v>
      </c>
      <c r="B53" t="s">
        <v>296</v>
      </c>
      <c r="C53" t="s">
        <v>242</v>
      </c>
      <c r="D53" t="s">
        <v>235</v>
      </c>
    </row>
    <row r="54" spans="1:4" x14ac:dyDescent="0.35">
      <c r="A54" t="s">
        <v>297</v>
      </c>
      <c r="B54" t="s">
        <v>298</v>
      </c>
      <c r="C54" t="s">
        <v>254</v>
      </c>
      <c r="D54" t="s">
        <v>243</v>
      </c>
    </row>
    <row r="55" spans="1:4" x14ac:dyDescent="0.35">
      <c r="A55" t="s">
        <v>149</v>
      </c>
      <c r="B55" t="s">
        <v>299</v>
      </c>
      <c r="C55" t="s">
        <v>254</v>
      </c>
      <c r="D55" t="s">
        <v>235</v>
      </c>
    </row>
    <row r="56" spans="1:4" x14ac:dyDescent="0.35">
      <c r="A56" t="s">
        <v>166</v>
      </c>
      <c r="B56" t="s">
        <v>300</v>
      </c>
      <c r="C56" t="s">
        <v>254</v>
      </c>
      <c r="D56" t="s">
        <v>243</v>
      </c>
    </row>
    <row r="57" spans="1:4" x14ac:dyDescent="0.35">
      <c r="A57" t="s">
        <v>116</v>
      </c>
      <c r="B57" t="s">
        <v>301</v>
      </c>
      <c r="C57" t="s">
        <v>254</v>
      </c>
      <c r="D57" t="s">
        <v>235</v>
      </c>
    </row>
    <row r="58" spans="1:4" x14ac:dyDescent="0.35">
      <c r="A58" t="s">
        <v>209</v>
      </c>
      <c r="B58" t="s">
        <v>302</v>
      </c>
      <c r="C58" t="s">
        <v>242</v>
      </c>
      <c r="D58" t="s">
        <v>243</v>
      </c>
    </row>
    <row r="59" spans="1:4" x14ac:dyDescent="0.35">
      <c r="A59" t="s">
        <v>303</v>
      </c>
      <c r="B59" t="s">
        <v>276</v>
      </c>
      <c r="C59" t="s">
        <v>242</v>
      </c>
      <c r="D59" t="s">
        <v>235</v>
      </c>
    </row>
    <row r="60" spans="1:4" x14ac:dyDescent="0.35">
      <c r="A60" t="s">
        <v>72</v>
      </c>
      <c r="B60" t="s">
        <v>304</v>
      </c>
      <c r="C60" t="s">
        <v>238</v>
      </c>
      <c r="D60" t="s">
        <v>243</v>
      </c>
    </row>
    <row r="61" spans="1:4" x14ac:dyDescent="0.35">
      <c r="A61" t="s">
        <v>152</v>
      </c>
      <c r="B61" t="s">
        <v>296</v>
      </c>
      <c r="C61" t="s">
        <v>254</v>
      </c>
      <c r="D61" t="s">
        <v>243</v>
      </c>
    </row>
    <row r="62" spans="1:4" x14ac:dyDescent="0.35">
      <c r="A62" t="s">
        <v>305</v>
      </c>
      <c r="B62" t="s">
        <v>306</v>
      </c>
      <c r="C62" t="s">
        <v>234</v>
      </c>
      <c r="D62" t="s">
        <v>235</v>
      </c>
    </row>
    <row r="63" spans="1:4" x14ac:dyDescent="0.35">
      <c r="A63" t="s">
        <v>184</v>
      </c>
      <c r="B63" t="s">
        <v>307</v>
      </c>
      <c r="C63" t="s">
        <v>238</v>
      </c>
      <c r="D63" t="s">
        <v>243</v>
      </c>
    </row>
    <row r="64" spans="1:4" x14ac:dyDescent="0.35">
      <c r="A64" t="s">
        <v>51</v>
      </c>
      <c r="B64" t="s">
        <v>308</v>
      </c>
      <c r="C64" t="s">
        <v>234</v>
      </c>
      <c r="D64" t="s">
        <v>243</v>
      </c>
    </row>
    <row r="65" spans="1:4" x14ac:dyDescent="0.35">
      <c r="A65" t="s">
        <v>309</v>
      </c>
      <c r="B65" t="s">
        <v>310</v>
      </c>
      <c r="C65" t="s">
        <v>234</v>
      </c>
      <c r="D65" t="s">
        <v>235</v>
      </c>
    </row>
    <row r="66" spans="1:4" x14ac:dyDescent="0.35">
      <c r="A66" t="s">
        <v>122</v>
      </c>
      <c r="B66" t="s">
        <v>311</v>
      </c>
      <c r="C66" t="s">
        <v>234</v>
      </c>
      <c r="D66" t="s">
        <v>235</v>
      </c>
    </row>
    <row r="67" spans="1:4" x14ac:dyDescent="0.35">
      <c r="A67" t="s">
        <v>112</v>
      </c>
      <c r="B67" t="s">
        <v>312</v>
      </c>
      <c r="C67" t="s">
        <v>238</v>
      </c>
      <c r="D67" t="s">
        <v>239</v>
      </c>
    </row>
    <row r="68" spans="1:4" x14ac:dyDescent="0.35">
      <c r="A68" t="s">
        <v>313</v>
      </c>
      <c r="B68" t="s">
        <v>286</v>
      </c>
      <c r="C68" t="s">
        <v>242</v>
      </c>
      <c r="D68" t="s">
        <v>239</v>
      </c>
    </row>
    <row r="69" spans="1:4" x14ac:dyDescent="0.35">
      <c r="A69" t="s">
        <v>77</v>
      </c>
      <c r="B69" t="s">
        <v>314</v>
      </c>
      <c r="C69" t="s">
        <v>234</v>
      </c>
      <c r="D69" t="s">
        <v>239</v>
      </c>
    </row>
    <row r="70" spans="1:4" x14ac:dyDescent="0.35">
      <c r="A70" t="s">
        <v>24</v>
      </c>
      <c r="B70" t="s">
        <v>283</v>
      </c>
      <c r="C70" t="s">
        <v>242</v>
      </c>
      <c r="D70" t="s">
        <v>243</v>
      </c>
    </row>
    <row r="71" spans="1:4" x14ac:dyDescent="0.35">
      <c r="A71" t="s">
        <v>47</v>
      </c>
      <c r="B71" t="s">
        <v>315</v>
      </c>
      <c r="C71" t="s">
        <v>242</v>
      </c>
      <c r="D71" t="s">
        <v>235</v>
      </c>
    </row>
    <row r="72" spans="1:4" x14ac:dyDescent="0.35">
      <c r="A72" t="s">
        <v>39</v>
      </c>
      <c r="B72" t="s">
        <v>316</v>
      </c>
      <c r="C72" t="s">
        <v>234</v>
      </c>
      <c r="D72" t="s">
        <v>235</v>
      </c>
    </row>
    <row r="73" spans="1:4" x14ac:dyDescent="0.35">
      <c r="A73" t="s">
        <v>175</v>
      </c>
      <c r="B73" t="s">
        <v>269</v>
      </c>
      <c r="C73" t="s">
        <v>242</v>
      </c>
      <c r="D73" t="s">
        <v>243</v>
      </c>
    </row>
    <row r="74" spans="1:4" x14ac:dyDescent="0.35">
      <c r="A74" t="s">
        <v>86</v>
      </c>
      <c r="B74" t="s">
        <v>317</v>
      </c>
      <c r="C74" t="s">
        <v>242</v>
      </c>
      <c r="D74" t="s">
        <v>239</v>
      </c>
    </row>
    <row r="75" spans="1:4" x14ac:dyDescent="0.35">
      <c r="A75" t="s">
        <v>118</v>
      </c>
      <c r="B75" t="s">
        <v>318</v>
      </c>
      <c r="C75" t="s">
        <v>238</v>
      </c>
      <c r="D75" t="s">
        <v>239</v>
      </c>
    </row>
    <row r="76" spans="1:4" x14ac:dyDescent="0.35">
      <c r="A76" t="s">
        <v>319</v>
      </c>
      <c r="B76" t="s">
        <v>320</v>
      </c>
      <c r="C76" t="s">
        <v>242</v>
      </c>
      <c r="D76" t="s">
        <v>235</v>
      </c>
    </row>
    <row r="77" spans="1:4" x14ac:dyDescent="0.35">
      <c r="A77" t="s">
        <v>321</v>
      </c>
      <c r="B77" t="s">
        <v>322</v>
      </c>
      <c r="C77" t="s">
        <v>234</v>
      </c>
      <c r="D77" t="s">
        <v>243</v>
      </c>
    </row>
    <row r="78" spans="1:4" x14ac:dyDescent="0.35">
      <c r="A78" t="s">
        <v>323</v>
      </c>
      <c r="B78" t="s">
        <v>324</v>
      </c>
      <c r="C78" t="s">
        <v>234</v>
      </c>
      <c r="D78" t="s">
        <v>235</v>
      </c>
    </row>
    <row r="79" spans="1:4" x14ac:dyDescent="0.35">
      <c r="A79" t="s">
        <v>14</v>
      </c>
      <c r="B79" t="s">
        <v>325</v>
      </c>
      <c r="C79" t="s">
        <v>234</v>
      </c>
      <c r="D79" t="s">
        <v>235</v>
      </c>
    </row>
    <row r="80" spans="1:4" x14ac:dyDescent="0.35">
      <c r="A80" t="s">
        <v>326</v>
      </c>
      <c r="B80" t="s">
        <v>327</v>
      </c>
      <c r="C80" t="s">
        <v>242</v>
      </c>
      <c r="D80" t="s">
        <v>235</v>
      </c>
    </row>
    <row r="81" spans="1:4" x14ac:dyDescent="0.35">
      <c r="A81" t="s">
        <v>194</v>
      </c>
      <c r="B81" t="s">
        <v>328</v>
      </c>
      <c r="C81" t="s">
        <v>234</v>
      </c>
      <c r="D81" t="s">
        <v>243</v>
      </c>
    </row>
    <row r="82" spans="1:4" x14ac:dyDescent="0.35">
      <c r="A82" t="s">
        <v>217</v>
      </c>
      <c r="B82" t="s">
        <v>311</v>
      </c>
      <c r="C82" t="s">
        <v>242</v>
      </c>
      <c r="D82" t="s">
        <v>243</v>
      </c>
    </row>
    <row r="83" spans="1:4" x14ac:dyDescent="0.35">
      <c r="A83" t="s">
        <v>26</v>
      </c>
      <c r="B83" t="s">
        <v>261</v>
      </c>
      <c r="C83" t="s">
        <v>238</v>
      </c>
      <c r="D83" t="s">
        <v>235</v>
      </c>
    </row>
    <row r="84" spans="1:4" x14ac:dyDescent="0.35">
      <c r="A84" t="s">
        <v>329</v>
      </c>
      <c r="B84" t="s">
        <v>324</v>
      </c>
      <c r="C84" t="s">
        <v>234</v>
      </c>
      <c r="D84" t="s">
        <v>243</v>
      </c>
    </row>
    <row r="85" spans="1:4" x14ac:dyDescent="0.35">
      <c r="A85" t="s">
        <v>55</v>
      </c>
      <c r="B85" t="s">
        <v>299</v>
      </c>
      <c r="C85" t="s">
        <v>242</v>
      </c>
      <c r="D85" t="s">
        <v>243</v>
      </c>
    </row>
    <row r="86" spans="1:4" x14ac:dyDescent="0.35">
      <c r="A86" t="s">
        <v>228</v>
      </c>
      <c r="B86" t="s">
        <v>330</v>
      </c>
      <c r="C86" t="s">
        <v>238</v>
      </c>
      <c r="D86" t="s">
        <v>235</v>
      </c>
    </row>
    <row r="87" spans="1:4" x14ac:dyDescent="0.35">
      <c r="A87" t="s">
        <v>84</v>
      </c>
      <c r="B87" t="s">
        <v>331</v>
      </c>
      <c r="C87" t="s">
        <v>238</v>
      </c>
      <c r="D87" t="s">
        <v>243</v>
      </c>
    </row>
    <row r="88" spans="1:4" x14ac:dyDescent="0.35">
      <c r="A88" t="s">
        <v>129</v>
      </c>
      <c r="B88" t="s">
        <v>332</v>
      </c>
      <c r="C88" t="s">
        <v>242</v>
      </c>
      <c r="D88" t="s">
        <v>235</v>
      </c>
    </row>
    <row r="89" spans="1:4" x14ac:dyDescent="0.35">
      <c r="A89" t="s">
        <v>333</v>
      </c>
      <c r="B89" t="s">
        <v>296</v>
      </c>
      <c r="C89" t="s">
        <v>234</v>
      </c>
      <c r="D89" t="s">
        <v>235</v>
      </c>
    </row>
    <row r="90" spans="1:4" x14ac:dyDescent="0.35">
      <c r="A90" t="s">
        <v>334</v>
      </c>
      <c r="B90" t="s">
        <v>335</v>
      </c>
      <c r="C90" t="s">
        <v>254</v>
      </c>
      <c r="D90" t="s">
        <v>235</v>
      </c>
    </row>
    <row r="91" spans="1:4" x14ac:dyDescent="0.35">
      <c r="A91" t="s">
        <v>107</v>
      </c>
      <c r="B91" t="s">
        <v>286</v>
      </c>
      <c r="C91" t="s">
        <v>242</v>
      </c>
      <c r="D91" t="s">
        <v>239</v>
      </c>
    </row>
    <row r="92" spans="1:4" x14ac:dyDescent="0.35">
      <c r="A92" t="s">
        <v>18</v>
      </c>
      <c r="B92" t="s">
        <v>336</v>
      </c>
      <c r="C92" t="s">
        <v>234</v>
      </c>
      <c r="D92" t="s">
        <v>239</v>
      </c>
    </row>
    <row r="93" spans="1:4" x14ac:dyDescent="0.35">
      <c r="A93" t="s">
        <v>337</v>
      </c>
      <c r="B93" t="s">
        <v>338</v>
      </c>
      <c r="C93" t="s">
        <v>234</v>
      </c>
      <c r="D93" t="s">
        <v>243</v>
      </c>
    </row>
    <row r="94" spans="1:4" x14ac:dyDescent="0.35">
      <c r="A94" t="s">
        <v>43</v>
      </c>
      <c r="B94" t="s">
        <v>320</v>
      </c>
      <c r="C94" t="s">
        <v>238</v>
      </c>
      <c r="D94" t="s">
        <v>243</v>
      </c>
    </row>
    <row r="95" spans="1:4" x14ac:dyDescent="0.35">
      <c r="A95" t="s">
        <v>339</v>
      </c>
      <c r="B95" t="s">
        <v>269</v>
      </c>
      <c r="C95" t="s">
        <v>254</v>
      </c>
      <c r="D95" t="s">
        <v>243</v>
      </c>
    </row>
    <row r="96" spans="1:4" x14ac:dyDescent="0.35">
      <c r="A96" t="s">
        <v>1</v>
      </c>
      <c r="B96" t="s">
        <v>340</v>
      </c>
      <c r="C96" t="s">
        <v>238</v>
      </c>
      <c r="D96" t="s">
        <v>239</v>
      </c>
    </row>
    <row r="97" spans="1:4" x14ac:dyDescent="0.35">
      <c r="A97" t="s">
        <v>161</v>
      </c>
      <c r="B97" t="s">
        <v>341</v>
      </c>
      <c r="C97" t="s">
        <v>242</v>
      </c>
      <c r="D97" t="s">
        <v>243</v>
      </c>
    </row>
    <row r="98" spans="1:4" x14ac:dyDescent="0.35">
      <c r="A98" t="s">
        <v>35</v>
      </c>
      <c r="B98" t="s">
        <v>342</v>
      </c>
      <c r="C98" t="s">
        <v>234</v>
      </c>
      <c r="D98" t="s">
        <v>239</v>
      </c>
    </row>
    <row r="99" spans="1:4" x14ac:dyDescent="0.35">
      <c r="A99" t="s">
        <v>11</v>
      </c>
      <c r="B99" t="s">
        <v>343</v>
      </c>
      <c r="C99" t="s">
        <v>254</v>
      </c>
      <c r="D99" t="s">
        <v>239</v>
      </c>
    </row>
    <row r="100" spans="1:4" x14ac:dyDescent="0.35">
      <c r="A100" t="s">
        <v>96</v>
      </c>
      <c r="B100" t="s">
        <v>344</v>
      </c>
      <c r="C100" t="s">
        <v>238</v>
      </c>
      <c r="D100" t="s">
        <v>239</v>
      </c>
    </row>
    <row r="101" spans="1:4" x14ac:dyDescent="0.35">
      <c r="A101" t="s">
        <v>345</v>
      </c>
      <c r="B101" t="s">
        <v>346</v>
      </c>
      <c r="C101" t="s">
        <v>234</v>
      </c>
      <c r="D101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orders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Patlan</dc:creator>
  <cp:lastModifiedBy>Anjali Patlan</cp:lastModifiedBy>
  <dcterms:created xsi:type="dcterms:W3CDTF">2026-07-22T06:30:57Z</dcterms:created>
  <dcterms:modified xsi:type="dcterms:W3CDTF">2026-07-22T07:29:25Z</dcterms:modified>
</cp:coreProperties>
</file>