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Task1_Maincrafts\task2\"/>
    </mc:Choice>
  </mc:AlternateContent>
  <xr:revisionPtr revIDLastSave="0" documentId="8_{425892A4-328B-4912-BC8A-3354E44E0424}" xr6:coauthVersionLast="47" xr6:coauthVersionMax="47" xr10:uidLastSave="{00000000-0000-0000-0000-000000000000}"/>
  <bookViews>
    <workbookView xWindow="-110" yWindow="-110" windowWidth="19420" windowHeight="10420" firstSheet="1" activeTab="3" xr2:uid="{1DABA462-6BB2-4E50-914C-33E08560FFE1}"/>
  </bookViews>
  <sheets>
    <sheet name="Sheet5" sheetId="9" r:id="rId1"/>
    <sheet name="sample_sales_data_150_rows" sheetId="1" r:id="rId2"/>
    <sheet name="Tables" sheetId="10" r:id="rId3"/>
    <sheet name="Metrices" sheetId="11" r:id="rId4"/>
    <sheet name="Customer " sheetId="2" r:id="rId5"/>
  </sheets>
  <definedNames>
    <definedName name="_xlcn.WorksheetConnection_order_data_150_rows.xlsxCustomer1" hidden="1">Customer[]</definedName>
    <definedName name="_xlcn.WorksheetConnection_order_data_150_rows.xlsxOrders1" hidden="1">Orders[]</definedName>
    <definedName name="_xlcn.WorksheetConnection_sample_sales_data_150_rowsA1H1511" hidden="1">sample_sales_data_150_rows!$A$1:$H$151</definedName>
  </definedNames>
  <calcPr calcId="191029"/>
  <pivotCaches>
    <pivotCache cacheId="275" r:id="rId6"/>
    <pivotCache cacheId="277" r:id="rId7"/>
    <pivotCache cacheId="278" r:id="rId8"/>
    <pivotCache cacheId="279" r:id="rId9"/>
    <pivotCache cacheId="280" r:id="rId10"/>
    <pivotCache cacheId="281" r:id="rId11"/>
    <pivotCache cacheId="282" r:id="rId12"/>
    <pivotCache cacheId="283" r:id="rId13"/>
    <pivotCache cacheId="284" r:id="rId14"/>
    <pivotCache cacheId="323" r:id="rId15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ample_sales_data_150_rows!$A$1:$H$151"/>
          <x15:modelTable id="Customer" name="Customer" connection="WorksheetConnection_order_data_150_rows.xlsx!Customer"/>
          <x15:modelTable id="Orders" name="Orders" connection="WorksheetConnection_order_data_150_rows.xlsx!Orders"/>
        </x15:modelTables>
        <x15:extLst>
          <ext xmlns:x16="http://schemas.microsoft.com/office/spreadsheetml/2014/11/main" uri="{9835A34E-60A6-4A7C-AAB8-D5F71C897F49}">
            <x16:modelTimeGroupings>
              <x16:modelTimeGrouping tableName="Orders" columnName="Order Date" columnId="Order Date"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3F4DD2-8EEE-49E6-AF71-A4C1020B9BA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949E663-4669-4C04-91B6-D4FFD3E69FA5}" name="WorksheetConnection_order_data_150_rows.xlsx!Customer" type="102" refreshedVersion="8" minRefreshableVersion="5">
    <extLst>
      <ext xmlns:x15="http://schemas.microsoft.com/office/spreadsheetml/2010/11/main" uri="{DE250136-89BD-433C-8126-D09CA5730AF9}">
        <x15:connection id="Customer">
          <x15:rangePr sourceName="_xlcn.WorksheetConnection_order_data_150_rows.xlsxCustomer1"/>
        </x15:connection>
      </ext>
    </extLst>
  </connection>
  <connection id="3" xr16:uid="{40D101A9-238E-485C-858A-C5F8DBDDB6BD}" name="WorksheetConnection_order_data_150_rows.xlsx!Orders" type="102" refreshedVersion="8" minRefreshableVersion="5">
    <extLst>
      <ext xmlns:x15="http://schemas.microsoft.com/office/spreadsheetml/2010/11/main" uri="{DE250136-89BD-433C-8126-D09CA5730AF9}">
        <x15:connection id="Orders">
          <x15:rangePr sourceName="_xlcn.WorksheetConnection_order_data_150_rows.xlsxOrders1"/>
        </x15:connection>
      </ext>
    </extLst>
  </connection>
  <connection id="4" xr16:uid="{85D29921-C852-4755-BA64-5D276FDA2997}" name="WorksheetConnection_sample_sales_data_150_rows!$A$1:$H$15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ample_sales_data_150_rowsA1H1511"/>
        </x15:connection>
      </ext>
    </extLst>
  </connection>
</connections>
</file>

<file path=xl/sharedStrings.xml><?xml version="1.0" encoding="utf-8"?>
<sst xmlns="http://schemas.openxmlformats.org/spreadsheetml/2006/main" count="929" uniqueCount="377">
  <si>
    <t>Order ID</t>
  </si>
  <si>
    <t>Order Date</t>
  </si>
  <si>
    <t>Customer ID</t>
  </si>
  <si>
    <t>Product Category</t>
  </si>
  <si>
    <t>Sales</t>
  </si>
  <si>
    <t>Quantity</t>
  </si>
  <si>
    <t>Profit</t>
  </si>
  <si>
    <t>Discount</t>
  </si>
  <si>
    <t>ORD10001</t>
  </si>
  <si>
    <t>CUST1094</t>
  </si>
  <si>
    <t>Furniture</t>
  </si>
  <si>
    <t>ORD10002</t>
  </si>
  <si>
    <t>CUST1004</t>
  </si>
  <si>
    <t>ORD10003</t>
  </si>
  <si>
    <t>CUST1025</t>
  </si>
  <si>
    <t>Technology</t>
  </si>
  <si>
    <t>ORD10004</t>
  </si>
  <si>
    <t>CUST1035</t>
  </si>
  <si>
    <t>ORD10005</t>
  </si>
  <si>
    <t>CUST1097</t>
  </si>
  <si>
    <t>Office Supplies</t>
  </si>
  <si>
    <t>ORD10006</t>
  </si>
  <si>
    <t>CUST1077</t>
  </si>
  <si>
    <t>ORD10007</t>
  </si>
  <si>
    <t>CUST1048</t>
  </si>
  <si>
    <t>ORD10008</t>
  </si>
  <si>
    <t>CUST1090</t>
  </si>
  <si>
    <t>ORD10009</t>
  </si>
  <si>
    <t>CUST1012</t>
  </si>
  <si>
    <t>ORD10010</t>
  </si>
  <si>
    <t>CUST1026</t>
  </si>
  <si>
    <t>ORD10011</t>
  </si>
  <si>
    <t>CUST1068</t>
  </si>
  <si>
    <t>ORD10012</t>
  </si>
  <si>
    <t>CUST1081</t>
  </si>
  <si>
    <t>ORD10013</t>
  </si>
  <si>
    <t>ORD10014</t>
  </si>
  <si>
    <t>CUST1040</t>
  </si>
  <si>
    <t>ORD10015</t>
  </si>
  <si>
    <t>CUST1031</t>
  </si>
  <si>
    <t>ORD10016</t>
  </si>
  <si>
    <t>CUST1051</t>
  </si>
  <si>
    <t>ORD10017</t>
  </si>
  <si>
    <t>CUST1096</t>
  </si>
  <si>
    <t>ORD10018</t>
  </si>
  <si>
    <t>CUST1008</t>
  </si>
  <si>
    <t>ORD10019</t>
  </si>
  <si>
    <t>CUST1070</t>
  </si>
  <si>
    <t>ORD10020</t>
  </si>
  <si>
    <t>CUST1043</t>
  </si>
  <si>
    <t>ORD10021</t>
  </si>
  <si>
    <t>CUST1092</t>
  </si>
  <si>
    <t>ORD10022</t>
  </si>
  <si>
    <t>CUST1038</t>
  </si>
  <si>
    <t>ORD10023</t>
  </si>
  <si>
    <t>CUST1069</t>
  </si>
  <si>
    <t>ORD10024</t>
  </si>
  <si>
    <t>CUST1046</t>
  </si>
  <si>
    <t>ORD10025</t>
  </si>
  <si>
    <t>CUST1062</t>
  </si>
  <si>
    <t>ORD10026</t>
  </si>
  <si>
    <t>ORD10027</t>
  </si>
  <si>
    <t>ORD10028</t>
  </si>
  <si>
    <t>CUST1083</t>
  </si>
  <si>
    <t>ORD10029</t>
  </si>
  <si>
    <t>ORD10030</t>
  </si>
  <si>
    <t>CUST1009</t>
  </si>
  <si>
    <t>ORD10031</t>
  </si>
  <si>
    <t>ORD10032</t>
  </si>
  <si>
    <t>ORD10033</t>
  </si>
  <si>
    <t>ORD10034</t>
  </si>
  <si>
    <t>CUST1006</t>
  </si>
  <si>
    <t>ORD10035</t>
  </si>
  <si>
    <t>ORD10036</t>
  </si>
  <si>
    <t>CUST1023</t>
  </si>
  <si>
    <t>ORD10037</t>
  </si>
  <si>
    <t>ORD10038</t>
  </si>
  <si>
    <t>ORD10039</t>
  </si>
  <si>
    <t>CUST1007</t>
  </si>
  <si>
    <t>ORD10040</t>
  </si>
  <si>
    <t>CUST1058</t>
  </si>
  <si>
    <t>ORD10041</t>
  </si>
  <si>
    <t>CUST1019</t>
  </si>
  <si>
    <t>ORD10042</t>
  </si>
  <si>
    <t>ORD10043</t>
  </si>
  <si>
    <t>CUST1067</t>
  </si>
  <si>
    <t>ORD10044</t>
  </si>
  <si>
    <t>ORD10045</t>
  </si>
  <si>
    <t>CUST1005</t>
  </si>
  <si>
    <t>ORD10046</t>
  </si>
  <si>
    <t>CUST1033</t>
  </si>
  <si>
    <t>ORD10047</t>
  </si>
  <si>
    <t>CUST1085</t>
  </si>
  <si>
    <t>ORD10048</t>
  </si>
  <si>
    <t>CUST1072</t>
  </si>
  <si>
    <t>ORD10049</t>
  </si>
  <si>
    <t>CUST1044</t>
  </si>
  <si>
    <t>ORD10050</t>
  </si>
  <si>
    <t>ORD10051</t>
  </si>
  <si>
    <t>ORD10052</t>
  </si>
  <si>
    <t>CUST1013</t>
  </si>
  <si>
    <t>ORD10053</t>
  </si>
  <si>
    <t>ORD10054</t>
  </si>
  <si>
    <t>ORD10055</t>
  </si>
  <si>
    <t>CUST1098</t>
  </si>
  <si>
    <t>ORD10056</t>
  </si>
  <si>
    <t>ORD10057</t>
  </si>
  <si>
    <t>ORD10058</t>
  </si>
  <si>
    <t>CUST1039</t>
  </si>
  <si>
    <t>ORD10059</t>
  </si>
  <si>
    <t>ORD10060</t>
  </si>
  <si>
    <t>CUST1030</t>
  </si>
  <si>
    <t>ORD10061</t>
  </si>
  <si>
    <t>CUST1042</t>
  </si>
  <si>
    <t>ORD10062</t>
  </si>
  <si>
    <t>CUST1089</t>
  </si>
  <si>
    <t>ORD10063</t>
  </si>
  <si>
    <t>ORD10064</t>
  </si>
  <si>
    <t>CUST1024</t>
  </si>
  <si>
    <t>ORD10065</t>
  </si>
  <si>
    <t>CUST1065</t>
  </si>
  <si>
    <t>ORD10066</t>
  </si>
  <si>
    <t>CUST1014</t>
  </si>
  <si>
    <t>ORD10067</t>
  </si>
  <si>
    <t>CUST1055</t>
  </si>
  <si>
    <t>ORD10068</t>
  </si>
  <si>
    <t>CUST1073</t>
  </si>
  <si>
    <t>ORD10069</t>
  </si>
  <si>
    <t>ORD10070</t>
  </si>
  <si>
    <t>ORD10071</t>
  </si>
  <si>
    <t>CUST1064</t>
  </si>
  <si>
    <t>ORD10072</t>
  </si>
  <si>
    <t>CUST1016</t>
  </si>
  <si>
    <t>ORD10073</t>
  </si>
  <si>
    <t>CUST1022</t>
  </si>
  <si>
    <t>ORD10074</t>
  </si>
  <si>
    <t>ORD10075</t>
  </si>
  <si>
    <t>CUST1086</t>
  </si>
  <si>
    <t>ORD10076</t>
  </si>
  <si>
    <t>ORD10077</t>
  </si>
  <si>
    <t>CUST1028</t>
  </si>
  <si>
    <t>ORD10078</t>
  </si>
  <si>
    <t>ORD10079</t>
  </si>
  <si>
    <t>CUST1049</t>
  </si>
  <si>
    <t>ORD10080</t>
  </si>
  <si>
    <t>ORD10081</t>
  </si>
  <si>
    <t>CUST1015</t>
  </si>
  <si>
    <t>ORD10082</t>
  </si>
  <si>
    <t>ORD10083</t>
  </si>
  <si>
    <t>ORD10084</t>
  </si>
  <si>
    <t>ORD10085</t>
  </si>
  <si>
    <t>ORD10086</t>
  </si>
  <si>
    <t>ORD10087</t>
  </si>
  <si>
    <t>CUST1027</t>
  </si>
  <si>
    <t>ORD10088</t>
  </si>
  <si>
    <t>ORD10089</t>
  </si>
  <si>
    <t>ORD10090</t>
  </si>
  <si>
    <t>CUST1053</t>
  </si>
  <si>
    <t>ORD10091</t>
  </si>
  <si>
    <t>ORD10092</t>
  </si>
  <si>
    <t>CUST1059</t>
  </si>
  <si>
    <t>ORD10093</t>
  </si>
  <si>
    <t>CUST1003</t>
  </si>
  <si>
    <t>ORD10094</t>
  </si>
  <si>
    <t>ORD10095</t>
  </si>
  <si>
    <t>ORD10096</t>
  </si>
  <si>
    <t>ORD10097</t>
  </si>
  <si>
    <t>ORD10098</t>
  </si>
  <si>
    <t>ORD10099</t>
  </si>
  <si>
    <t>CUST1095</t>
  </si>
  <si>
    <t>ORD10100</t>
  </si>
  <si>
    <t>ORD10101</t>
  </si>
  <si>
    <t>ORD10102</t>
  </si>
  <si>
    <t>ORD10103</t>
  </si>
  <si>
    <t>CUST1054</t>
  </si>
  <si>
    <t>ORD10104</t>
  </si>
  <si>
    <t>ORD10105</t>
  </si>
  <si>
    <t>ORD10106</t>
  </si>
  <si>
    <t>ORD10107</t>
  </si>
  <si>
    <t>ORD10108</t>
  </si>
  <si>
    <t>ORD10109</t>
  </si>
  <si>
    <t>CUST1045</t>
  </si>
  <si>
    <t>ORD10110</t>
  </si>
  <si>
    <t>CUST1071</t>
  </si>
  <si>
    <t>ORD10111</t>
  </si>
  <si>
    <t>ORD10112</t>
  </si>
  <si>
    <t>CUST1011</t>
  </si>
  <si>
    <t>ORD10113</t>
  </si>
  <si>
    <t>CUST1047</t>
  </si>
  <si>
    <t>ORD10114</t>
  </si>
  <si>
    <t>ORD10115</t>
  </si>
  <si>
    <t>ORD10116</t>
  </si>
  <si>
    <t>CUST1061</t>
  </si>
  <si>
    <t>ORD10117</t>
  </si>
  <si>
    <t>ORD10118</t>
  </si>
  <si>
    <t>ORD10119</t>
  </si>
  <si>
    <t>ORD10120</t>
  </si>
  <si>
    <t>ORD10121</t>
  </si>
  <si>
    <t>ORD10122</t>
  </si>
  <si>
    <t>ORD10123</t>
  </si>
  <si>
    <t>ORD10124</t>
  </si>
  <si>
    <t>ORD10125</t>
  </si>
  <si>
    <t>CUST1079</t>
  </si>
  <si>
    <t>ORD10126</t>
  </si>
  <si>
    <t>ORD10127</t>
  </si>
  <si>
    <t>CUST1000</t>
  </si>
  <si>
    <t>ORD10128</t>
  </si>
  <si>
    <t>CUST1036</t>
  </si>
  <si>
    <t>ORD10129</t>
  </si>
  <si>
    <t>ORD10130</t>
  </si>
  <si>
    <t>ORD10131</t>
  </si>
  <si>
    <t>ORD10132</t>
  </si>
  <si>
    <t>ORD10133</t>
  </si>
  <si>
    <t>CUST1010</t>
  </si>
  <si>
    <t>ORD10134</t>
  </si>
  <si>
    <t>ORD10135</t>
  </si>
  <si>
    <t>ORD10136</t>
  </si>
  <si>
    <t>CUST1056</t>
  </si>
  <si>
    <t>ORD10137</t>
  </si>
  <si>
    <t>ORD10138</t>
  </si>
  <si>
    <t>CUST1020</t>
  </si>
  <si>
    <t>ORD10139</t>
  </si>
  <si>
    <t>ORD10140</t>
  </si>
  <si>
    <t>ORD10141</t>
  </si>
  <si>
    <t>ORD10142</t>
  </si>
  <si>
    <t>CUST1080</t>
  </si>
  <si>
    <t>ORD10143</t>
  </si>
  <si>
    <t>ORD10144</t>
  </si>
  <si>
    <t>ORD10145</t>
  </si>
  <si>
    <t>ORD10146</t>
  </si>
  <si>
    <t>CUST1037</t>
  </si>
  <si>
    <t>ORD10147</t>
  </si>
  <si>
    <t>ORD10148</t>
  </si>
  <si>
    <t>CUST1017</t>
  </si>
  <si>
    <t>ORD10149</t>
  </si>
  <si>
    <t>ORD10150</t>
  </si>
  <si>
    <t>CUST1084</t>
  </si>
  <si>
    <t>Customer Name</t>
  </si>
  <si>
    <t>Region</t>
  </si>
  <si>
    <t>Segment</t>
  </si>
  <si>
    <t>Ishita Patel</t>
  </si>
  <si>
    <t>West</t>
  </si>
  <si>
    <t>Home Office</t>
  </si>
  <si>
    <t>CUST1001</t>
  </si>
  <si>
    <t>Vivaan Verma</t>
  </si>
  <si>
    <t>North</t>
  </si>
  <si>
    <t>Corporate</t>
  </si>
  <si>
    <t>CUST1002</t>
  </si>
  <si>
    <t>Vihaan Sharma</t>
  </si>
  <si>
    <t>South</t>
  </si>
  <si>
    <t>Consumer</t>
  </si>
  <si>
    <t>Aditya Joshi</t>
  </si>
  <si>
    <t>Rahul Verma</t>
  </si>
  <si>
    <t>Vihaan Verma</t>
  </si>
  <si>
    <t>Rahul Sharma</t>
  </si>
  <si>
    <t>Diya Patel</t>
  </si>
  <si>
    <t>Sneha Yadav</t>
  </si>
  <si>
    <t>Vihaan Patlan</t>
  </si>
  <si>
    <t>Anjali Yadav</t>
  </si>
  <si>
    <t>Vivaan Patlan</t>
  </si>
  <si>
    <t>Saanvi Joshi</t>
  </si>
  <si>
    <t>East</t>
  </si>
  <si>
    <t>Vihaan Kumar</t>
  </si>
  <si>
    <t>Rahul Patel</t>
  </si>
  <si>
    <t>Vihaan Gupta</t>
  </si>
  <si>
    <t>Meera Gupta</t>
  </si>
  <si>
    <t>CUST1018</t>
  </si>
  <si>
    <t>Rohan Joshi</t>
  </si>
  <si>
    <t>Priya Kumar</t>
  </si>
  <si>
    <t>Aditya Yadav</t>
  </si>
  <si>
    <t>CUST1021</t>
  </si>
  <si>
    <t>Arjun Patlan</t>
  </si>
  <si>
    <t>Meera Verma</t>
  </si>
  <si>
    <t>Aisha Verma</t>
  </si>
  <si>
    <t>Sneha Patlan</t>
  </si>
  <si>
    <t>Kabir Mehta</t>
  </si>
  <si>
    <t>Arjun Patel</t>
  </si>
  <si>
    <t>Vivaan Singh</t>
  </si>
  <si>
    <t>Rahul Joshi</t>
  </si>
  <si>
    <t>CUST1029</t>
  </si>
  <si>
    <t>Aditya Patel</t>
  </si>
  <si>
    <t>Saanvi Gupta</t>
  </si>
  <si>
    <t>CUST1032</t>
  </si>
  <si>
    <t>Kabir Singh</t>
  </si>
  <si>
    <t>Riya Patel</t>
  </si>
  <si>
    <t>CUST1034</t>
  </si>
  <si>
    <t>Riya Gupta</t>
  </si>
  <si>
    <t>Priya Joshi</t>
  </si>
  <si>
    <t>Vihaan Mehta</t>
  </si>
  <si>
    <t>Rohan Patlan</t>
  </si>
  <si>
    <t>Kabir Verma</t>
  </si>
  <si>
    <t>CUST1041</t>
  </si>
  <si>
    <t>Kabir Sharma</t>
  </si>
  <si>
    <t>Neha Kumar</t>
  </si>
  <si>
    <t>Ishita Patlan</t>
  </si>
  <si>
    <t>Aarav Patlan</t>
  </si>
  <si>
    <t>Anjali Mehta</t>
  </si>
  <si>
    <t>Neha Patlan</t>
  </si>
  <si>
    <t>Karan Mehta</t>
  </si>
  <si>
    <t>Anjali Verma</t>
  </si>
  <si>
    <t>Aisha Kumar</t>
  </si>
  <si>
    <t>CUST1050</t>
  </si>
  <si>
    <t>Priya Verma</t>
  </si>
  <si>
    <t>Karan Kumar</t>
  </si>
  <si>
    <t>CUST1052</t>
  </si>
  <si>
    <t>Aarav Singh</t>
  </si>
  <si>
    <t>Saanvi Sharma</t>
  </si>
  <si>
    <t>Aditya Gupta</t>
  </si>
  <si>
    <t>Arjun Singh</t>
  </si>
  <si>
    <t>Rahul Patlan</t>
  </si>
  <si>
    <t>CUST1057</t>
  </si>
  <si>
    <t>Aisha Mehta</t>
  </si>
  <si>
    <t>CUST1060</t>
  </si>
  <si>
    <t>Ananya Mehta</t>
  </si>
  <si>
    <t>Arjun Mehta</t>
  </si>
  <si>
    <t>Anjali Singh</t>
  </si>
  <si>
    <t>CUST1063</t>
  </si>
  <si>
    <t>Ishita Singh</t>
  </si>
  <si>
    <t>Ananya Sharma</t>
  </si>
  <si>
    <t>Arjun Verma</t>
  </si>
  <si>
    <t>CUST1066</t>
  </si>
  <si>
    <t>Ishita Verma</t>
  </si>
  <si>
    <t>Priya Sharma</t>
  </si>
  <si>
    <t>Meera Patel</t>
  </si>
  <si>
    <t>Aarav Verma</t>
  </si>
  <si>
    <t>Neha Singh</t>
  </si>
  <si>
    <t>CUST1074</t>
  </si>
  <si>
    <t>Neha Gupta</t>
  </si>
  <si>
    <t>CUST1075</t>
  </si>
  <si>
    <t>Ishita Gupta</t>
  </si>
  <si>
    <t>CUST1076</t>
  </si>
  <si>
    <t>Vivaan Mehta</t>
  </si>
  <si>
    <t>Vihaan Yadav</t>
  </si>
  <si>
    <t>CUST1078</t>
  </si>
  <si>
    <t>Priya Yadav</t>
  </si>
  <si>
    <t>Rohan Sharma</t>
  </si>
  <si>
    <t>CUST1082</t>
  </si>
  <si>
    <t>Karan Sharma</t>
  </si>
  <si>
    <t>Meera Yadav</t>
  </si>
  <si>
    <t>Meera Mehta</t>
  </si>
  <si>
    <t>CUST1087</t>
  </si>
  <si>
    <t>CUST1088</t>
  </si>
  <si>
    <t>Rahul Yadav</t>
  </si>
  <si>
    <t>Anjali Joshi</t>
  </si>
  <si>
    <t>CUST1091</t>
  </si>
  <si>
    <t>Aditya Singh</t>
  </si>
  <si>
    <t>CUST1093</t>
  </si>
  <si>
    <t>Meera Singh</t>
  </si>
  <si>
    <t>Aisha Patel</t>
  </si>
  <si>
    <t>Diya Yadav</t>
  </si>
  <si>
    <t>Diya Singh</t>
  </si>
  <si>
    <t>Aditya Mehta</t>
  </si>
  <si>
    <t>CUST1099</t>
  </si>
  <si>
    <t>Saanvi Kumar</t>
  </si>
  <si>
    <t>Sum of Sales</t>
  </si>
  <si>
    <t>Column Labels</t>
  </si>
  <si>
    <t>Grand Total</t>
  </si>
  <si>
    <t>Row Labels</t>
  </si>
  <si>
    <t>Sum of Profit</t>
  </si>
  <si>
    <t>Total Sum of Profit</t>
  </si>
  <si>
    <t>Total Sum of Sales</t>
  </si>
  <si>
    <t xml:space="preserve">Total Sales </t>
  </si>
  <si>
    <t>Profit Margin</t>
  </si>
  <si>
    <t xml:space="preserve">Average Order Value 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</si>
  <si>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</si>
  <si>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</si>
  <si>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</si>
  <si>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</si>
  <si>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</si>
  <si>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</si>
  <si>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</si>
  <si>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</si>
  <si>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</si>
  <si>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</si>
  <si>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</si>
  <si>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</si>
  <si>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Total Profit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</si>
</sst>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0" fillId="0" borderId="0" xfId="0" pivotButton="1"/>
    <xf numFmtId="2" fontId="0" fillId="0" borderId="0" xfId="0" applyNumberFormat="1"/>
    <xf numFmtId="0" fontId="0" fillId="0" borderId="0" xfId="0" applyNumberFormat="1"/>
    <xf numFmtId="0" fontId="0" fillId="0" borderId="0" xfId="0" applyAlignment="1">
      <alignment horizontal="left"/>
    </xf>
    <xf numFmtId="0" fontId="18" fillId="0" borderId="0" xfId="0" applyFont="1" applyAlignment="1">
      <alignment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dd/mm/yyyy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pivotCacheDefinition" Target="pivotCache/pivotCacheDefinition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7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0.xml"/><Relationship Id="rId10" Type="http://schemas.openxmlformats.org/officeDocument/2006/relationships/pivotCacheDefinition" Target="pivotCache/pivotCacheDefinition5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ivotCacheDefinition" Target="pivotCache/pivotCacheDefinition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Analysis Excel.xlsx]Tables!PivotTable6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Tables!$A$7:$A$9</c:f>
              <c:strCache>
                <c:ptCount val="1"/>
                <c:pt idx="0">
                  <c:v>Furniture - 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Tables!$A$10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Tables!$A$10</c:f>
              <c:numCache>
                <c:formatCode>General</c:formatCode>
                <c:ptCount val="1"/>
                <c:pt idx="0">
                  <c:v>6540.37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CB-4673-9CE2-952D3AC2C90E}"/>
            </c:ext>
          </c:extLst>
        </c:ser>
        <c:ser>
          <c:idx val="1"/>
          <c:order val="1"/>
          <c:tx>
            <c:strRef>
              <c:f>Tables!$B$7:$B$9</c:f>
              <c:strCache>
                <c:ptCount val="1"/>
                <c:pt idx="0">
                  <c:v>Furniture - 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Tables!$A$10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Tables!$B$10</c:f>
              <c:numCache>
                <c:formatCode>General</c:formatCode>
                <c:ptCount val="1"/>
                <c:pt idx="0">
                  <c:v>46822.31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CB-4673-9CE2-952D3AC2C90E}"/>
            </c:ext>
          </c:extLst>
        </c:ser>
        <c:ser>
          <c:idx val="2"/>
          <c:order val="2"/>
          <c:tx>
            <c:strRef>
              <c:f>Tables!$C$7:$C$9</c:f>
              <c:strCache>
                <c:ptCount val="1"/>
                <c:pt idx="0">
                  <c:v>Office Supplies - Sum of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Tables!$A$10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Tables!$C$10</c:f>
              <c:numCache>
                <c:formatCode>General</c:formatCode>
                <c:ptCount val="1"/>
                <c:pt idx="0">
                  <c:v>8550.59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CB-4673-9CE2-952D3AC2C90E}"/>
            </c:ext>
          </c:extLst>
        </c:ser>
        <c:ser>
          <c:idx val="3"/>
          <c:order val="3"/>
          <c:tx>
            <c:strRef>
              <c:f>Tables!$D$7:$D$9</c:f>
              <c:strCache>
                <c:ptCount val="1"/>
                <c:pt idx="0">
                  <c:v>Office Supplies - Sum of 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Tables!$A$10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Tables!$D$10</c:f>
              <c:numCache>
                <c:formatCode>General</c:formatCode>
                <c:ptCount val="1"/>
                <c:pt idx="0">
                  <c:v>60431.78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CB-4673-9CE2-952D3AC2C90E}"/>
            </c:ext>
          </c:extLst>
        </c:ser>
        <c:ser>
          <c:idx val="4"/>
          <c:order val="4"/>
          <c:tx>
            <c:strRef>
              <c:f>Tables!$E$7:$E$9</c:f>
              <c:strCache>
                <c:ptCount val="1"/>
                <c:pt idx="0">
                  <c:v>Technology - Sum of Profit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Tables!$A$10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Tables!$E$10</c:f>
              <c:numCache>
                <c:formatCode>General</c:formatCode>
                <c:ptCount val="1"/>
                <c:pt idx="0">
                  <c:v>7323.47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4CB-4673-9CE2-952D3AC2C90E}"/>
            </c:ext>
          </c:extLst>
        </c:ser>
        <c:ser>
          <c:idx val="5"/>
          <c:order val="5"/>
          <c:tx>
            <c:strRef>
              <c:f>Tables!$F$7:$F$9</c:f>
              <c:strCache>
                <c:ptCount val="1"/>
                <c:pt idx="0">
                  <c:v>Technology - Sum of Sales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Tables!$A$10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Tables!$F$10</c:f>
              <c:numCache>
                <c:formatCode>General</c:formatCode>
                <c:ptCount val="1"/>
                <c:pt idx="0">
                  <c:v>51142.66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4CB-4673-9CE2-952D3AC2C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62814096"/>
        <c:axId val="1262813136"/>
      </c:barChart>
      <c:catAx>
        <c:axId val="126281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813136"/>
        <c:crosses val="autoZero"/>
        <c:auto val="1"/>
        <c:lblAlgn val="ctr"/>
        <c:lblOffset val="100"/>
        <c:noMultiLvlLbl val="0"/>
      </c:catAx>
      <c:valAx>
        <c:axId val="126281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81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Analysis Excel.xlsx]Tables!PivotTable7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Tables!$B$12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Tables!$A$13:$A$25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Tables!$B$13:$B$25</c:f>
              <c:numCache>
                <c:formatCode>General</c:formatCode>
                <c:ptCount val="12"/>
                <c:pt idx="0">
                  <c:v>0.13813079260002381</c:v>
                </c:pt>
                <c:pt idx="1">
                  <c:v>0.10083989507872221</c:v>
                </c:pt>
                <c:pt idx="2">
                  <c:v>0.14512849605148878</c:v>
                </c:pt>
                <c:pt idx="3">
                  <c:v>0.14210497158500721</c:v>
                </c:pt>
                <c:pt idx="4">
                  <c:v>0.1982407893535777</c:v>
                </c:pt>
                <c:pt idx="5">
                  <c:v>0.11046830491644057</c:v>
                </c:pt>
                <c:pt idx="6">
                  <c:v>9.028314159112158E-2</c:v>
                </c:pt>
                <c:pt idx="7">
                  <c:v>0.1162017976563417</c:v>
                </c:pt>
                <c:pt idx="8">
                  <c:v>0.17076696562419461</c:v>
                </c:pt>
                <c:pt idx="9">
                  <c:v>0.12884291949530507</c:v>
                </c:pt>
                <c:pt idx="10">
                  <c:v>0.16014067006446295</c:v>
                </c:pt>
                <c:pt idx="11">
                  <c:v>0.15670622851759461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D7-4BF3-9E2F-06FE4585D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6799072"/>
        <c:axId val="438504928"/>
      </c:lineChart>
      <c:catAx>
        <c:axId val="132679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504928"/>
        <c:crosses val="autoZero"/>
        <c:auto val="1"/>
        <c:lblAlgn val="ctr"/>
        <c:lblOffset val="100"/>
        <c:noMultiLvlLbl val="0"/>
      </c:catAx>
      <c:valAx>
        <c:axId val="43850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79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Analysis Excel.xlsx]Tables!PivotTable10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811308550586628"/>
          <c:y val="0.15337216616883023"/>
          <c:w val="0.72346587987477717"/>
          <c:h val="0.701985882631167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Tables!$E$19:$E$20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Tables!$D$21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Tables!$E$21</c:f>
              <c:numCache>
                <c:formatCode>General</c:formatCode>
                <c:ptCount val="1"/>
                <c:pt idx="0">
                  <c:v>0.21854439509026999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90-4539-B3E6-685FF0C639E0}"/>
            </c:ext>
          </c:extLst>
        </c:ser>
        <c:ser>
          <c:idx val="1"/>
          <c:order val="1"/>
          <c:tx>
            <c:strRef>
              <c:f>Tables!$F$19:$F$20</c:f>
              <c:strCache>
                <c:ptCount val="1"/>
                <c:pt idx="0">
                  <c:v>0.05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Tables!$D$21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Tables!$F$21</c:f>
              <c:numCache>
                <c:formatCode>General</c:formatCode>
                <c:ptCount val="1"/>
                <c:pt idx="0">
                  <c:v>0.16897772510292086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90-4539-B3E6-685FF0C639E0}"/>
            </c:ext>
          </c:extLst>
        </c:ser>
        <c:ser>
          <c:idx val="2"/>
          <c:order val="2"/>
          <c:tx>
            <c:strRef>
              <c:f>Tables!$G$19:$G$20</c:f>
              <c:strCache>
                <c:ptCount val="1"/>
                <c:pt idx="0">
                  <c:v>0.1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Tables!$D$21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Tables!$G$21</c:f>
              <c:numCache>
                <c:formatCode>General</c:formatCode>
                <c:ptCount val="1"/>
                <c:pt idx="0">
                  <c:v>0.14012658641750012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90-4539-B3E6-685FF0C639E0}"/>
            </c:ext>
          </c:extLst>
        </c:ser>
        <c:ser>
          <c:idx val="3"/>
          <c:order val="3"/>
          <c:tx>
            <c:strRef>
              <c:f>Tables!$H$19:$H$20</c:f>
              <c:strCache>
                <c:ptCount val="1"/>
                <c:pt idx="0">
                  <c:v>0.15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Tables!$D$21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Tables!$H$21</c:f>
              <c:numCache>
                <c:formatCode>General</c:formatCode>
                <c:ptCount val="1"/>
                <c:pt idx="0">
                  <c:v>0.14225747172376116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90-4539-B3E6-685FF0C639E0}"/>
            </c:ext>
          </c:extLst>
        </c:ser>
        <c:ser>
          <c:idx val="4"/>
          <c:order val="4"/>
          <c:tx>
            <c:strRef>
              <c:f>Tables!$I$19:$I$20</c:f>
              <c:strCache>
                <c:ptCount val="1"/>
                <c:pt idx="0">
                  <c:v>0.2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Tables!$D$21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Tables!$I$21</c:f>
              <c:numCache>
                <c:formatCode>General</c:formatCode>
                <c:ptCount val="1"/>
                <c:pt idx="0">
                  <c:v>0.10623835105799802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90-4539-B3E6-685FF0C639E0}"/>
            </c:ext>
          </c:extLst>
        </c:ser>
        <c:ser>
          <c:idx val="5"/>
          <c:order val="5"/>
          <c:tx>
            <c:strRef>
              <c:f>Tables!$J$19:$J$20</c:f>
              <c:strCache>
                <c:ptCount val="1"/>
                <c:pt idx="0">
                  <c:v>0.3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Tables!$D$21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Tables!$J$21</c:f>
              <c:numCache>
                <c:formatCode>General</c:formatCode>
                <c:ptCount val="1"/>
                <c:pt idx="0">
                  <c:v>4.8509340111262726E-2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490-4539-B3E6-685FF0C63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1504416"/>
        <c:axId val="441502496"/>
      </c:barChart>
      <c:catAx>
        <c:axId val="44150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502496"/>
        <c:crosses val="autoZero"/>
        <c:auto val="1"/>
        <c:lblAlgn val="ctr"/>
        <c:lblOffset val="100"/>
        <c:noMultiLvlLbl val="0"/>
      </c:catAx>
      <c:valAx>
        <c:axId val="44150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50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Analysis Excel.xlsx]Tables!PivotTable11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Tables!$E$24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Tables!$D$25:$D$37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Tables!$E$25:$E$37</c:f>
              <c:numCache>
                <c:formatCode>General</c:formatCode>
                <c:ptCount val="12"/>
                <c:pt idx="0">
                  <c:v>1158.4207142857142</c:v>
                </c:pt>
                <c:pt idx="1">
                  <c:v>800.21899999999994</c:v>
                </c:pt>
                <c:pt idx="2">
                  <c:v>1195.134</c:v>
                </c:pt>
                <c:pt idx="3">
                  <c:v>1444.0733333333335</c:v>
                </c:pt>
                <c:pt idx="4">
                  <c:v>906.8461111111111</c:v>
                </c:pt>
                <c:pt idx="5">
                  <c:v>689.82833333333338</c:v>
                </c:pt>
                <c:pt idx="6">
                  <c:v>983.96</c:v>
                </c:pt>
                <c:pt idx="7">
                  <c:v>1101.5135714285714</c:v>
                </c:pt>
                <c:pt idx="8">
                  <c:v>1245.9344444444444</c:v>
                </c:pt>
                <c:pt idx="9">
                  <c:v>1101.4575</c:v>
                </c:pt>
                <c:pt idx="10">
                  <c:v>1100.8535714285715</c:v>
                </c:pt>
                <c:pt idx="11">
                  <c:v>1165.4886666666669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B0-4FD6-B8E0-E9E29B928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447060928"/>
        <c:axId val="447069088"/>
      </c:lineChart>
      <c:catAx>
        <c:axId val="44706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069088"/>
        <c:crosses val="autoZero"/>
        <c:auto val="1"/>
        <c:lblAlgn val="ctr"/>
        <c:lblOffset val="100"/>
        <c:noMultiLvlLbl val="0"/>
      </c:catAx>
      <c:valAx>
        <c:axId val="447069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06092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Analysis Excel.xlsx]Tables!PivotTable5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Tables!$B$3:$B$4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Tables!$A$5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Tables!$B$5</c:f>
              <c:numCache>
                <c:formatCode>General</c:formatCode>
                <c:ptCount val="1"/>
                <c:pt idx="0">
                  <c:v>0.13968490661823391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FC-4DCA-BD57-B2F057F47767}"/>
            </c:ext>
          </c:extLst>
        </c:ser>
        <c:ser>
          <c:idx val="1"/>
          <c:order val="1"/>
          <c:tx>
            <c:strRef>
              <c:f>Tables!$C$3:$C$4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Tables!$A$5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Tables!$C$5</c:f>
              <c:numCache>
                <c:formatCode>General</c:formatCode>
                <c:ptCount val="1"/>
                <c:pt idx="0">
                  <c:v>0.14149161252572737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FC-4DCA-BD57-B2F057F47767}"/>
            </c:ext>
          </c:extLst>
        </c:ser>
        <c:ser>
          <c:idx val="2"/>
          <c:order val="2"/>
          <c:tx>
            <c:strRef>
              <c:f>Tables!$D$3:$D$4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Tables!$A$5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Tables!$D$5</c:f>
              <c:numCache>
                <c:formatCode>General</c:formatCode>
                <c:ptCount val="1"/>
                <c:pt idx="0">
                  <c:v>0.1431968927701453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FC-4DCA-BD57-B2F057F47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799136"/>
        <c:axId val="77227392"/>
      </c:barChart>
      <c:catAx>
        <c:axId val="7779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27392"/>
        <c:crosses val="autoZero"/>
        <c:auto val="1"/>
        <c:lblAlgn val="ctr"/>
        <c:lblOffset val="100"/>
        <c:noMultiLvlLbl val="0"/>
      </c:catAx>
      <c:valAx>
        <c:axId val="7722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9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5120545498823"/>
          <c:y val="0.21428315778709481"/>
          <c:w val="0.33333333333333331"/>
          <c:h val="0.619720214669766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287734</xdr:colOff>
      <xdr:row>3</xdr:row>
      <xdr:rowOff>0</xdr:rowOff>
    </xdr:from>
    <xdr:to>
      <xdr:col>10</xdr:col>
      <xdr:colOff>234950</xdr:colOff>
      <xdr:row>13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BA5200-AD83-44FD-BFE5-54940E8049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319484</xdr:colOff>
      <xdr:row>14</xdr:row>
      <xdr:rowOff>164306</xdr:rowOff>
    </xdr:from>
    <xdr:to>
      <xdr:col>10</xdr:col>
      <xdr:colOff>90884</xdr:colOff>
      <xdr:row>30</xdr:row>
      <xdr:rowOff>1190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043579-36E5-45D2-B6DF-CBAD92FDAA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16</xdr:row>
      <xdr:rowOff>168673</xdr:rowOff>
    </xdr:from>
    <xdr:to>
      <xdr:col>22</xdr:col>
      <xdr:colOff>79375</xdr:colOff>
      <xdr:row>29</xdr:row>
      <xdr:rowOff>119063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9AB97F8-5A33-4F03-AAE0-2BAFBA7B2C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595312</xdr:colOff>
      <xdr:row>3</xdr:row>
      <xdr:rowOff>0</xdr:rowOff>
    </xdr:from>
    <xdr:to>
      <xdr:col>12</xdr:col>
      <xdr:colOff>496094</xdr:colOff>
      <xdr:row>6</xdr:row>
      <xdr:rowOff>79375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3BCF412-1EB4-D41B-FF24-289F1D68EE2B}"/>
            </a:ext>
          </a:extLst>
        </xdr:cNvPr>
        <xdr:cNvSpPr txBox="1"/>
      </xdr:nvSpPr>
      <xdr:spPr>
        <a:xfrm>
          <a:off x="6647656" y="565547"/>
          <a:ext cx="1398985" cy="6449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900">
              <a:latin typeface="+mn-lt"/>
            </a:rPr>
            <a:t>TOTAL</a:t>
          </a:r>
          <a:r>
            <a:rPr lang="en-GB" sz="900" baseline="0">
              <a:latin typeface="+mn-lt"/>
            </a:rPr>
            <a:t> </a:t>
          </a:r>
          <a:r>
            <a:rPr lang="en-GB" sz="900">
              <a:latin typeface="+mn-lt"/>
            </a:rPr>
            <a:t>CUSTOMERS</a:t>
          </a:r>
        </a:p>
        <a:p>
          <a:r>
            <a:rPr lang="en-GB" sz="1800" b="1">
              <a:latin typeface="+mn-lt"/>
            </a:rPr>
            <a:t>100</a:t>
          </a:r>
        </a:p>
      </xdr:txBody>
    </xdr:sp>
    <xdr:clientData/>
  </xdr:twoCellAnchor>
  <xdr:twoCellAnchor>
    <xdr:from>
      <xdr:col>12</xdr:col>
      <xdr:colOff>694532</xdr:colOff>
      <xdr:row>3</xdr:row>
      <xdr:rowOff>1</xdr:rowOff>
    </xdr:from>
    <xdr:to>
      <xdr:col>14</xdr:col>
      <xdr:colOff>119062</xdr:colOff>
      <xdr:row>6</xdr:row>
      <xdr:rowOff>89298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62233A0-82E9-59C1-E83D-37F6EE85A12C}"/>
            </a:ext>
          </a:extLst>
        </xdr:cNvPr>
        <xdr:cNvSpPr txBox="1"/>
      </xdr:nvSpPr>
      <xdr:spPr>
        <a:xfrm>
          <a:off x="8245079" y="565548"/>
          <a:ext cx="1359296" cy="6548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TOTAL ORDERS</a:t>
          </a:r>
        </a:p>
        <a:p>
          <a:r>
            <a:rPr lang="en-GB" sz="1600" b="1"/>
            <a:t>150</a:t>
          </a:r>
        </a:p>
      </xdr:txBody>
    </xdr:sp>
    <xdr:clientData/>
  </xdr:twoCellAnchor>
  <xdr:twoCellAnchor>
    <xdr:from>
      <xdr:col>11</xdr:col>
      <xdr:colOff>0</xdr:colOff>
      <xdr:row>6</xdr:row>
      <xdr:rowOff>128984</xdr:rowOff>
    </xdr:from>
    <xdr:to>
      <xdr:col>12</xdr:col>
      <xdr:colOff>476250</xdr:colOff>
      <xdr:row>9</xdr:row>
      <xdr:rowOff>158750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8E90D49-340B-A19E-45DF-16AF7B505606}"/>
            </a:ext>
          </a:extLst>
        </xdr:cNvPr>
        <xdr:cNvSpPr txBox="1"/>
      </xdr:nvSpPr>
      <xdr:spPr>
        <a:xfrm>
          <a:off x="6657578" y="1260078"/>
          <a:ext cx="1369219" cy="5953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TOTAL SALES</a:t>
          </a:r>
        </a:p>
        <a:p>
          <a:r>
            <a:rPr lang="en-GB" sz="1600" b="1"/>
            <a:t>150K</a:t>
          </a:r>
        </a:p>
      </xdr:txBody>
    </xdr:sp>
    <xdr:clientData/>
  </xdr:twoCellAnchor>
  <xdr:twoCellAnchor>
    <xdr:from>
      <xdr:col>12</xdr:col>
      <xdr:colOff>674687</xdr:colOff>
      <xdr:row>6</xdr:row>
      <xdr:rowOff>148828</xdr:rowOff>
    </xdr:from>
    <xdr:to>
      <xdr:col>14</xdr:col>
      <xdr:colOff>128984</xdr:colOff>
      <xdr:row>9</xdr:row>
      <xdr:rowOff>168672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4597A49-19B4-DDE4-F99B-D71694301CA5}"/>
            </a:ext>
          </a:extLst>
        </xdr:cNvPr>
        <xdr:cNvSpPr txBox="1"/>
      </xdr:nvSpPr>
      <xdr:spPr>
        <a:xfrm>
          <a:off x="8225234" y="1279922"/>
          <a:ext cx="1389063" cy="58539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TOTAL PROFIT</a:t>
          </a:r>
        </a:p>
        <a:p>
          <a:r>
            <a:rPr lang="en-GB" sz="1600" b="1"/>
            <a:t>22K</a:t>
          </a:r>
        </a:p>
      </xdr:txBody>
    </xdr:sp>
    <xdr:clientData/>
  </xdr:twoCellAnchor>
  <xdr:twoCellAnchor>
    <xdr:from>
      <xdr:col>15</xdr:col>
      <xdr:colOff>0</xdr:colOff>
      <xdr:row>3</xdr:row>
      <xdr:rowOff>0</xdr:rowOff>
    </xdr:from>
    <xdr:to>
      <xdr:col>22</xdr:col>
      <xdr:colOff>158750</xdr:colOff>
      <xdr:row>16</xdr:row>
      <xdr:rowOff>29766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2E52012-534A-40DE-A755-295340DE28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</xdr:colOff>
      <xdr:row>10</xdr:row>
      <xdr:rowOff>29765</xdr:rowOff>
    </xdr:from>
    <xdr:to>
      <xdr:col>12</xdr:col>
      <xdr:colOff>506016</xdr:colOff>
      <xdr:row>14</xdr:row>
      <xdr:rowOff>19843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90368A3-458D-6A54-51C3-6135536FFF1B}"/>
            </a:ext>
          </a:extLst>
        </xdr:cNvPr>
        <xdr:cNvSpPr txBox="1"/>
      </xdr:nvSpPr>
      <xdr:spPr>
        <a:xfrm>
          <a:off x="7084220" y="1914921"/>
          <a:ext cx="1398984" cy="7441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AVERAGE</a:t>
          </a:r>
          <a:r>
            <a:rPr lang="en-GB" sz="1100" baseline="0"/>
            <a:t> ORDER VAKUE </a:t>
          </a:r>
        </a:p>
        <a:p>
          <a:r>
            <a:rPr lang="en-GB" sz="1600" b="1" baseline="0"/>
            <a:t>1.05K</a:t>
          </a:r>
          <a:endParaRPr lang="en-GB" sz="1600" b="1"/>
        </a:p>
      </xdr:txBody>
    </xdr:sp>
    <xdr:clientData/>
  </xdr:twoCellAnchor>
  <xdr:twoCellAnchor>
    <xdr:from>
      <xdr:col>10</xdr:col>
      <xdr:colOff>396874</xdr:colOff>
      <xdr:row>15</xdr:row>
      <xdr:rowOff>9922</xdr:rowOff>
    </xdr:from>
    <xdr:to>
      <xdr:col>14</xdr:col>
      <xdr:colOff>496093</xdr:colOff>
      <xdr:row>25</xdr:row>
      <xdr:rowOff>89297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09FD621-5998-4DAD-92D2-A79DE6EBE5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178594</xdr:colOff>
      <xdr:row>2</xdr:row>
      <xdr:rowOff>168673</xdr:rowOff>
    </xdr:from>
    <xdr:to>
      <xdr:col>5</xdr:col>
      <xdr:colOff>277812</xdr:colOff>
      <xdr:row>8</xdr:row>
      <xdr:rowOff>9923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7F2753A-7695-9BB3-C0FE-AACA236B274F}"/>
            </a:ext>
          </a:extLst>
        </xdr:cNvPr>
        <xdr:cNvSpPr txBox="1"/>
      </xdr:nvSpPr>
      <xdr:spPr>
        <a:xfrm>
          <a:off x="178594" y="545704"/>
          <a:ext cx="3125390" cy="9723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800" b="1">
              <a:solidFill>
                <a:schemeClr val="tx1"/>
              </a:solidFill>
            </a:rPr>
            <a:t>Beyond </a:t>
          </a:r>
          <a:r>
            <a:rPr lang="en-GB" sz="2800" b="1" baseline="0">
              <a:solidFill>
                <a:schemeClr val="tx1"/>
              </a:solidFill>
            </a:rPr>
            <a:t>Numbers</a:t>
          </a:r>
          <a:r>
            <a:rPr lang="en-GB" sz="2400" b="1" baseline="0">
              <a:solidFill>
                <a:schemeClr val="bg1">
                  <a:lumMod val="50000"/>
                </a:schemeClr>
              </a:solidFill>
            </a:rPr>
            <a:t>:</a:t>
          </a:r>
        </a:p>
        <a:p>
          <a:r>
            <a:rPr lang="en-GB" sz="2400" b="1" baseline="0">
              <a:solidFill>
                <a:schemeClr val="bg1">
                  <a:lumMod val="50000"/>
                </a:schemeClr>
              </a:solidFill>
            </a:rPr>
            <a:t>Executive Dashbaord</a:t>
          </a:r>
          <a:endParaRPr lang="en-GB" sz="24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224.534424884259" backgroundQuery="1" createdVersion="8" refreshedVersion="8" minRefreshableVersion="3" recordCount="0" supportSubquery="1" supportAdvancedDrill="1" xr:uid="{6797788A-1E9D-49B5-91FA-DEAB9441C9A7}">
  <cacheSource type="external" connectionId="1"/>
  <cacheFields count="0"/>
  <cacheHierarchies count="38">
    <cacheHierarchy uniqueName="[Customer].[Customer ID]" caption="Customer ID" attribute="1" defaultMemberUniqueName="[Customer].[Customer ID].[All]" allUniqueName="[Customer].[Customer ID].[All]" dimensionUniqueName="[Customer]" displayFolder="" count="0" memberValueDatatype="130" unbalanced="0"/>
    <cacheHierarchy uniqueName="[Customer].[Customer Name]" caption="Customer Name" attribute="1" defaultMemberUniqueName="[Customer].[Customer Name].[All]" allUniqueName="[Customer].[Customer Name].[All]" dimensionUniqueName="[Customer]" displayFolder="" count="0" memberValueDatatype="130" unbalanced="0"/>
    <cacheHierarchy uniqueName="[Customer].[Region]" caption="Region" attribute="1" defaultMemberUniqueName="[Customer].[Region].[All]" allUniqueName="[Customer].[Region].[All]" dimensionUniqueName="[Customer]" displayFolder="" count="0" memberValueDatatype="130" unbalanced="0"/>
    <cacheHierarchy uniqueName="[Customer].[Segment]" caption="Segment" attribute="1" defaultMemberUniqueName="[Customer].[Segment].[All]" allUniqueName="[Customer].[Segment].[All]" dimensionUniqueName="[Customer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Product Category]" caption="Product Category" attribute="1" defaultMemberUniqueName="[Orders].[Product Category].[All]" allUniqueName="[Orders].[Product Category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Product Category]" caption="Product Category" attribute="1" defaultMemberUniqueName="[Range].[Product Category].[All]" allUniqueName="[Range].[Product Category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Total Sales ]" caption="Total Sales " measure="1" displayFolder="" measureGroup="Orders" count="0"/>
    <cacheHierarchy uniqueName="[Measures].[Total Profit ]" caption="Total Profit " measure="1" displayFolder="" measureGroup="Orders" count="0"/>
    <cacheHierarchy uniqueName="[Measures].[Total Quantity ]" caption="Total Quantity " measure="1" displayFolder="" measureGroup="Orders" count="0"/>
    <cacheHierarchy uniqueName="[Measures].[Total Orders ]" caption="Total Orders " measure="1" displayFolder="" measureGroup="Orders" count="0"/>
    <cacheHierarchy uniqueName="[Measures].[Total Customers ]" caption="Total Customers " measure="1" displayFolder="" measureGroup="Orders" count="0"/>
    <cacheHierarchy uniqueName="[Measures].[Profit Margin]" caption="Profit Margin" measure="1" displayFolder="" measureGroup="Orders" count="0"/>
    <cacheHierarchy uniqueName="[Measures].[Average Order Value ]" caption="Average Order Value " measure="1" displayFolder="" measureGroup="Orders" count="0"/>
    <cacheHierarchy uniqueName="[Measures].[__XL_Count Range]" caption="__XL_Count Range" measure="1" displayFolder="" measureGroup="Range" count="0" hidden="1"/>
    <cacheHierarchy uniqueName="[Measures].[__XL_Count Customer]" caption="__XL_Count Customer" measure="1" displayFolder="" measureGroup="Customer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2]" caption="Sum of Sales 2" measure="1" displayFolder="" measureGroup="Ord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egment]" caption="Count of 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ustomer ID]" caption="Count of Customer I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4">
    <dimension name="Customer" uniqueName="[Customer]" caption="Customer"/>
    <dimension measure="1" name="Measures" uniqueName="[Measures]" caption="Measures"/>
    <dimension name="Orders" uniqueName="[Orders]" caption="Orders"/>
    <dimension name="Range" uniqueName="[Range]" caption="Range"/>
  </dimensions>
  <measureGroups count="3">
    <measureGroup name="Customer" caption="Customer"/>
    <measureGroup name="Orders" caption="Orders"/>
    <measureGroup name="Range" caption="Range"/>
  </measureGroups>
  <maps count="3">
    <map measureGroup="0" dimension="0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224.549532175923" backgroundQuery="1" createdVersion="8" refreshedVersion="8" minRefreshableVersion="3" recordCount="0" supportSubquery="1" supportAdvancedDrill="1" xr:uid="{E5912859-7AC6-440F-8BC7-6F090C19CE20}">
  <cacheSource type="external" connectionId="1"/>
  <cacheFields count="1">
    <cacheField name="[Measures].[Total Profit ]" caption="Total Profit " numFmtId="0" hierarchy="23" level="32767"/>
  </cacheFields>
  <cacheHierarchies count="38">
    <cacheHierarchy uniqueName="[Customer].[Customer ID]" caption="Customer ID" attribute="1" defaultMemberUniqueName="[Customer].[Customer ID].[All]" allUniqueName="[Customer].[Customer ID].[All]" dimensionUniqueName="[Customer]" displayFolder="" count="0" memberValueDatatype="130" unbalanced="0"/>
    <cacheHierarchy uniqueName="[Customer].[Customer Name]" caption="Customer Name" attribute="1" defaultMemberUniqueName="[Customer].[Customer Name].[All]" allUniqueName="[Customer].[Customer Name].[All]" dimensionUniqueName="[Customer]" displayFolder="" count="0" memberValueDatatype="130" unbalanced="0"/>
    <cacheHierarchy uniqueName="[Customer].[Region]" caption="Region" attribute="1" defaultMemberUniqueName="[Customer].[Region].[All]" allUniqueName="[Customer].[Region].[All]" dimensionUniqueName="[Customer]" displayFolder="" count="0" memberValueDatatype="130" unbalanced="0"/>
    <cacheHierarchy uniqueName="[Customer].[Segment]" caption="Segment" attribute="1" defaultMemberUniqueName="[Customer].[Segment].[All]" allUniqueName="[Customer].[Segment].[All]" dimensionUniqueName="[Customer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Product Category]" caption="Product Category" attribute="1" defaultMemberUniqueName="[Orders].[Product Category].[All]" allUniqueName="[Orders].[Product Category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Product Category]" caption="Product Category" attribute="1" defaultMemberUniqueName="[Range].[Product Category].[All]" allUniqueName="[Range].[Product Category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Total Sales ]" caption="Total Sales " measure="1" displayFolder="" measureGroup="Orders" count="0"/>
    <cacheHierarchy uniqueName="[Measures].[Total Profit ]" caption="Total Profit " measure="1" displayFolder="" measureGroup="Orders" count="0" oneField="1">
      <fieldsUsage count="1">
        <fieldUsage x="0"/>
      </fieldsUsage>
    </cacheHierarchy>
    <cacheHierarchy uniqueName="[Measures].[Total Quantity ]" caption="Total Quantity " measure="1" displayFolder="" measureGroup="Orders" count="0"/>
    <cacheHierarchy uniqueName="[Measures].[Total Orders ]" caption="Total Orders " measure="1" displayFolder="" measureGroup="Orders" count="0"/>
    <cacheHierarchy uniqueName="[Measures].[Total Customers ]" caption="Total Customers " measure="1" displayFolder="" measureGroup="Orders" count="0"/>
    <cacheHierarchy uniqueName="[Measures].[Profit Margin]" caption="Profit Margin" measure="1" displayFolder="" measureGroup="Orders" count="0"/>
    <cacheHierarchy uniqueName="[Measures].[Average Order Value ]" caption="Average Order Value " measure="1" displayFolder="" measureGroup="Orders" count="0"/>
    <cacheHierarchy uniqueName="[Measures].[__XL_Count Range]" caption="__XL_Count Range" measure="1" displayFolder="" measureGroup="Range" count="0" hidden="1"/>
    <cacheHierarchy uniqueName="[Measures].[__XL_Count Customer]" caption="__XL_Count Customer" measure="1" displayFolder="" measureGroup="Customer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2]" caption="Sum of Sales 2" measure="1" displayFolder="" measureGroup="Ord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egment]" caption="Count of 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ustomer ID]" caption="Count of Customer I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4">
    <dimension name="Customer" uniqueName="[Customer]" caption="Customer"/>
    <dimension measure="1" name="Measures" uniqueName="[Measures]" caption="Measures"/>
    <dimension name="Orders" uniqueName="[Orders]" caption="Orders"/>
    <dimension name="Range" uniqueName="[Range]" caption="Range"/>
  </dimensions>
  <measureGroups count="3">
    <measureGroup name="Customer" caption="Customer"/>
    <measureGroup name="Orders" caption="Orders"/>
    <measureGroup name="Range" caption="Range"/>
  </measureGroups>
  <maps count="3">
    <map measureGroup="0" dimension="0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224.550301967596" backgroundQuery="1" createdVersion="8" refreshedVersion="8" minRefreshableVersion="3" recordCount="0" supportSubquery="1" supportAdvancedDrill="1" xr:uid="{EC87D7F1-FFED-4D3F-837B-45BFD0A73FCC}">
  <cacheSource type="external" connectionId="1"/>
  <cacheFields count="2">
    <cacheField name="[Measures].[Average Order Value ]" caption="Average Order Value " numFmtId="0" hierarchy="28" level="32767"/>
    <cacheField name="[Orders].[Order Date (Month)].[Order Date (Month)]" caption="Order Date (Month)" numFmtId="0" hierarchy="12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cacheHierarchies count="38">
    <cacheHierarchy uniqueName="[Customer].[Customer ID]" caption="Customer ID" attribute="1" defaultMemberUniqueName="[Customer].[Customer ID].[All]" allUniqueName="[Customer].[Customer ID].[All]" dimensionUniqueName="[Customer]" displayFolder="" count="0" memberValueDatatype="130" unbalanced="0"/>
    <cacheHierarchy uniqueName="[Customer].[Customer Name]" caption="Customer Name" attribute="1" defaultMemberUniqueName="[Customer].[Customer Name].[All]" allUniqueName="[Customer].[Customer Name].[All]" dimensionUniqueName="[Customer]" displayFolder="" count="0" memberValueDatatype="130" unbalanced="0"/>
    <cacheHierarchy uniqueName="[Customer].[Region]" caption="Region" attribute="1" defaultMemberUniqueName="[Customer].[Region].[All]" allUniqueName="[Customer].[Region].[All]" dimensionUniqueName="[Customer]" displayFolder="" count="0" memberValueDatatype="130" unbalanced="0"/>
    <cacheHierarchy uniqueName="[Customer].[Segment]" caption="Segment" attribute="1" defaultMemberUniqueName="[Customer].[Segment].[All]" allUniqueName="[Customer].[Segment].[All]" dimensionUniqueName="[Customer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Product Category]" caption="Product Category" attribute="1" defaultMemberUniqueName="[Orders].[Product Category].[All]" allUniqueName="[Orders].[Product Category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2" memberValueDatatype="130" unbalanced="0">
      <fieldsUsage count="2">
        <fieldUsage x="-1"/>
        <fieldUsage x="1"/>
      </fieldsUsage>
    </cacheHierarchy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Product Category]" caption="Product Category" attribute="1" defaultMemberUniqueName="[Range].[Product Category].[All]" allUniqueName="[Range].[Product Category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Total Sales ]" caption="Total Sales " measure="1" displayFolder="" measureGroup="Orders" count="0"/>
    <cacheHierarchy uniqueName="[Measures].[Total Profit ]" caption="Total Profit " measure="1" displayFolder="" measureGroup="Orders" count="0"/>
    <cacheHierarchy uniqueName="[Measures].[Total Quantity ]" caption="Total Quantity " measure="1" displayFolder="" measureGroup="Orders" count="0"/>
    <cacheHierarchy uniqueName="[Measures].[Total Orders ]" caption="Total Orders " measure="1" displayFolder="" measureGroup="Orders" count="0"/>
    <cacheHierarchy uniqueName="[Measures].[Total Customers ]" caption="Total Customers " measure="1" displayFolder="" measureGroup="Orders" count="0"/>
    <cacheHierarchy uniqueName="[Measures].[Profit Margin]" caption="Profit Margin" measure="1" displayFolder="" measureGroup="Orders" count="0"/>
    <cacheHierarchy uniqueName="[Measures].[Average Order Value ]" caption="Average Order Value " measure="1" displayFolder="" measureGroup="Orders" count="0" oneField="1">
      <fieldsUsage count="1"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XL_Count Customer]" caption="__XL_Count Customer" measure="1" displayFolder="" measureGroup="Customer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2]" caption="Sum of Sales 2" measure="1" displayFolder="" measureGroup="Ord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egment]" caption="Count of 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ustomer ID]" caption="Count of Customer I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4">
    <dimension name="Customer" uniqueName="[Customer]" caption="Customer"/>
    <dimension measure="1" name="Measures" uniqueName="[Measures]" caption="Measures"/>
    <dimension name="Orders" uniqueName="[Orders]" caption="Orders"/>
    <dimension name="Range" uniqueName="[Range]" caption="Range"/>
  </dimensions>
  <measureGroups count="3">
    <measureGroup name="Customer" caption="Customer"/>
    <measureGroup name="Orders" caption="Orders"/>
    <measureGroup name="Range" caption="Range"/>
  </measureGroups>
  <maps count="3">
    <map measureGroup="0" dimension="0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224.542536111112" backgroundQuery="1" createdVersion="8" refreshedVersion="8" minRefreshableVersion="3" recordCount="0" supportSubquery="1" supportAdvancedDrill="1" xr:uid="{133082D4-670A-4805-9254-F6F359C0EA5C}">
  <cacheSource type="external" connectionId="1"/>
  <cacheFields count="2">
    <cacheField name="[Measures].[Profit Margin]" caption="Profit Margin" numFmtId="0" hierarchy="27" level="32767"/>
    <cacheField name="[Orders].[Discount].[Discount]" caption="Discount" numFmtId="0" hierarchy="11" level="1">
      <sharedItems containsSemiMixedTypes="0" containsString="0" containsNumber="1" minValue="0" maxValue="0.3" count="6">
        <n v="0"/>
        <n v="0.05"/>
        <n v="0.1"/>
        <n v="0.15"/>
        <n v="0.2"/>
        <n v="0.3"/>
      </sharedItems>
    </cacheField>
  </cacheFields>
  <cacheHierarchies count="38">
    <cacheHierarchy uniqueName="[Customer].[Customer ID]" caption="Customer ID" attribute="1" defaultMemberUniqueName="[Customer].[Customer ID].[All]" allUniqueName="[Customer].[Customer ID].[All]" dimensionUniqueName="[Customer]" displayFolder="" count="0" memberValueDatatype="130" unbalanced="0"/>
    <cacheHierarchy uniqueName="[Customer].[Customer Name]" caption="Customer Name" attribute="1" defaultMemberUniqueName="[Customer].[Customer Name].[All]" allUniqueName="[Customer].[Customer Name].[All]" dimensionUniqueName="[Customer]" displayFolder="" count="0" memberValueDatatype="130" unbalanced="0"/>
    <cacheHierarchy uniqueName="[Customer].[Region]" caption="Region" attribute="1" defaultMemberUniqueName="[Customer].[Region].[All]" allUniqueName="[Customer].[Region].[All]" dimensionUniqueName="[Customer]" displayFolder="" count="0" memberValueDatatype="130" unbalanced="0"/>
    <cacheHierarchy uniqueName="[Customer].[Segment]" caption="Segment" attribute="1" defaultMemberUniqueName="[Customer].[Segment].[All]" allUniqueName="[Customer].[Segment].[All]" dimensionUniqueName="[Customer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Product Category]" caption="Product Category" attribute="1" defaultMemberUniqueName="[Orders].[Product Category].[All]" allUniqueName="[Orders].[Product Category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Discount]" caption="Discount" attribute="1" defaultMemberUniqueName="[Orders].[Discount].[All]" allUniqueName="[Orders].[Discount].[All]" dimensionUniqueName="[Orders]" displayFolder="" count="2" memberValueDatatype="5" unbalanced="0">
      <fieldsUsage count="2">
        <fieldUsage x="-1"/>
        <fieldUsage x="1"/>
      </fieldsUsage>
    </cacheHierarchy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Product Category]" caption="Product Category" attribute="1" defaultMemberUniqueName="[Range].[Product Category].[All]" allUniqueName="[Range].[Product Category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Total Sales ]" caption="Total Sales " measure="1" displayFolder="" measureGroup="Orders" count="0"/>
    <cacheHierarchy uniqueName="[Measures].[Total Profit ]" caption="Total Profit " measure="1" displayFolder="" measureGroup="Orders" count="0"/>
    <cacheHierarchy uniqueName="[Measures].[Total Quantity ]" caption="Total Quantity " measure="1" displayFolder="" measureGroup="Orders" count="0"/>
    <cacheHierarchy uniqueName="[Measures].[Total Orders ]" caption="Total Orders " measure="1" displayFolder="" measureGroup="Orders" count="0"/>
    <cacheHierarchy uniqueName="[Measures].[Total Customers ]" caption="Total Customers " measure="1" displayFolder="" measureGroup="Orders" count="0"/>
    <cacheHierarchy uniqueName="[Measures].[Profit Margin]" caption="Profit Margin" measure="1" displayFolder="" measureGroup="Orders" count="0" oneField="1">
      <fieldsUsage count="1">
        <fieldUsage x="0"/>
      </fieldsUsage>
    </cacheHierarchy>
    <cacheHierarchy uniqueName="[Measures].[Average Order Value ]" caption="Average Order Value " measure="1" displayFolder="" measureGroup="Orders" count="0"/>
    <cacheHierarchy uniqueName="[Measures].[__XL_Count Range]" caption="__XL_Count Range" measure="1" displayFolder="" measureGroup="Range" count="0" hidden="1"/>
    <cacheHierarchy uniqueName="[Measures].[__XL_Count Customer]" caption="__XL_Count Customer" measure="1" displayFolder="" measureGroup="Customer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2]" caption="Sum of Sales 2" measure="1" displayFolder="" measureGroup="Ord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egment]" caption="Count of 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ustomer ID]" caption="Count of Customer I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4">
    <dimension name="Customer" uniqueName="[Customer]" caption="Customer"/>
    <dimension measure="1" name="Measures" uniqueName="[Measures]" caption="Measures"/>
    <dimension name="Orders" uniqueName="[Orders]" caption="Orders"/>
    <dimension name="Range" uniqueName="[Range]" caption="Range"/>
  </dimensions>
  <measureGroups count="3">
    <measureGroup name="Customer" caption="Customer"/>
    <measureGroup name="Orders" caption="Orders"/>
    <measureGroup name="Range" caption="Range"/>
  </measureGroups>
  <maps count="3">
    <map measureGroup="0" dimension="0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224.541456944447" backgroundQuery="1" createdVersion="8" refreshedVersion="8" minRefreshableVersion="3" recordCount="0" supportSubquery="1" supportAdvancedDrill="1" xr:uid="{4A6C72F1-058C-47CE-A0E9-4ACEF3A2FB3A}">
  <cacheSource type="external" connectionId="1"/>
  <cacheFields count="3">
    <cacheField name="[Measures].[Profit Margin]" caption="Profit Margin" numFmtId="0" hierarchy="27" level="32767"/>
    <cacheField name="[Measures].[Total Sales ]" caption="Total Sales " numFmtId="0" hierarchy="22" level="32767"/>
    <cacheField name="[Orders].[Product Category].[Product Category]" caption="Product Category" numFmtId="0" hierarchy="7" level="1">
      <sharedItems count="3">
        <s v="Furniture"/>
        <s v="Office Supplies"/>
        <s v="Technology"/>
      </sharedItems>
    </cacheField>
  </cacheFields>
  <cacheHierarchies count="38">
    <cacheHierarchy uniqueName="[Customer].[Customer ID]" caption="Customer ID" attribute="1" defaultMemberUniqueName="[Customer].[Customer ID].[All]" allUniqueName="[Customer].[Customer ID].[All]" dimensionUniqueName="[Customer]" displayFolder="" count="0" memberValueDatatype="130" unbalanced="0"/>
    <cacheHierarchy uniqueName="[Customer].[Customer Name]" caption="Customer Name" attribute="1" defaultMemberUniqueName="[Customer].[Customer Name].[All]" allUniqueName="[Customer].[Customer Name].[All]" dimensionUniqueName="[Customer]" displayFolder="" count="0" memberValueDatatype="130" unbalanced="0"/>
    <cacheHierarchy uniqueName="[Customer].[Region]" caption="Region" attribute="1" defaultMemberUniqueName="[Customer].[Region].[All]" allUniqueName="[Customer].[Region].[All]" dimensionUniqueName="[Customer]" displayFolder="" count="0" memberValueDatatype="130" unbalanced="0"/>
    <cacheHierarchy uniqueName="[Customer].[Segment]" caption="Segment" attribute="1" defaultMemberUniqueName="[Customer].[Segment].[All]" allUniqueName="[Customer].[Segment].[All]" dimensionUniqueName="[Customer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Product Category]" caption="Product Category" attribute="1" defaultMemberUniqueName="[Orders].[Product Category].[All]" allUniqueName="[Orders].[Product Category].[All]" dimensionUniqueName="[Orders]" displayFolder="" count="2" memberValueDatatype="130" unbalanced="0">
      <fieldsUsage count="2">
        <fieldUsage x="-1"/>
        <fieldUsage x="2"/>
      </fieldsUsage>
    </cacheHierarchy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Product Category]" caption="Product Category" attribute="1" defaultMemberUniqueName="[Range].[Product Category].[All]" allUniqueName="[Range].[Product Category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Total Sales ]" caption="Total Sales " measure="1" displayFolder="" measureGroup="Orders" count="0" oneField="1">
      <fieldsUsage count="1">
        <fieldUsage x="1"/>
      </fieldsUsage>
    </cacheHierarchy>
    <cacheHierarchy uniqueName="[Measures].[Total Profit ]" caption="Total Profit " measure="1" displayFolder="" measureGroup="Orders" count="0"/>
    <cacheHierarchy uniqueName="[Measures].[Total Quantity ]" caption="Total Quantity " measure="1" displayFolder="" measureGroup="Orders" count="0"/>
    <cacheHierarchy uniqueName="[Measures].[Total Orders ]" caption="Total Orders " measure="1" displayFolder="" measureGroup="Orders" count="0"/>
    <cacheHierarchy uniqueName="[Measures].[Total Customers ]" caption="Total Customers " measure="1" displayFolder="" measureGroup="Orders" count="0"/>
    <cacheHierarchy uniqueName="[Measures].[Profit Margin]" caption="Profit Margin" measure="1" displayFolder="" measureGroup="Orders" count="0" oneField="1">
      <fieldsUsage count="1">
        <fieldUsage x="0"/>
      </fieldsUsage>
    </cacheHierarchy>
    <cacheHierarchy uniqueName="[Measures].[Average Order Value ]" caption="Average Order Value " measure="1" displayFolder="" measureGroup="Orders" count="0"/>
    <cacheHierarchy uniqueName="[Measures].[__XL_Count Range]" caption="__XL_Count Range" measure="1" displayFolder="" measureGroup="Range" count="0" hidden="1"/>
    <cacheHierarchy uniqueName="[Measures].[__XL_Count Customer]" caption="__XL_Count Customer" measure="1" displayFolder="" measureGroup="Customer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2]" caption="Sum of Sales 2" measure="1" displayFolder="" measureGroup="Ord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egment]" caption="Count of 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ustomer ID]" caption="Count of Customer I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4">
    <dimension name="Customer" uniqueName="[Customer]" caption="Customer"/>
    <dimension measure="1" name="Measures" uniqueName="[Measures]" caption="Measures"/>
    <dimension name="Orders" uniqueName="[Orders]" caption="Orders"/>
    <dimension name="Range" uniqueName="[Range]" caption="Range"/>
  </dimensions>
  <measureGroups count="3">
    <measureGroup name="Customer" caption="Customer"/>
    <measureGroup name="Orders" caption="Orders"/>
    <measureGroup name="Range" caption="Range"/>
  </measureGroups>
  <maps count="3">
    <map measureGroup="0" dimension="0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224.538944328706" backgroundQuery="1" createdVersion="8" refreshedVersion="8" minRefreshableVersion="3" recordCount="0" supportSubquery="1" supportAdvancedDrill="1" xr:uid="{F607205F-10F5-4199-8BDA-6997D3D602D9}">
  <cacheSource type="external" connectionId="1"/>
  <cacheFields count="2">
    <cacheField name="[Measures].[Profit Margin]" caption="Profit Margin" numFmtId="0" hierarchy="27" level="32767"/>
    <cacheField name="[Orders].[Order Date (Month)].[Order Date (Month)]" caption="Order Date (Month)" numFmtId="0" hierarchy="12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cacheHierarchies count="38">
    <cacheHierarchy uniqueName="[Customer].[Customer ID]" caption="Customer ID" attribute="1" defaultMemberUniqueName="[Customer].[Customer ID].[All]" allUniqueName="[Customer].[Customer ID].[All]" dimensionUniqueName="[Customer]" displayFolder="" count="0" memberValueDatatype="130" unbalanced="0"/>
    <cacheHierarchy uniqueName="[Customer].[Customer Name]" caption="Customer Name" attribute="1" defaultMemberUniqueName="[Customer].[Customer Name].[All]" allUniqueName="[Customer].[Customer Name].[All]" dimensionUniqueName="[Customer]" displayFolder="" count="0" memberValueDatatype="130" unbalanced="0"/>
    <cacheHierarchy uniqueName="[Customer].[Region]" caption="Region" attribute="1" defaultMemberUniqueName="[Customer].[Region].[All]" allUniqueName="[Customer].[Region].[All]" dimensionUniqueName="[Customer]" displayFolder="" count="0" memberValueDatatype="130" unbalanced="0"/>
    <cacheHierarchy uniqueName="[Customer].[Segment]" caption="Segment" attribute="1" defaultMemberUniqueName="[Customer].[Segment].[All]" allUniqueName="[Customer].[Segment].[All]" dimensionUniqueName="[Customer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Product Category]" caption="Product Category" attribute="1" defaultMemberUniqueName="[Orders].[Product Category].[All]" allUniqueName="[Orders].[Product Category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2" memberValueDatatype="130" unbalanced="0">
      <fieldsUsage count="2">
        <fieldUsage x="-1"/>
        <fieldUsage x="1"/>
      </fieldsUsage>
    </cacheHierarchy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Product Category]" caption="Product Category" attribute="1" defaultMemberUniqueName="[Range].[Product Category].[All]" allUniqueName="[Range].[Product Category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Total Sales ]" caption="Total Sales " measure="1" displayFolder="" measureGroup="Orders" count="0"/>
    <cacheHierarchy uniqueName="[Measures].[Total Profit ]" caption="Total Profit " measure="1" displayFolder="" measureGroup="Orders" count="0"/>
    <cacheHierarchy uniqueName="[Measures].[Total Quantity ]" caption="Total Quantity " measure="1" displayFolder="" measureGroup="Orders" count="0"/>
    <cacheHierarchy uniqueName="[Measures].[Total Orders ]" caption="Total Orders " measure="1" displayFolder="" measureGroup="Orders" count="0"/>
    <cacheHierarchy uniqueName="[Measures].[Total Customers ]" caption="Total Customers " measure="1" displayFolder="" measureGroup="Orders" count="0"/>
    <cacheHierarchy uniqueName="[Measures].[Profit Margin]" caption="Profit Margin" measure="1" displayFolder="" measureGroup="Orders" count="0" oneField="1">
      <fieldsUsage count="1">
        <fieldUsage x="0"/>
      </fieldsUsage>
    </cacheHierarchy>
    <cacheHierarchy uniqueName="[Measures].[Average Order Value ]" caption="Average Order Value " measure="1" displayFolder="" measureGroup="Orders" count="0"/>
    <cacheHierarchy uniqueName="[Measures].[__XL_Count Range]" caption="__XL_Count Range" measure="1" displayFolder="" measureGroup="Range" count="0" hidden="1"/>
    <cacheHierarchy uniqueName="[Measures].[__XL_Count Customer]" caption="__XL_Count Customer" measure="1" displayFolder="" measureGroup="Customer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2]" caption="Sum of Sales 2" measure="1" displayFolder="" measureGroup="Ord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egment]" caption="Count of 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ustomer ID]" caption="Count of Customer I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4">
    <dimension name="Customer" uniqueName="[Customer]" caption="Customer"/>
    <dimension measure="1" name="Measures" uniqueName="[Measures]" caption="Measures"/>
    <dimension name="Orders" uniqueName="[Orders]" caption="Orders"/>
    <dimension name="Range" uniqueName="[Range]" caption="Range"/>
  </dimensions>
  <measureGroups count="3">
    <measureGroup name="Customer" caption="Customer"/>
    <measureGroup name="Orders" caption="Orders"/>
    <measureGroup name="Range" caption="Range"/>
  </measureGroups>
  <maps count="3">
    <map measureGroup="0" dimension="0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224.538463773148" backgroundQuery="1" createdVersion="8" refreshedVersion="8" minRefreshableVersion="3" recordCount="0" supportSubquery="1" supportAdvancedDrill="1" xr:uid="{1A0547A8-DF82-4DC1-8478-F1259016D241}">
  <cacheSource type="external" connectionId="1"/>
  <cacheFields count="3">
    <cacheField name="[Orders].[Product Category].[Product Category]" caption="Product Category" numFmtId="0" hierarchy="7" level="1">
      <sharedItems count="3">
        <s v="Furniture"/>
        <s v="Office Supplies"/>
        <s v="Technology"/>
      </sharedItems>
    </cacheField>
    <cacheField name="[Measures].[Sum of Profit]" caption="Sum of Profit" numFmtId="0" hierarchy="34" level="32767"/>
    <cacheField name="[Measures].[Sum of Sales 2]" caption="Sum of Sales 2" numFmtId="0" hierarchy="35" level="32767"/>
  </cacheFields>
  <cacheHierarchies count="38">
    <cacheHierarchy uniqueName="[Customer].[Customer ID]" caption="Customer ID" attribute="1" defaultMemberUniqueName="[Customer].[Customer ID].[All]" allUniqueName="[Customer].[Customer ID].[All]" dimensionUniqueName="[Customer]" displayFolder="" count="0" memberValueDatatype="130" unbalanced="0"/>
    <cacheHierarchy uniqueName="[Customer].[Customer Name]" caption="Customer Name" attribute="1" defaultMemberUniqueName="[Customer].[Customer Name].[All]" allUniqueName="[Customer].[Customer Name].[All]" dimensionUniqueName="[Customer]" displayFolder="" count="0" memberValueDatatype="130" unbalanced="0"/>
    <cacheHierarchy uniqueName="[Customer].[Region]" caption="Region" attribute="1" defaultMemberUniqueName="[Customer].[Region].[All]" allUniqueName="[Customer].[Region].[All]" dimensionUniqueName="[Customer]" displayFolder="" count="0" memberValueDatatype="130" unbalanced="0"/>
    <cacheHierarchy uniqueName="[Customer].[Segment]" caption="Segment" attribute="1" defaultMemberUniqueName="[Customer].[Segment].[All]" allUniqueName="[Customer].[Segment].[All]" dimensionUniqueName="[Customer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Product Category]" caption="Product Category" attribute="1" defaultMemberUniqueName="[Orders].[Product Category].[All]" allUniqueName="[Orders].[Product Category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Product Category]" caption="Product Category" attribute="1" defaultMemberUniqueName="[Range].[Product Category].[All]" allUniqueName="[Range].[Product Category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Total Sales ]" caption="Total Sales " measure="1" displayFolder="" measureGroup="Orders" count="0"/>
    <cacheHierarchy uniqueName="[Measures].[Total Profit ]" caption="Total Profit " measure="1" displayFolder="" measureGroup="Orders" count="0"/>
    <cacheHierarchy uniqueName="[Measures].[Total Quantity ]" caption="Total Quantity " measure="1" displayFolder="" measureGroup="Orders" count="0"/>
    <cacheHierarchy uniqueName="[Measures].[Total Orders ]" caption="Total Orders " measure="1" displayFolder="" measureGroup="Orders" count="0"/>
    <cacheHierarchy uniqueName="[Measures].[Total Customers ]" caption="Total Customers " measure="1" displayFolder="" measureGroup="Orders" count="0"/>
    <cacheHierarchy uniqueName="[Measures].[Profit Margin]" caption="Profit Margin" measure="1" displayFolder="" measureGroup="Orders" count="0"/>
    <cacheHierarchy uniqueName="[Measures].[Average Order Value ]" caption="Average Order Value " measure="1" displayFolder="" measureGroup="Orders" count="0"/>
    <cacheHierarchy uniqueName="[Measures].[__XL_Count Range]" caption="__XL_Count Range" measure="1" displayFolder="" measureGroup="Range" count="0" hidden="1"/>
    <cacheHierarchy uniqueName="[Measures].[__XL_Count Customer]" caption="__XL_Count Customer" measure="1" displayFolder="" measureGroup="Customer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2]" caption="Sum of Sales 2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egment]" caption="Count of 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ustomer ID]" caption="Count of Customer I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4">
    <dimension name="Customer" uniqueName="[Customer]" caption="Customer"/>
    <dimension measure="1" name="Measures" uniqueName="[Measures]" caption="Measures"/>
    <dimension name="Orders" uniqueName="[Orders]" caption="Orders"/>
    <dimension name="Range" uniqueName="[Range]" caption="Range"/>
  </dimensions>
  <measureGroups count="3">
    <measureGroup name="Customer" caption="Customer"/>
    <measureGroup name="Orders" caption="Orders"/>
    <measureGroup name="Range" caption="Range"/>
  </measureGroups>
  <maps count="3">
    <map measureGroup="0" dimension="0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224.538461574077" backgroundQuery="1" createdVersion="8" refreshedVersion="8" minRefreshableVersion="3" recordCount="0" supportSubquery="1" supportAdvancedDrill="1" xr:uid="{A65D2F8E-25C1-4C16-AE9D-2D6A4E709319}">
  <cacheSource type="external" connectionId="1"/>
  <cacheFields count="2">
    <cacheField name="[Orders].[Product Category].[Product Category]" caption="Product Category" numFmtId="0" hierarchy="7" level="1">
      <sharedItems count="3">
        <s v="Furniture"/>
        <s v="Office Supplies"/>
        <s v="Technology"/>
      </sharedItems>
    </cacheField>
    <cacheField name="[Measures].[Profit Margin]" caption="Profit Margin" numFmtId="0" hierarchy="27" level="32767"/>
  </cacheFields>
  <cacheHierarchies count="38">
    <cacheHierarchy uniqueName="[Customer].[Customer ID]" caption="Customer ID" attribute="1" defaultMemberUniqueName="[Customer].[Customer ID].[All]" allUniqueName="[Customer].[Customer ID].[All]" dimensionUniqueName="[Customer]" displayFolder="" count="0" memberValueDatatype="130" unbalanced="0"/>
    <cacheHierarchy uniqueName="[Customer].[Customer Name]" caption="Customer Name" attribute="1" defaultMemberUniqueName="[Customer].[Customer Name].[All]" allUniqueName="[Customer].[Customer Name].[All]" dimensionUniqueName="[Customer]" displayFolder="" count="0" memberValueDatatype="130" unbalanced="0"/>
    <cacheHierarchy uniqueName="[Customer].[Region]" caption="Region" attribute="1" defaultMemberUniqueName="[Customer].[Region].[All]" allUniqueName="[Customer].[Region].[All]" dimensionUniqueName="[Customer]" displayFolder="" count="0" memberValueDatatype="130" unbalanced="0"/>
    <cacheHierarchy uniqueName="[Customer].[Segment]" caption="Segment" attribute="1" defaultMemberUniqueName="[Customer].[Segment].[All]" allUniqueName="[Customer].[Segment].[All]" dimensionUniqueName="[Customer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Product Category]" caption="Product Category" attribute="1" defaultMemberUniqueName="[Orders].[Product Category].[All]" allUniqueName="[Orders].[Product Category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Product Category]" caption="Product Category" attribute="1" defaultMemberUniqueName="[Range].[Product Category].[All]" allUniqueName="[Range].[Product Category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Total Sales ]" caption="Total Sales " measure="1" displayFolder="" measureGroup="Orders" count="0"/>
    <cacheHierarchy uniqueName="[Measures].[Total Profit ]" caption="Total Profit " measure="1" displayFolder="" measureGroup="Orders" count="0"/>
    <cacheHierarchy uniqueName="[Measures].[Total Quantity ]" caption="Total Quantity " measure="1" displayFolder="" measureGroup="Orders" count="0"/>
    <cacheHierarchy uniqueName="[Measures].[Total Orders ]" caption="Total Orders " measure="1" displayFolder="" measureGroup="Orders" count="0"/>
    <cacheHierarchy uniqueName="[Measures].[Total Customers ]" caption="Total Customers " measure="1" displayFolder="" measureGroup="Orders" count="0"/>
    <cacheHierarchy uniqueName="[Measures].[Profit Margin]" caption="Profit Margin" measure="1" displayFolder="" measureGroup="Orders" count="0" oneField="1">
      <fieldsUsage count="1">
        <fieldUsage x="1"/>
      </fieldsUsage>
    </cacheHierarchy>
    <cacheHierarchy uniqueName="[Measures].[Average Order Value ]" caption="Average Order Value " measure="1" displayFolder="" measureGroup="Orders" count="0"/>
    <cacheHierarchy uniqueName="[Measures].[__XL_Count Range]" caption="__XL_Count Range" measure="1" displayFolder="" measureGroup="Range" count="0" hidden="1"/>
    <cacheHierarchy uniqueName="[Measures].[__XL_Count Customer]" caption="__XL_Count Customer" measure="1" displayFolder="" measureGroup="Customer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2]" caption="Sum of Sales 2" measure="1" displayFolder="" measureGroup="Ord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egment]" caption="Count of 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ustomer ID]" caption="Count of Customer I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4">
    <dimension name="Customer" uniqueName="[Customer]" caption="Customer"/>
    <dimension measure="1" name="Measures" uniqueName="[Measures]" caption="Measures"/>
    <dimension name="Orders" uniqueName="[Orders]" caption="Orders"/>
    <dimension name="Range" uniqueName="[Range]" caption="Range"/>
  </dimensions>
  <measureGroups count="3">
    <measureGroup name="Customer" caption="Customer"/>
    <measureGroup name="Orders" caption="Orders"/>
    <measureGroup name="Range" caption="Range"/>
  </measureGroups>
  <maps count="3">
    <map measureGroup="0" dimension="0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224.541456944447" backgroundQuery="1" createdVersion="8" refreshedVersion="8" minRefreshableVersion="3" recordCount="0" supportSubquery="1" supportAdvancedDrill="1" xr:uid="{97775767-245C-42DA-B4EB-FCC3FCC3991D}">
  <cacheSource type="external" connectionId="1"/>
  <cacheFields count="3">
    <cacheField name="[Measures].[Profit Margin]" caption="Profit Margin" numFmtId="0" hierarchy="27" level="32767"/>
    <cacheField name="[Measures].[Total Sales ]" caption="Total Sales " numFmtId="0" hierarchy="22" level="32767"/>
    <cacheField name="[Orders].[Product Category].[Product Category]" caption="Product Category" numFmtId="0" hierarchy="7" level="1">
      <sharedItems count="3">
        <s v="Furniture"/>
        <s v="Office Supplies"/>
        <s v="Technology"/>
      </sharedItems>
    </cacheField>
  </cacheFields>
  <cacheHierarchies count="38">
    <cacheHierarchy uniqueName="[Customer].[Customer ID]" caption="Customer ID" attribute="1" defaultMemberUniqueName="[Customer].[Customer ID].[All]" allUniqueName="[Customer].[Customer ID].[All]" dimensionUniqueName="[Customer]" displayFolder="" count="0" memberValueDatatype="130" unbalanced="0"/>
    <cacheHierarchy uniqueName="[Customer].[Customer Name]" caption="Customer Name" attribute="1" defaultMemberUniqueName="[Customer].[Customer Name].[All]" allUniqueName="[Customer].[Customer Name].[All]" dimensionUniqueName="[Customer]" displayFolder="" count="0" memberValueDatatype="130" unbalanced="0"/>
    <cacheHierarchy uniqueName="[Customer].[Region]" caption="Region" attribute="1" defaultMemberUniqueName="[Customer].[Region].[All]" allUniqueName="[Customer].[Region].[All]" dimensionUniqueName="[Customer]" displayFolder="" count="0" memberValueDatatype="130" unbalanced="0"/>
    <cacheHierarchy uniqueName="[Customer].[Segment]" caption="Segment" attribute="1" defaultMemberUniqueName="[Customer].[Segment].[All]" allUniqueName="[Customer].[Segment].[All]" dimensionUniqueName="[Customer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Product Category]" caption="Product Category" attribute="1" defaultMemberUniqueName="[Orders].[Product Category].[All]" allUniqueName="[Orders].[Product Category].[All]" dimensionUniqueName="[Orders]" displayFolder="" count="2" memberValueDatatype="130" unbalanced="0">
      <fieldsUsage count="2">
        <fieldUsage x="-1"/>
        <fieldUsage x="2"/>
      </fieldsUsage>
    </cacheHierarchy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Product Category]" caption="Product Category" attribute="1" defaultMemberUniqueName="[Range].[Product Category].[All]" allUniqueName="[Range].[Product Category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Total Sales ]" caption="Total Sales " measure="1" displayFolder="" measureGroup="Orders" count="0" oneField="1">
      <fieldsUsage count="1">
        <fieldUsage x="1"/>
      </fieldsUsage>
    </cacheHierarchy>
    <cacheHierarchy uniqueName="[Measures].[Total Profit ]" caption="Total Profit " measure="1" displayFolder="" measureGroup="Orders" count="0"/>
    <cacheHierarchy uniqueName="[Measures].[Total Quantity ]" caption="Total Quantity " measure="1" displayFolder="" measureGroup="Orders" count="0"/>
    <cacheHierarchy uniqueName="[Measures].[Total Orders ]" caption="Total Orders " measure="1" displayFolder="" measureGroup="Orders" count="0"/>
    <cacheHierarchy uniqueName="[Measures].[Total Customers ]" caption="Total Customers " measure="1" displayFolder="" measureGroup="Orders" count="0"/>
    <cacheHierarchy uniqueName="[Measures].[Profit Margin]" caption="Profit Margin" measure="1" displayFolder="" measureGroup="Orders" count="0" oneField="1">
      <fieldsUsage count="1">
        <fieldUsage x="0"/>
      </fieldsUsage>
    </cacheHierarchy>
    <cacheHierarchy uniqueName="[Measures].[Average Order Value ]" caption="Average Order Value " measure="1" displayFolder="" measureGroup="Orders" count="0"/>
    <cacheHierarchy uniqueName="[Measures].[__XL_Count Range]" caption="__XL_Count Range" measure="1" displayFolder="" measureGroup="Range" count="0" hidden="1"/>
    <cacheHierarchy uniqueName="[Measures].[__XL_Count Customer]" caption="__XL_Count Customer" measure="1" displayFolder="" measureGroup="Customer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2]" caption="Sum of Sales 2" measure="1" displayFolder="" measureGroup="Ord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egment]" caption="Count of 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ustomer ID]" caption="Count of Customer I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4">
    <dimension name="Customer" uniqueName="[Customer]" caption="Customer"/>
    <dimension measure="1" name="Measures" uniqueName="[Measures]" caption="Measures"/>
    <dimension name="Orders" uniqueName="[Orders]" caption="Orders"/>
    <dimension name="Range" uniqueName="[Range]" caption="Range"/>
  </dimensions>
  <measureGroups count="3">
    <measureGroup name="Customer" caption="Customer"/>
    <measureGroup name="Orders" caption="Orders"/>
    <measureGroup name="Range" caption="Range"/>
  </measureGroups>
  <maps count="3">
    <map measureGroup="0" dimension="0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224.553088773151" backgroundQuery="1" createdVersion="8" refreshedVersion="8" minRefreshableVersion="3" recordCount="0" supportSubquery="1" supportAdvancedDrill="1" xr:uid="{68C32E40-121A-4CD8-B598-C2C83FCEBC04}">
  <cacheSource type="external" connectionId="1"/>
  <cacheFields count="1">
    <cacheField name="[Measures].[Average Order Value ]" caption="Average Order Value " numFmtId="0" hierarchy="28" level="32767"/>
  </cacheFields>
  <cacheHierarchies count="38">
    <cacheHierarchy uniqueName="[Customer].[Customer ID]" caption="Customer ID" attribute="1" defaultMemberUniqueName="[Customer].[Customer ID].[All]" allUniqueName="[Customer].[Customer ID].[All]" dimensionUniqueName="[Customer]" displayFolder="" count="0" memberValueDatatype="130" unbalanced="0"/>
    <cacheHierarchy uniqueName="[Customer].[Customer Name]" caption="Customer Name" attribute="1" defaultMemberUniqueName="[Customer].[Customer Name].[All]" allUniqueName="[Customer].[Customer Name].[All]" dimensionUniqueName="[Customer]" displayFolder="" count="0" memberValueDatatype="130" unbalanced="0"/>
    <cacheHierarchy uniqueName="[Customer].[Region]" caption="Region" attribute="1" defaultMemberUniqueName="[Customer].[Region].[All]" allUniqueName="[Customer].[Region].[All]" dimensionUniqueName="[Customer]" displayFolder="" count="0" memberValueDatatype="130" unbalanced="0"/>
    <cacheHierarchy uniqueName="[Customer].[Segment]" caption="Segment" attribute="1" defaultMemberUniqueName="[Customer].[Segment].[All]" allUniqueName="[Customer].[Segment].[All]" dimensionUniqueName="[Customer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Customer ID]" caption="Customer ID" attribute="1" defaultMemberUniqueName="[Orders].[Customer ID].[All]" allUniqueName="[Orders].[Customer ID].[All]" dimensionUniqueName="[Orders]" displayFolder="" count="2" memberValueDatatype="130" unbalanced="0"/>
    <cacheHierarchy uniqueName="[Orders].[Product Category]" caption="Product Category" attribute="1" defaultMemberUniqueName="[Orders].[Product Category].[All]" allUniqueName="[Orders].[Product Category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Profit]" caption="Profit" attribute="1" defaultMemberUniqueName="[Orders].[Profit].[All]" allUniqueName="[Orders].[Profit].[All]" dimensionUniqueName="[Orders]" displayFolder="" count="2" memberValueDatatype="5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Product Category]" caption="Product Category" attribute="1" defaultMemberUniqueName="[Range].[Product Category].[All]" allUniqueName="[Range].[Product Category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Total Sales ]" caption="Total Sales " measure="1" displayFolder="" measureGroup="Orders" count="0"/>
    <cacheHierarchy uniqueName="[Measures].[Total Profit ]" caption="Total Profit " measure="1" displayFolder="" measureGroup="Orders" count="0"/>
    <cacheHierarchy uniqueName="[Measures].[Total Quantity ]" caption="Total Quantity " measure="1" displayFolder="" measureGroup="Orders" count="0"/>
    <cacheHierarchy uniqueName="[Measures].[Total Orders ]" caption="Total Orders " measure="1" displayFolder="" measureGroup="Orders" count="0"/>
    <cacheHierarchy uniqueName="[Measures].[Total Customers ]" caption="Total Customers " measure="1" displayFolder="" measureGroup="Orders" count="0"/>
    <cacheHierarchy uniqueName="[Measures].[Profit Margin]" caption="Profit Margin" measure="1" displayFolder="" measureGroup="Orders" count="0"/>
    <cacheHierarchy uniqueName="[Measures].[Average Order Value ]" caption="Average Order Value " measure="1" displayFolder="" measureGroup="Orders" count="0" oneField="1">
      <fieldsUsage count="1"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XL_Count Customer]" caption="__XL_Count Customer" measure="1" displayFolder="" measureGroup="Customer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2]" caption="Sum of Sales 2" measure="1" displayFolder="" measureGroup="Ord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egment]" caption="Count of 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ustomer ID]" caption="Count of Customer ID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4">
    <dimension name="Customer" uniqueName="[Customer]" caption="Customer"/>
    <dimension measure="1" name="Measures" uniqueName="[Measures]" caption="Measures"/>
    <dimension name="Orders" uniqueName="[Orders]" caption="Orders"/>
    <dimension name="Range" uniqueName="[Range]" caption="Range"/>
  </dimensions>
  <measureGroups count="3">
    <measureGroup name="Customer" caption="Customer"/>
    <measureGroup name="Orders" caption="Orders"/>
    <measureGroup name="Range" caption="Range"/>
  </measureGroups>
  <maps count="3">
    <map measureGroup="0" dimension="0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7EDE0D-04F8-47F2-837F-CA0D7EFC1493}" name="PivotTable4" cacheId="2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der_data_150_rows.xlsx!Orders"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885487-A429-4BE2-A3A0-32E6A43231AD}" name="PivotTable13" cacheId="32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1">
  <location ref="G24:G2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521553-94DF-46B7-B050-4AB1AA868652}" name="PivotTable12" cacheId="277" applyNumberFormats="0" applyBorderFormats="0" applyFontFormats="0" applyPatternFormats="0" applyAlignmentFormats="0" applyWidthHeightFormats="1" dataCaption="Values" updatedVersion="8" minRefreshableVersion="3" subtotalHiddenItems="1" itemPrintTitles="1" createdVersion="8" indent="0" outline="1" outlineData="1" multipleFieldFilters="0" chartFormat="6">
  <location ref="H12:H1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82248B-6B6D-4A34-A880-03D987526FB9}" name="PivotTable11" cacheId="27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1">
  <location ref="D24:E3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0" subtotal="count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0FC5DA-3C7A-4C35-AF73-3D618B259C97}" name="PivotTable10" cacheId="27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0">
  <location ref="D19:K21" firstHeaderRow="1" firstDataRow="2" firstDataCol="1"/>
  <pivotFields count="2">
    <pivotField dataField="1" subtotalTop="0" showAll="0" defaultSubtotal="0"/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Items count="1">
    <i/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fld="0" subtotal="count" baseField="0" baseItem="0"/>
  </dataFields>
  <chartFormats count="6">
    <chartFormat chart="9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9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9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25218A-C41E-4846-824D-DACF031956C9}" name="PivotTable8" cacheId="28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6">
  <location ref="D12:F16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701497-12E5-49B8-A4DC-B0DBEB097EDF}" name="PivotTable7" cacheId="28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0">
  <location ref="A12:B25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0" subtotal="count" baseField="0" baseItem="0"/>
  </dataFields>
  <chartFormats count="1">
    <chartFormat chart="9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5BBB19-E6FB-4B39-BA82-E31DF1029A64}" name="PivotTable6" cacheId="2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7:H10" firstHeaderRow="1" firstDataRow="3" firstDataCol="0"/>
  <pivotFields count="3"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Items count="1">
    <i/>
  </rowItems>
  <colFields count="2">
    <field x="0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Profit" fld="1" baseField="0" baseItem="0"/>
    <dataField name="Sum of Sales" fld="2" baseField="0" baseItem="0"/>
  </dataFields>
  <chartFormats count="6"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2">
    <colHierarchyUsage hierarchyUsage="7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1877D7-611C-482B-A517-F314E1511986}" name="PivotTable5" cacheId="28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9">
  <location ref="A3:E5" firstHeaderRow="1" firstDataRow="2" firstDataCol="1"/>
  <pivotFields count="2"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Items count="1">
    <i/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fld="1" subtotal="count" baseField="0" baseItem="0"/>
  </dataFields>
  <chartFormats count="6"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FE205B-9B75-4BFA-96BC-E9E4B7CF6305}" name="PivotTable9" cacheId="28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6">
  <location ref="B10:D14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4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4A7D52-DD0A-488F-8A98-B34743441590}" name="Orders" displayName="Orders" ref="A1:H151" totalsRowShown="0">
  <autoFilter ref="A1:H151" xr:uid="{E54A7D52-DD0A-488F-8A98-B34743441590}"/>
  <tableColumns count="8">
    <tableColumn id="1" xr3:uid="{627741DB-7B4D-48C0-8CD8-FFC4342D3A11}" name="Order ID" dataDxfId="9"/>
    <tableColumn id="2" xr3:uid="{AFAE1686-2FE1-465E-90B7-9BBD2422A023}" name="Order Date" dataDxfId="8"/>
    <tableColumn id="3" xr3:uid="{23A1CCF6-336A-4D87-AC59-865EFBE4AD0B}" name="Customer ID" dataDxfId="7"/>
    <tableColumn id="4" xr3:uid="{F64BB0CD-A3B8-45C0-9A99-2DD8873871A7}" name="Product Category"/>
    <tableColumn id="5" xr3:uid="{9A840A0E-C6E7-4C23-8CBF-3533CB7323B2}" name="Sales" dataDxfId="6"/>
    <tableColumn id="6" xr3:uid="{892C44D1-B6E4-48C7-9DCC-4D629F76CFAB}" name="Quantity" dataDxfId="5"/>
    <tableColumn id="7" xr3:uid="{79672321-F7A0-4BF0-B71C-AEDB487519DA}" name="Profit" dataDxfId="4"/>
    <tableColumn id="8" xr3:uid="{C9E2E1FA-95A1-4D39-B3AB-E1A2083A4809}" name="Discount" dataDxfId="3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4F291F-E42E-47AC-B73E-C6E106C5FEBC}" name="Customer" displayName="Customer" ref="A1:D101" totalsRowShown="0">
  <autoFilter ref="A1:D101" xr:uid="{504F291F-E42E-47AC-B73E-C6E106C5FEBC}"/>
  <tableColumns count="4">
    <tableColumn id="1" xr3:uid="{09CBEFF8-1A86-4F80-A81C-18A15C2ED8C0}" name="Customer ID" dataDxfId="2"/>
    <tableColumn id="2" xr3:uid="{07918834-AFC2-4C57-966C-75B1E768FE3D}" name="Customer Name"/>
    <tableColumn id="3" xr3:uid="{B778BD6A-AB6C-4965-BCD6-C5D4B1F67DA5}" name="Region"/>
    <tableColumn id="4" xr3:uid="{ECF9D8AA-498A-4CA2-A49A-F11FC79F634B}" name="Segmen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0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EF705-16E7-4251-B6E4-B6AE766C2F7A}">
  <dimension ref="A3:C20"/>
  <sheetViews>
    <sheetView workbookViewId="0">
      <selection activeCell="A3" sqref="A3"/>
    </sheetView>
  </sheetViews>
  <sheetFormatPr defaultRowHeight="14.5"/>
  <sheetData>
    <row r="3" spans="1:3">
      <c r="A3" s="7"/>
      <c r="B3" s="8"/>
      <c r="C3" s="9"/>
    </row>
    <row r="4" spans="1:3">
      <c r="A4" s="10"/>
      <c r="B4" s="11"/>
      <c r="C4" s="12"/>
    </row>
    <row r="5" spans="1:3">
      <c r="A5" s="10"/>
      <c r="B5" s="11"/>
      <c r="C5" s="12"/>
    </row>
    <row r="6" spans="1:3">
      <c r="A6" s="10"/>
      <c r="B6" s="11"/>
      <c r="C6" s="12"/>
    </row>
    <row r="7" spans="1:3">
      <c r="A7" s="10"/>
      <c r="B7" s="11"/>
      <c r="C7" s="12"/>
    </row>
    <row r="8" spans="1:3">
      <c r="A8" s="10"/>
      <c r="B8" s="11"/>
      <c r="C8" s="12"/>
    </row>
    <row r="9" spans="1:3">
      <c r="A9" s="10"/>
      <c r="B9" s="11"/>
      <c r="C9" s="12"/>
    </row>
    <row r="10" spans="1:3">
      <c r="A10" s="10"/>
      <c r="B10" s="11"/>
      <c r="C10" s="12"/>
    </row>
    <row r="11" spans="1:3">
      <c r="A11" s="10"/>
      <c r="B11" s="11"/>
      <c r="C11" s="12"/>
    </row>
    <row r="12" spans="1:3">
      <c r="A12" s="10"/>
      <c r="B12" s="11"/>
      <c r="C12" s="12"/>
    </row>
    <row r="13" spans="1:3">
      <c r="A13" s="10"/>
      <c r="B13" s="11"/>
      <c r="C13" s="12"/>
    </row>
    <row r="14" spans="1:3">
      <c r="A14" s="10"/>
      <c r="B14" s="11"/>
      <c r="C14" s="12"/>
    </row>
    <row r="15" spans="1:3">
      <c r="A15" s="10"/>
      <c r="B15" s="11"/>
      <c r="C15" s="12"/>
    </row>
    <row r="16" spans="1:3">
      <c r="A16" s="10"/>
      <c r="B16" s="11"/>
      <c r="C16" s="12"/>
    </row>
    <row r="17" spans="1:3">
      <c r="A17" s="10"/>
      <c r="B17" s="11"/>
      <c r="C17" s="12"/>
    </row>
    <row r="18" spans="1:3">
      <c r="A18" s="10"/>
      <c r="B18" s="11"/>
      <c r="C18" s="12"/>
    </row>
    <row r="19" spans="1:3">
      <c r="A19" s="10"/>
      <c r="B19" s="11"/>
      <c r="C19" s="12"/>
    </row>
    <row r="20" spans="1:3">
      <c r="A20" s="13"/>
      <c r="B20" s="14"/>
      <c r="C20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91356-68D5-410C-BE95-271357CE7E55}">
  <dimension ref="A1:H151"/>
  <sheetViews>
    <sheetView topLeftCell="A2" workbookViewId="0">
      <selection activeCell="J11" sqref="J11"/>
    </sheetView>
  </sheetViews>
  <sheetFormatPr defaultRowHeight="14.5"/>
  <cols>
    <col min="1" max="1" width="10" style="3" customWidth="1"/>
    <col min="2" max="2" width="17.26953125" customWidth="1"/>
    <col min="3" max="3" width="15.453125" customWidth="1"/>
    <col min="4" max="4" width="17.36328125" customWidth="1"/>
    <col min="5" max="5" width="12.54296875" customWidth="1"/>
    <col min="6" max="6" width="10.1796875" customWidth="1"/>
    <col min="8" max="8" width="10.1796875" customWidth="1"/>
  </cols>
  <sheetData>
    <row r="1" spans="1:8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3" t="s">
        <v>8</v>
      </c>
      <c r="B2" s="1">
        <v>45985</v>
      </c>
      <c r="C2" s="3" t="s">
        <v>9</v>
      </c>
      <c r="D2" t="s">
        <v>10</v>
      </c>
      <c r="E2" s="3">
        <v>240.44</v>
      </c>
      <c r="F2" s="3">
        <v>5</v>
      </c>
      <c r="G2" s="3">
        <v>22.11</v>
      </c>
      <c r="H2" s="3">
        <v>0.05</v>
      </c>
    </row>
    <row r="3" spans="1:8">
      <c r="A3" s="3" t="s">
        <v>11</v>
      </c>
      <c r="B3" s="1">
        <v>46004</v>
      </c>
      <c r="C3" s="3" t="s">
        <v>12</v>
      </c>
      <c r="D3" t="s">
        <v>10</v>
      </c>
      <c r="E3" s="3">
        <v>1486.52</v>
      </c>
      <c r="F3" s="3">
        <v>9</v>
      </c>
      <c r="G3" s="3">
        <v>337.66</v>
      </c>
      <c r="H3" s="3">
        <v>0</v>
      </c>
    </row>
    <row r="4" spans="1:8">
      <c r="A4" s="3" t="s">
        <v>13</v>
      </c>
      <c r="B4" s="1">
        <v>45705</v>
      </c>
      <c r="C4" s="3" t="s">
        <v>14</v>
      </c>
      <c r="D4" t="s">
        <v>15</v>
      </c>
      <c r="E4" s="3">
        <v>452.9</v>
      </c>
      <c r="F4" s="3">
        <v>9</v>
      </c>
      <c r="G4" s="3">
        <v>-19.04</v>
      </c>
      <c r="H4" s="3">
        <v>0.2</v>
      </c>
    </row>
    <row r="5" spans="1:8">
      <c r="A5" s="3" t="s">
        <v>16</v>
      </c>
      <c r="B5" s="1">
        <v>45990</v>
      </c>
      <c r="C5" s="3" t="s">
        <v>17</v>
      </c>
      <c r="D5" t="s">
        <v>10</v>
      </c>
      <c r="E5" s="3">
        <v>1408.62</v>
      </c>
      <c r="F5" s="3">
        <v>7</v>
      </c>
      <c r="G5" s="3">
        <v>225.04</v>
      </c>
      <c r="H5" s="3">
        <v>0.05</v>
      </c>
    </row>
    <row r="6" spans="1:8">
      <c r="A6" s="3" t="s">
        <v>18</v>
      </c>
      <c r="B6" s="1">
        <v>45739</v>
      </c>
      <c r="C6" s="3" t="s">
        <v>19</v>
      </c>
      <c r="D6" t="s">
        <v>20</v>
      </c>
      <c r="E6" s="3">
        <v>1402.32</v>
      </c>
      <c r="F6" s="3">
        <v>6</v>
      </c>
      <c r="G6" s="3">
        <v>65.41</v>
      </c>
      <c r="H6" s="3">
        <v>0.1</v>
      </c>
    </row>
    <row r="7" spans="1:8">
      <c r="A7" s="3" t="s">
        <v>21</v>
      </c>
      <c r="B7" s="1">
        <v>45710</v>
      </c>
      <c r="C7" s="3" t="s">
        <v>22</v>
      </c>
      <c r="D7" t="s">
        <v>20</v>
      </c>
      <c r="E7" s="3">
        <v>203.64</v>
      </c>
      <c r="F7" s="3">
        <v>2</v>
      </c>
      <c r="G7" s="3">
        <v>51.78</v>
      </c>
      <c r="H7" s="3">
        <v>0.1</v>
      </c>
    </row>
    <row r="8" spans="1:8">
      <c r="A8" s="3" t="s">
        <v>23</v>
      </c>
      <c r="B8" s="1">
        <v>45680</v>
      </c>
      <c r="C8" s="3" t="s">
        <v>24</v>
      </c>
      <c r="D8" t="s">
        <v>10</v>
      </c>
      <c r="E8" s="3">
        <v>1464.87</v>
      </c>
      <c r="F8" s="3">
        <v>9</v>
      </c>
      <c r="G8" s="3">
        <v>500.89</v>
      </c>
      <c r="H8" s="3">
        <v>0</v>
      </c>
    </row>
    <row r="9" spans="1:8">
      <c r="A9" s="3" t="s">
        <v>25</v>
      </c>
      <c r="B9" s="1">
        <v>45940</v>
      </c>
      <c r="C9" s="3" t="s">
        <v>26</v>
      </c>
      <c r="D9" t="s">
        <v>10</v>
      </c>
      <c r="E9" s="3">
        <v>600.49</v>
      </c>
      <c r="F9" s="3">
        <v>10</v>
      </c>
      <c r="G9" s="3">
        <v>104.01</v>
      </c>
      <c r="H9" s="3">
        <v>0.1</v>
      </c>
    </row>
    <row r="10" spans="1:8">
      <c r="A10" s="3" t="s">
        <v>27</v>
      </c>
      <c r="B10" s="1">
        <v>45681</v>
      </c>
      <c r="C10" s="3" t="s">
        <v>28</v>
      </c>
      <c r="D10" t="s">
        <v>20</v>
      </c>
      <c r="E10" s="3">
        <v>1329.3</v>
      </c>
      <c r="F10" s="3">
        <v>5</v>
      </c>
      <c r="G10" s="3">
        <v>407.56</v>
      </c>
      <c r="H10" s="3">
        <v>0</v>
      </c>
    </row>
    <row r="11" spans="1:8">
      <c r="A11" s="3" t="s">
        <v>29</v>
      </c>
      <c r="B11" s="1">
        <v>45800</v>
      </c>
      <c r="C11" s="3" t="s">
        <v>30</v>
      </c>
      <c r="D11" t="s">
        <v>15</v>
      </c>
      <c r="E11" s="3">
        <v>917.75</v>
      </c>
      <c r="F11" s="3">
        <v>6</v>
      </c>
      <c r="G11" s="3">
        <v>124.86</v>
      </c>
      <c r="H11" s="3">
        <v>0.05</v>
      </c>
    </row>
    <row r="12" spans="1:8">
      <c r="A12" s="3" t="s">
        <v>31</v>
      </c>
      <c r="B12" s="1">
        <v>45794</v>
      </c>
      <c r="C12" s="3" t="s">
        <v>32</v>
      </c>
      <c r="D12" t="s">
        <v>15</v>
      </c>
      <c r="E12" s="3">
        <v>1409.6</v>
      </c>
      <c r="F12" s="3">
        <v>2</v>
      </c>
      <c r="G12" s="3">
        <v>198.04</v>
      </c>
      <c r="H12" s="3">
        <v>0.2</v>
      </c>
    </row>
    <row r="13" spans="1:8">
      <c r="A13" s="3" t="s">
        <v>33</v>
      </c>
      <c r="B13" s="1">
        <v>45783</v>
      </c>
      <c r="C13" s="3" t="s">
        <v>34</v>
      </c>
      <c r="D13" t="s">
        <v>15</v>
      </c>
      <c r="E13" s="3">
        <v>343.54</v>
      </c>
      <c r="F13" s="3">
        <v>7</v>
      </c>
      <c r="G13" s="3">
        <v>101.98</v>
      </c>
      <c r="H13" s="3">
        <v>0.1</v>
      </c>
    </row>
    <row r="14" spans="1:8">
      <c r="A14" s="3" t="s">
        <v>35</v>
      </c>
      <c r="B14" s="1">
        <v>45943</v>
      </c>
      <c r="C14" s="3" t="s">
        <v>12</v>
      </c>
      <c r="D14" t="s">
        <v>20</v>
      </c>
      <c r="E14" s="3">
        <v>454.84</v>
      </c>
      <c r="F14" s="3">
        <v>6</v>
      </c>
      <c r="G14" s="3">
        <v>54</v>
      </c>
      <c r="H14" s="3">
        <v>0</v>
      </c>
    </row>
    <row r="15" spans="1:8">
      <c r="A15" s="3" t="s">
        <v>36</v>
      </c>
      <c r="B15" s="1">
        <v>45863</v>
      </c>
      <c r="C15" s="3" t="s">
        <v>37</v>
      </c>
      <c r="D15" t="s">
        <v>10</v>
      </c>
      <c r="E15" s="3">
        <v>550.13</v>
      </c>
      <c r="F15" s="3">
        <v>4</v>
      </c>
      <c r="G15" s="3">
        <v>117.13</v>
      </c>
      <c r="H15" s="3">
        <v>0.2</v>
      </c>
    </row>
    <row r="16" spans="1:8">
      <c r="A16" s="3" t="s">
        <v>38</v>
      </c>
      <c r="B16" s="1">
        <v>45993</v>
      </c>
      <c r="C16" s="3" t="s">
        <v>39</v>
      </c>
      <c r="D16" t="s">
        <v>15</v>
      </c>
      <c r="E16" s="3">
        <v>1008.48</v>
      </c>
      <c r="F16" s="3">
        <v>8</v>
      </c>
      <c r="G16" s="3">
        <v>105.35</v>
      </c>
      <c r="H16" s="3">
        <v>0.05</v>
      </c>
    </row>
    <row r="17" spans="1:8">
      <c r="A17" s="3" t="s">
        <v>40</v>
      </c>
      <c r="B17" s="1">
        <v>45945</v>
      </c>
      <c r="C17" s="3" t="s">
        <v>41</v>
      </c>
      <c r="D17" t="s">
        <v>20</v>
      </c>
      <c r="E17" s="3">
        <v>1087.18</v>
      </c>
      <c r="F17" s="3">
        <v>10</v>
      </c>
      <c r="G17" s="3">
        <v>265.64999999999998</v>
      </c>
      <c r="H17" s="3">
        <v>0.15</v>
      </c>
    </row>
    <row r="18" spans="1:8">
      <c r="A18" s="3" t="s">
        <v>42</v>
      </c>
      <c r="B18" s="1">
        <v>45770</v>
      </c>
      <c r="C18" s="3" t="s">
        <v>43</v>
      </c>
      <c r="D18" t="s">
        <v>10</v>
      </c>
      <c r="E18" s="3">
        <v>1994.71</v>
      </c>
      <c r="F18" s="3">
        <v>3</v>
      </c>
      <c r="G18" s="3">
        <v>195.59</v>
      </c>
      <c r="H18" s="3">
        <v>0.2</v>
      </c>
    </row>
    <row r="19" spans="1:8">
      <c r="A19" s="3" t="s">
        <v>44</v>
      </c>
      <c r="B19" s="1">
        <v>45714</v>
      </c>
      <c r="C19" s="3" t="s">
        <v>45</v>
      </c>
      <c r="D19" t="s">
        <v>20</v>
      </c>
      <c r="E19" s="3">
        <v>322.63</v>
      </c>
      <c r="F19" s="3">
        <v>3</v>
      </c>
      <c r="G19" s="3">
        <v>8.6</v>
      </c>
      <c r="H19" s="3">
        <v>0.3</v>
      </c>
    </row>
    <row r="20" spans="1:8">
      <c r="A20" s="3" t="s">
        <v>46</v>
      </c>
      <c r="B20" s="1">
        <v>45853</v>
      </c>
      <c r="C20" s="3" t="s">
        <v>47</v>
      </c>
      <c r="D20" t="s">
        <v>10</v>
      </c>
      <c r="E20" s="3">
        <v>1199.8599999999999</v>
      </c>
      <c r="F20" s="3">
        <v>8</v>
      </c>
      <c r="G20" s="3">
        <v>30.51</v>
      </c>
      <c r="H20" s="3">
        <v>0.2</v>
      </c>
    </row>
    <row r="21" spans="1:8">
      <c r="A21" s="3" t="s">
        <v>48</v>
      </c>
      <c r="B21" s="1">
        <v>46006</v>
      </c>
      <c r="C21" s="3" t="s">
        <v>49</v>
      </c>
      <c r="D21" t="s">
        <v>10</v>
      </c>
      <c r="E21" s="3">
        <v>1447.03</v>
      </c>
      <c r="F21" s="3">
        <v>9</v>
      </c>
      <c r="G21" s="3">
        <v>333.66</v>
      </c>
      <c r="H21" s="3">
        <v>0.1</v>
      </c>
    </row>
    <row r="22" spans="1:8">
      <c r="A22" s="3" t="s">
        <v>50</v>
      </c>
      <c r="B22" s="1">
        <v>45808</v>
      </c>
      <c r="C22" s="3" t="s">
        <v>51</v>
      </c>
      <c r="D22" t="s">
        <v>20</v>
      </c>
      <c r="E22" s="3">
        <v>880.84</v>
      </c>
      <c r="F22" s="3">
        <v>8</v>
      </c>
      <c r="G22" s="3">
        <v>296.08999999999997</v>
      </c>
      <c r="H22" s="3">
        <v>0</v>
      </c>
    </row>
    <row r="23" spans="1:8">
      <c r="A23" s="3" t="s">
        <v>52</v>
      </c>
      <c r="B23" s="1">
        <v>45914</v>
      </c>
      <c r="C23" s="3" t="s">
        <v>53</v>
      </c>
      <c r="D23" t="s">
        <v>15</v>
      </c>
      <c r="E23" s="3">
        <v>1528.69</v>
      </c>
      <c r="F23" s="3">
        <v>9</v>
      </c>
      <c r="G23" s="3">
        <v>475.66</v>
      </c>
      <c r="H23" s="3">
        <v>0</v>
      </c>
    </row>
    <row r="24" spans="1:8">
      <c r="A24" s="3" t="s">
        <v>54</v>
      </c>
      <c r="B24" s="1">
        <v>45917</v>
      </c>
      <c r="C24" s="3" t="s">
        <v>55</v>
      </c>
      <c r="D24" t="s">
        <v>15</v>
      </c>
      <c r="E24" s="3">
        <v>1225.76</v>
      </c>
      <c r="F24" s="3">
        <v>3</v>
      </c>
      <c r="G24" s="3">
        <v>280.39999999999998</v>
      </c>
      <c r="H24" s="3">
        <v>0.1</v>
      </c>
    </row>
    <row r="25" spans="1:8">
      <c r="A25" s="3" t="s">
        <v>56</v>
      </c>
      <c r="B25" s="1">
        <v>45658</v>
      </c>
      <c r="C25" s="3" t="s">
        <v>57</v>
      </c>
      <c r="D25" t="s">
        <v>20</v>
      </c>
      <c r="E25" s="3">
        <v>1205.9100000000001</v>
      </c>
      <c r="F25" s="3">
        <v>8</v>
      </c>
      <c r="G25" s="3">
        <v>100.77</v>
      </c>
      <c r="H25" s="3">
        <v>0</v>
      </c>
    </row>
    <row r="26" spans="1:8">
      <c r="A26" s="3" t="s">
        <v>58</v>
      </c>
      <c r="B26" s="1">
        <v>45780</v>
      </c>
      <c r="C26" s="3" t="s">
        <v>59</v>
      </c>
      <c r="D26" t="s">
        <v>10</v>
      </c>
      <c r="E26" s="3">
        <v>134.69</v>
      </c>
      <c r="F26" s="3">
        <v>10</v>
      </c>
      <c r="G26" s="3">
        <v>10.199999999999999</v>
      </c>
      <c r="H26" s="3">
        <v>0</v>
      </c>
    </row>
    <row r="27" spans="1:8">
      <c r="A27" s="3" t="s">
        <v>60</v>
      </c>
      <c r="B27" s="1">
        <v>45930</v>
      </c>
      <c r="C27" s="3" t="s">
        <v>47</v>
      </c>
      <c r="D27" t="s">
        <v>10</v>
      </c>
      <c r="E27" s="3">
        <v>1536.35</v>
      </c>
      <c r="F27" s="3">
        <v>3</v>
      </c>
      <c r="G27" s="3">
        <v>65.430000000000007</v>
      </c>
      <c r="H27" s="3">
        <v>0.3</v>
      </c>
    </row>
    <row r="28" spans="1:8">
      <c r="A28" s="3" t="s">
        <v>61</v>
      </c>
      <c r="B28" s="1">
        <v>45793</v>
      </c>
      <c r="C28" s="3" t="s">
        <v>55</v>
      </c>
      <c r="D28" t="s">
        <v>15</v>
      </c>
      <c r="E28" s="3">
        <v>1064.79</v>
      </c>
      <c r="F28" s="3">
        <v>10</v>
      </c>
      <c r="G28" s="3">
        <v>281.43</v>
      </c>
      <c r="H28" s="3">
        <v>0.15</v>
      </c>
    </row>
    <row r="29" spans="1:8">
      <c r="A29" s="3" t="s">
        <v>62</v>
      </c>
      <c r="B29" s="1">
        <v>46011</v>
      </c>
      <c r="C29" s="3" t="s">
        <v>63</v>
      </c>
      <c r="D29" t="s">
        <v>20</v>
      </c>
      <c r="E29" s="3">
        <v>418.28</v>
      </c>
      <c r="F29" s="3">
        <v>5</v>
      </c>
      <c r="G29" s="3">
        <v>114.42</v>
      </c>
      <c r="H29" s="3">
        <v>0.15</v>
      </c>
    </row>
    <row r="30" spans="1:8">
      <c r="A30" s="3" t="s">
        <v>64</v>
      </c>
      <c r="B30" s="1">
        <v>45882</v>
      </c>
      <c r="C30" s="3" t="s">
        <v>45</v>
      </c>
      <c r="D30" t="s">
        <v>20</v>
      </c>
      <c r="E30" s="3">
        <v>1801.24</v>
      </c>
      <c r="F30" s="3">
        <v>8</v>
      </c>
      <c r="G30" s="3">
        <v>224.02</v>
      </c>
      <c r="H30" s="3">
        <v>0</v>
      </c>
    </row>
    <row r="31" spans="1:8">
      <c r="A31" s="3" t="s">
        <v>65</v>
      </c>
      <c r="B31" s="1">
        <v>45668</v>
      </c>
      <c r="C31" s="3" t="s">
        <v>66</v>
      </c>
      <c r="D31" t="s">
        <v>15</v>
      </c>
      <c r="E31" s="3">
        <v>1184.8499999999999</v>
      </c>
      <c r="F31" s="3">
        <v>4</v>
      </c>
      <c r="G31" s="3">
        <v>19.03</v>
      </c>
      <c r="H31" s="3">
        <v>0.2</v>
      </c>
    </row>
    <row r="32" spans="1:8">
      <c r="A32" s="3" t="s">
        <v>67</v>
      </c>
      <c r="B32" s="1">
        <v>45981</v>
      </c>
      <c r="C32" s="3" t="s">
        <v>66</v>
      </c>
      <c r="D32" t="s">
        <v>15</v>
      </c>
      <c r="E32" s="3">
        <v>136.57</v>
      </c>
      <c r="F32" s="3">
        <v>2</v>
      </c>
      <c r="G32" s="3">
        <v>42.05</v>
      </c>
      <c r="H32" s="3">
        <v>0</v>
      </c>
    </row>
    <row r="33" spans="1:8">
      <c r="A33" s="3" t="s">
        <v>68</v>
      </c>
      <c r="B33" s="1">
        <v>45779</v>
      </c>
      <c r="C33" s="3" t="s">
        <v>51</v>
      </c>
      <c r="D33" t="s">
        <v>15</v>
      </c>
      <c r="E33" s="3">
        <v>571.38</v>
      </c>
      <c r="F33" s="3">
        <v>8</v>
      </c>
      <c r="G33" s="3">
        <v>106.72</v>
      </c>
      <c r="H33" s="3">
        <v>0.05</v>
      </c>
    </row>
    <row r="34" spans="1:8">
      <c r="A34" s="3" t="s">
        <v>69</v>
      </c>
      <c r="B34" s="1">
        <v>45953</v>
      </c>
      <c r="C34" s="3" t="s">
        <v>28</v>
      </c>
      <c r="D34" t="s">
        <v>15</v>
      </c>
      <c r="E34" s="3">
        <v>955.89</v>
      </c>
      <c r="F34" s="3">
        <v>8</v>
      </c>
      <c r="G34" s="3">
        <v>30.71</v>
      </c>
      <c r="H34" s="3">
        <v>0.15</v>
      </c>
    </row>
    <row r="35" spans="1:8">
      <c r="A35" s="3" t="s">
        <v>70</v>
      </c>
      <c r="B35" s="1">
        <v>45878</v>
      </c>
      <c r="C35" s="3" t="s">
        <v>71</v>
      </c>
      <c r="D35" t="s">
        <v>15</v>
      </c>
      <c r="E35" s="3">
        <v>721.51</v>
      </c>
      <c r="F35" s="3">
        <v>7</v>
      </c>
      <c r="G35" s="3">
        <v>168.94</v>
      </c>
      <c r="H35" s="3">
        <v>0.15</v>
      </c>
    </row>
    <row r="36" spans="1:8">
      <c r="A36" s="3" t="s">
        <v>72</v>
      </c>
      <c r="B36" s="1">
        <v>45992</v>
      </c>
      <c r="C36" s="3" t="s">
        <v>49</v>
      </c>
      <c r="D36" t="s">
        <v>10</v>
      </c>
      <c r="E36" s="3">
        <v>1968.65</v>
      </c>
      <c r="F36" s="3">
        <v>2</v>
      </c>
      <c r="G36" s="3">
        <v>336.22</v>
      </c>
      <c r="H36" s="3">
        <v>0</v>
      </c>
    </row>
    <row r="37" spans="1:8">
      <c r="A37" s="3" t="s">
        <v>73</v>
      </c>
      <c r="B37" s="1">
        <v>45785</v>
      </c>
      <c r="C37" s="3" t="s">
        <v>74</v>
      </c>
      <c r="D37" t="s">
        <v>20</v>
      </c>
      <c r="E37" s="3">
        <v>399.35</v>
      </c>
      <c r="F37" s="3">
        <v>9</v>
      </c>
      <c r="G37" s="3">
        <v>6.81</v>
      </c>
      <c r="H37" s="3">
        <v>0.15</v>
      </c>
    </row>
    <row r="38" spans="1:8">
      <c r="A38" s="3" t="s">
        <v>75</v>
      </c>
      <c r="B38" s="1">
        <v>45894</v>
      </c>
      <c r="C38" s="3" t="s">
        <v>47</v>
      </c>
      <c r="D38" t="s">
        <v>10</v>
      </c>
      <c r="E38" s="3">
        <v>514.62</v>
      </c>
      <c r="F38" s="3">
        <v>2</v>
      </c>
      <c r="G38" s="3">
        <v>111.88</v>
      </c>
      <c r="H38" s="3">
        <v>0.15</v>
      </c>
    </row>
    <row r="39" spans="1:8">
      <c r="A39" s="3" t="s">
        <v>76</v>
      </c>
      <c r="B39" s="1">
        <v>45683</v>
      </c>
      <c r="C39" s="3" t="s">
        <v>43</v>
      </c>
      <c r="D39" t="s">
        <v>10</v>
      </c>
      <c r="E39" s="3">
        <v>1311.25</v>
      </c>
      <c r="F39" s="3">
        <v>9</v>
      </c>
      <c r="G39" s="3">
        <v>446.74</v>
      </c>
      <c r="H39" s="3">
        <v>0</v>
      </c>
    </row>
    <row r="40" spans="1:8">
      <c r="A40" s="3" t="s">
        <v>77</v>
      </c>
      <c r="B40" s="1">
        <v>45743</v>
      </c>
      <c r="C40" s="3" t="s">
        <v>78</v>
      </c>
      <c r="D40" t="s">
        <v>10</v>
      </c>
      <c r="E40" s="3">
        <v>824.7</v>
      </c>
      <c r="F40" s="3">
        <v>8</v>
      </c>
      <c r="G40" s="3">
        <v>234.54</v>
      </c>
      <c r="H40" s="3">
        <v>0.05</v>
      </c>
    </row>
    <row r="41" spans="1:8">
      <c r="A41" s="3" t="s">
        <v>79</v>
      </c>
      <c r="B41" s="1">
        <v>45852</v>
      </c>
      <c r="C41" s="3" t="s">
        <v>80</v>
      </c>
      <c r="D41" t="s">
        <v>20</v>
      </c>
      <c r="E41" s="3">
        <v>24.27</v>
      </c>
      <c r="F41" s="3">
        <v>7</v>
      </c>
      <c r="G41" s="3">
        <v>6.75</v>
      </c>
      <c r="H41" s="3">
        <v>0.1</v>
      </c>
    </row>
    <row r="42" spans="1:8">
      <c r="A42" s="3" t="s">
        <v>81</v>
      </c>
      <c r="B42" s="1">
        <v>45874</v>
      </c>
      <c r="C42" s="3" t="s">
        <v>82</v>
      </c>
      <c r="D42" t="s">
        <v>10</v>
      </c>
      <c r="E42" s="3">
        <v>1399.25</v>
      </c>
      <c r="F42" s="3">
        <v>9</v>
      </c>
      <c r="G42" s="3">
        <v>161.63999999999999</v>
      </c>
      <c r="H42" s="3">
        <v>0.3</v>
      </c>
    </row>
    <row r="43" spans="1:8">
      <c r="A43" s="3" t="s">
        <v>83</v>
      </c>
      <c r="B43" s="1">
        <v>45809</v>
      </c>
      <c r="C43" s="3" t="s">
        <v>78</v>
      </c>
      <c r="D43" t="s">
        <v>15</v>
      </c>
      <c r="E43" s="3">
        <v>451.05</v>
      </c>
      <c r="F43" s="3">
        <v>1</v>
      </c>
      <c r="G43" s="3">
        <v>77</v>
      </c>
      <c r="H43" s="3">
        <v>0.2</v>
      </c>
    </row>
    <row r="44" spans="1:8">
      <c r="A44" s="3" t="s">
        <v>84</v>
      </c>
      <c r="B44" s="1">
        <v>45818</v>
      </c>
      <c r="C44" s="3" t="s">
        <v>85</v>
      </c>
      <c r="D44" t="s">
        <v>10</v>
      </c>
      <c r="E44" s="3">
        <v>133.19</v>
      </c>
      <c r="F44" s="3">
        <v>10</v>
      </c>
      <c r="G44" s="3">
        <v>16.760000000000002</v>
      </c>
      <c r="H44" s="3">
        <v>0.15</v>
      </c>
    </row>
    <row r="45" spans="1:8">
      <c r="A45" s="3" t="s">
        <v>86</v>
      </c>
      <c r="B45" s="1">
        <v>45687</v>
      </c>
      <c r="C45" s="3" t="s">
        <v>45</v>
      </c>
      <c r="D45" t="s">
        <v>15</v>
      </c>
      <c r="E45" s="3">
        <v>1922.34</v>
      </c>
      <c r="F45" s="3">
        <v>2</v>
      </c>
      <c r="G45" s="3">
        <v>87.57</v>
      </c>
      <c r="H45" s="3">
        <v>0.05</v>
      </c>
    </row>
    <row r="46" spans="1:8">
      <c r="A46" s="3" t="s">
        <v>87</v>
      </c>
      <c r="B46" s="1">
        <v>45778</v>
      </c>
      <c r="C46" s="3" t="s">
        <v>88</v>
      </c>
      <c r="D46" t="s">
        <v>15</v>
      </c>
      <c r="E46" s="3">
        <v>819.48</v>
      </c>
      <c r="F46" s="3">
        <v>10</v>
      </c>
      <c r="G46" s="3">
        <v>162.81</v>
      </c>
      <c r="H46" s="3">
        <v>0.05</v>
      </c>
    </row>
    <row r="47" spans="1:8">
      <c r="A47" s="3" t="s">
        <v>89</v>
      </c>
      <c r="B47" s="1">
        <v>45699</v>
      </c>
      <c r="C47" s="3" t="s">
        <v>90</v>
      </c>
      <c r="D47" t="s">
        <v>10</v>
      </c>
      <c r="E47" s="3">
        <v>850.07</v>
      </c>
      <c r="F47" s="3">
        <v>10</v>
      </c>
      <c r="G47" s="3">
        <v>90.82</v>
      </c>
      <c r="H47" s="3">
        <v>0.2</v>
      </c>
    </row>
    <row r="48" spans="1:8">
      <c r="A48" s="3" t="s">
        <v>91</v>
      </c>
      <c r="B48" s="1">
        <v>46000</v>
      </c>
      <c r="C48" s="3" t="s">
        <v>92</v>
      </c>
      <c r="D48" t="s">
        <v>15</v>
      </c>
      <c r="E48" s="3">
        <v>1438.06</v>
      </c>
      <c r="F48" s="3">
        <v>4</v>
      </c>
      <c r="G48" s="3">
        <v>170.75</v>
      </c>
      <c r="H48" s="3">
        <v>0.1</v>
      </c>
    </row>
    <row r="49" spans="1:8">
      <c r="A49" s="3" t="s">
        <v>93</v>
      </c>
      <c r="B49" s="1">
        <v>45811</v>
      </c>
      <c r="C49" s="3" t="s">
        <v>94</v>
      </c>
      <c r="D49" t="s">
        <v>10</v>
      </c>
      <c r="E49" s="3">
        <v>925.3</v>
      </c>
      <c r="F49" s="3">
        <v>2</v>
      </c>
      <c r="G49" s="3">
        <v>173.48</v>
      </c>
      <c r="H49" s="3">
        <v>0</v>
      </c>
    </row>
    <row r="50" spans="1:8">
      <c r="A50" s="3" t="s">
        <v>95</v>
      </c>
      <c r="B50" s="1">
        <v>45695</v>
      </c>
      <c r="C50" s="3" t="s">
        <v>96</v>
      </c>
      <c r="D50" t="s">
        <v>10</v>
      </c>
      <c r="E50" s="3">
        <v>1084.52</v>
      </c>
      <c r="F50" s="3">
        <v>9</v>
      </c>
      <c r="G50" s="3">
        <v>43.1</v>
      </c>
      <c r="H50" s="3">
        <v>0.1</v>
      </c>
    </row>
    <row r="51" spans="1:8">
      <c r="A51" s="3" t="s">
        <v>97</v>
      </c>
      <c r="B51" s="1">
        <v>45783</v>
      </c>
      <c r="C51" s="3" t="s">
        <v>26</v>
      </c>
      <c r="D51" t="s">
        <v>20</v>
      </c>
      <c r="E51" s="3">
        <v>751.66</v>
      </c>
      <c r="F51" s="3">
        <v>3</v>
      </c>
      <c r="G51" s="3">
        <v>169.22</v>
      </c>
      <c r="H51" s="3">
        <v>0.15</v>
      </c>
    </row>
    <row r="52" spans="1:8">
      <c r="A52" s="3" t="s">
        <v>98</v>
      </c>
      <c r="B52" s="1">
        <v>45971</v>
      </c>
      <c r="C52" s="3" t="s">
        <v>47</v>
      </c>
      <c r="D52" t="s">
        <v>20</v>
      </c>
      <c r="E52" s="3">
        <v>1968.03</v>
      </c>
      <c r="F52" s="3">
        <v>9</v>
      </c>
      <c r="G52" s="3">
        <v>492.71</v>
      </c>
      <c r="H52" s="3">
        <v>0</v>
      </c>
    </row>
    <row r="53" spans="1:8">
      <c r="A53" s="3" t="s">
        <v>99</v>
      </c>
      <c r="B53" s="1">
        <v>45997</v>
      </c>
      <c r="C53" s="3" t="s">
        <v>100</v>
      </c>
      <c r="D53" t="s">
        <v>15</v>
      </c>
      <c r="E53" s="3">
        <v>225.1</v>
      </c>
      <c r="F53" s="3">
        <v>3</v>
      </c>
      <c r="G53" s="3">
        <v>7.79</v>
      </c>
      <c r="H53" s="3">
        <v>0.1</v>
      </c>
    </row>
    <row r="54" spans="1:8">
      <c r="A54" s="3" t="s">
        <v>101</v>
      </c>
      <c r="B54" s="1">
        <v>45941</v>
      </c>
      <c r="C54" s="3" t="s">
        <v>49</v>
      </c>
      <c r="D54" t="s">
        <v>10</v>
      </c>
      <c r="E54" s="3">
        <v>327.79</v>
      </c>
      <c r="F54" s="3">
        <v>5</v>
      </c>
      <c r="G54" s="3">
        <v>4.32</v>
      </c>
      <c r="H54" s="3">
        <v>0.2</v>
      </c>
    </row>
    <row r="55" spans="1:8">
      <c r="A55" s="3" t="s">
        <v>102</v>
      </c>
      <c r="B55" s="1">
        <v>46009</v>
      </c>
      <c r="C55" s="3" t="s">
        <v>71</v>
      </c>
      <c r="D55" t="s">
        <v>10</v>
      </c>
      <c r="E55" s="3">
        <v>1275.79</v>
      </c>
      <c r="F55" s="3">
        <v>5</v>
      </c>
      <c r="G55" s="3">
        <v>123.19</v>
      </c>
      <c r="H55" s="3">
        <v>0.2</v>
      </c>
    </row>
    <row r="56" spans="1:8">
      <c r="A56" s="3" t="s">
        <v>103</v>
      </c>
      <c r="B56" s="1">
        <v>45982</v>
      </c>
      <c r="C56" s="3" t="s">
        <v>104</v>
      </c>
      <c r="D56" t="s">
        <v>10</v>
      </c>
      <c r="E56" s="3">
        <v>858.68</v>
      </c>
      <c r="F56" s="3">
        <v>5</v>
      </c>
      <c r="G56" s="3">
        <v>43.85</v>
      </c>
      <c r="H56" s="3">
        <v>0</v>
      </c>
    </row>
    <row r="57" spans="1:8">
      <c r="A57" s="3" t="s">
        <v>105</v>
      </c>
      <c r="B57" s="1">
        <v>45984</v>
      </c>
      <c r="C57" s="3" t="s">
        <v>26</v>
      </c>
      <c r="D57" t="s">
        <v>20</v>
      </c>
      <c r="E57" s="3">
        <v>1960</v>
      </c>
      <c r="F57" s="3">
        <v>3</v>
      </c>
      <c r="G57" s="3">
        <v>63.8</v>
      </c>
      <c r="H57" s="3">
        <v>0.3</v>
      </c>
    </row>
    <row r="58" spans="1:8">
      <c r="A58" s="3" t="s">
        <v>106</v>
      </c>
      <c r="B58" s="1">
        <v>45945</v>
      </c>
      <c r="C58" s="3" t="s">
        <v>55</v>
      </c>
      <c r="D58" t="s">
        <v>10</v>
      </c>
      <c r="E58" s="3">
        <v>39.15</v>
      </c>
      <c r="F58" s="3">
        <v>2</v>
      </c>
      <c r="G58" s="3">
        <v>6.7</v>
      </c>
      <c r="H58" s="3">
        <v>0.3</v>
      </c>
    </row>
    <row r="59" spans="1:8">
      <c r="A59" s="3" t="s">
        <v>107</v>
      </c>
      <c r="B59" s="1">
        <v>45847</v>
      </c>
      <c r="C59" s="3" t="s">
        <v>108</v>
      </c>
      <c r="D59" t="s">
        <v>20</v>
      </c>
      <c r="E59" s="3">
        <v>1173.3699999999999</v>
      </c>
      <c r="F59" s="3">
        <v>3</v>
      </c>
      <c r="G59" s="3">
        <v>15.53</v>
      </c>
      <c r="H59" s="3">
        <v>0.15</v>
      </c>
    </row>
    <row r="60" spans="1:8">
      <c r="A60" s="3" t="s">
        <v>109</v>
      </c>
      <c r="B60" s="1">
        <v>45678</v>
      </c>
      <c r="C60" s="3" t="s">
        <v>100</v>
      </c>
      <c r="D60" t="s">
        <v>20</v>
      </c>
      <c r="E60" s="3">
        <v>1799.87</v>
      </c>
      <c r="F60" s="3">
        <v>4</v>
      </c>
      <c r="G60" s="3">
        <v>-45.25</v>
      </c>
      <c r="H60" s="3">
        <v>0.3</v>
      </c>
    </row>
    <row r="61" spans="1:8">
      <c r="A61" s="3" t="s">
        <v>110</v>
      </c>
      <c r="B61" s="1">
        <v>45944</v>
      </c>
      <c r="C61" s="3" t="s">
        <v>111</v>
      </c>
      <c r="D61" t="s">
        <v>10</v>
      </c>
      <c r="E61" s="3">
        <v>1770.59</v>
      </c>
      <c r="F61" s="3">
        <v>7</v>
      </c>
      <c r="G61" s="3">
        <v>309.58</v>
      </c>
      <c r="H61" s="3">
        <v>0.2</v>
      </c>
    </row>
    <row r="62" spans="1:8">
      <c r="A62" s="3" t="s">
        <v>112</v>
      </c>
      <c r="B62" s="1">
        <v>45748</v>
      </c>
      <c r="C62" s="3" t="s">
        <v>113</v>
      </c>
      <c r="D62" t="s">
        <v>20</v>
      </c>
      <c r="E62" s="3">
        <v>1765.2</v>
      </c>
      <c r="F62" s="3">
        <v>1</v>
      </c>
      <c r="G62" s="3">
        <v>434.19</v>
      </c>
      <c r="H62" s="3">
        <v>0.05</v>
      </c>
    </row>
    <row r="63" spans="1:8">
      <c r="A63" s="3" t="s">
        <v>114</v>
      </c>
      <c r="B63" s="1">
        <v>46000</v>
      </c>
      <c r="C63" s="3" t="s">
        <v>115</v>
      </c>
      <c r="D63" t="s">
        <v>10</v>
      </c>
      <c r="E63" s="3">
        <v>1730.85</v>
      </c>
      <c r="F63" s="3">
        <v>4</v>
      </c>
      <c r="G63" s="3">
        <v>82.66</v>
      </c>
      <c r="H63" s="3">
        <v>0.1</v>
      </c>
    </row>
    <row r="64" spans="1:8">
      <c r="A64" s="3" t="s">
        <v>116</v>
      </c>
      <c r="B64" s="1">
        <v>45853</v>
      </c>
      <c r="C64" s="3" t="s">
        <v>80</v>
      </c>
      <c r="D64" t="s">
        <v>20</v>
      </c>
      <c r="E64" s="3">
        <v>1746.89</v>
      </c>
      <c r="F64" s="3">
        <v>8</v>
      </c>
      <c r="G64" s="3">
        <v>148.26</v>
      </c>
      <c r="H64" s="3">
        <v>0.05</v>
      </c>
    </row>
    <row r="65" spans="1:8">
      <c r="A65" s="3" t="s">
        <v>117</v>
      </c>
      <c r="B65" s="1">
        <v>45814</v>
      </c>
      <c r="C65" s="3" t="s">
        <v>118</v>
      </c>
      <c r="D65" t="s">
        <v>20</v>
      </c>
      <c r="E65" s="3">
        <v>1644.66</v>
      </c>
      <c r="F65" s="3">
        <v>4</v>
      </c>
      <c r="G65" s="3">
        <v>52.79</v>
      </c>
      <c r="H65" s="3">
        <v>0.05</v>
      </c>
    </row>
    <row r="66" spans="1:8">
      <c r="A66" s="3" t="s">
        <v>119</v>
      </c>
      <c r="B66" s="1">
        <v>45826</v>
      </c>
      <c r="C66" s="3" t="s">
        <v>120</v>
      </c>
      <c r="D66" t="s">
        <v>20</v>
      </c>
      <c r="E66" s="3">
        <v>571.63</v>
      </c>
      <c r="F66" s="3">
        <v>2</v>
      </c>
      <c r="G66" s="3">
        <v>60.22</v>
      </c>
      <c r="H66" s="3">
        <v>0.1</v>
      </c>
    </row>
    <row r="67" spans="1:8">
      <c r="A67" s="3" t="s">
        <v>121</v>
      </c>
      <c r="B67" s="1">
        <v>46005</v>
      </c>
      <c r="C67" s="3" t="s">
        <v>122</v>
      </c>
      <c r="D67" t="s">
        <v>20</v>
      </c>
      <c r="E67" s="3">
        <v>1962.68</v>
      </c>
      <c r="F67" s="3">
        <v>9</v>
      </c>
      <c r="G67" s="3">
        <v>553.03</v>
      </c>
      <c r="H67" s="3">
        <v>0.1</v>
      </c>
    </row>
    <row r="68" spans="1:8">
      <c r="A68" s="3" t="s">
        <v>123</v>
      </c>
      <c r="B68" s="1">
        <v>45749</v>
      </c>
      <c r="C68" s="3" t="s">
        <v>124</v>
      </c>
      <c r="D68" t="s">
        <v>20</v>
      </c>
      <c r="E68" s="3">
        <v>1169.57</v>
      </c>
      <c r="F68" s="3">
        <v>5</v>
      </c>
      <c r="G68" s="3">
        <v>96.51</v>
      </c>
      <c r="H68" s="3">
        <v>0</v>
      </c>
    </row>
    <row r="69" spans="1:8">
      <c r="A69" s="3" t="s">
        <v>125</v>
      </c>
      <c r="B69" s="1">
        <v>45818</v>
      </c>
      <c r="C69" s="3" t="s">
        <v>126</v>
      </c>
      <c r="D69" t="s">
        <v>10</v>
      </c>
      <c r="E69" s="3">
        <v>884.06</v>
      </c>
      <c r="F69" s="3">
        <v>9</v>
      </c>
      <c r="G69" s="3">
        <v>146.36000000000001</v>
      </c>
      <c r="H69" s="3">
        <v>0</v>
      </c>
    </row>
    <row r="70" spans="1:8">
      <c r="A70" s="3" t="s">
        <v>127</v>
      </c>
      <c r="B70" s="1">
        <v>45788</v>
      </c>
      <c r="C70" s="3" t="s">
        <v>32</v>
      </c>
      <c r="D70" t="s">
        <v>15</v>
      </c>
      <c r="E70" s="3">
        <v>107.89</v>
      </c>
      <c r="F70" s="3">
        <v>7</v>
      </c>
      <c r="G70" s="3">
        <v>22.22</v>
      </c>
      <c r="H70" s="3">
        <v>0</v>
      </c>
    </row>
    <row r="71" spans="1:8">
      <c r="A71" s="3" t="s">
        <v>128</v>
      </c>
      <c r="B71" s="1">
        <v>46001</v>
      </c>
      <c r="C71" s="3" t="s">
        <v>113</v>
      </c>
      <c r="D71" t="s">
        <v>15</v>
      </c>
      <c r="E71" s="3">
        <v>410.13</v>
      </c>
      <c r="F71" s="3">
        <v>7</v>
      </c>
      <c r="G71" s="3">
        <v>137.26</v>
      </c>
      <c r="H71" s="3">
        <v>0</v>
      </c>
    </row>
    <row r="72" spans="1:8">
      <c r="A72" s="3" t="s">
        <v>129</v>
      </c>
      <c r="B72" s="1">
        <v>45818</v>
      </c>
      <c r="C72" s="3" t="s">
        <v>130</v>
      </c>
      <c r="D72" t="s">
        <v>20</v>
      </c>
      <c r="E72" s="3">
        <v>1333.51</v>
      </c>
      <c r="F72" s="3">
        <v>2</v>
      </c>
      <c r="G72" s="3">
        <v>226.72</v>
      </c>
      <c r="H72" s="3">
        <v>0.3</v>
      </c>
    </row>
    <row r="73" spans="1:8">
      <c r="A73" s="3" t="s">
        <v>131</v>
      </c>
      <c r="B73" s="1">
        <v>45999</v>
      </c>
      <c r="C73" s="3" t="s">
        <v>132</v>
      </c>
      <c r="D73" t="s">
        <v>10</v>
      </c>
      <c r="E73" s="3">
        <v>828.62</v>
      </c>
      <c r="F73" s="3">
        <v>7</v>
      </c>
      <c r="G73" s="3">
        <v>-9.3699999999999992</v>
      </c>
      <c r="H73" s="3">
        <v>0.3</v>
      </c>
    </row>
    <row r="74" spans="1:8">
      <c r="A74" s="3" t="s">
        <v>133</v>
      </c>
      <c r="B74" s="1">
        <v>45873</v>
      </c>
      <c r="C74" s="3" t="s">
        <v>134</v>
      </c>
      <c r="D74" t="s">
        <v>15</v>
      </c>
      <c r="E74" s="3">
        <v>1336.56</v>
      </c>
      <c r="F74" s="3">
        <v>7</v>
      </c>
      <c r="G74" s="3">
        <v>166.32</v>
      </c>
      <c r="H74" s="3">
        <v>0.3</v>
      </c>
    </row>
    <row r="75" spans="1:8">
      <c r="A75" s="3" t="s">
        <v>135</v>
      </c>
      <c r="B75" s="1">
        <v>45949</v>
      </c>
      <c r="C75" s="3" t="s">
        <v>30</v>
      </c>
      <c r="D75" t="s">
        <v>20</v>
      </c>
      <c r="E75" s="3">
        <v>615.88</v>
      </c>
      <c r="F75" s="3">
        <v>9</v>
      </c>
      <c r="G75" s="3">
        <v>86.94</v>
      </c>
      <c r="H75" s="3">
        <v>0</v>
      </c>
    </row>
    <row r="76" spans="1:8">
      <c r="A76" s="3" t="s">
        <v>136</v>
      </c>
      <c r="B76" s="1">
        <v>45954</v>
      </c>
      <c r="C76" s="3" t="s">
        <v>137</v>
      </c>
      <c r="D76" t="s">
        <v>10</v>
      </c>
      <c r="E76" s="3">
        <v>1221.19</v>
      </c>
      <c r="F76" s="3">
        <v>6</v>
      </c>
      <c r="G76" s="3">
        <v>131.32</v>
      </c>
      <c r="H76" s="3">
        <v>0.15</v>
      </c>
    </row>
    <row r="77" spans="1:8">
      <c r="A77" s="3" t="s">
        <v>138</v>
      </c>
      <c r="B77" s="1">
        <v>45919</v>
      </c>
      <c r="C77" s="3" t="s">
        <v>120</v>
      </c>
      <c r="D77" t="s">
        <v>15</v>
      </c>
      <c r="E77" s="3">
        <v>956.91</v>
      </c>
      <c r="F77" s="3">
        <v>3</v>
      </c>
      <c r="G77" s="3">
        <v>-71.349999999999994</v>
      </c>
      <c r="H77" s="3">
        <v>0.3</v>
      </c>
    </row>
    <row r="78" spans="1:8">
      <c r="A78" s="3" t="s">
        <v>139</v>
      </c>
      <c r="B78" s="1">
        <v>45982</v>
      </c>
      <c r="C78" s="3" t="s">
        <v>140</v>
      </c>
      <c r="D78" t="s">
        <v>10</v>
      </c>
      <c r="E78" s="3">
        <v>1246.1400000000001</v>
      </c>
      <c r="F78" s="3">
        <v>2</v>
      </c>
      <c r="G78" s="3">
        <v>282.67</v>
      </c>
      <c r="H78" s="3">
        <v>0.05</v>
      </c>
    </row>
    <row r="79" spans="1:8">
      <c r="A79" s="3" t="s">
        <v>141</v>
      </c>
      <c r="B79" s="1">
        <v>45733</v>
      </c>
      <c r="C79" s="3" t="s">
        <v>104</v>
      </c>
      <c r="D79" t="s">
        <v>10</v>
      </c>
      <c r="E79" s="3">
        <v>68.36</v>
      </c>
      <c r="F79" s="3">
        <v>4</v>
      </c>
      <c r="G79" s="3">
        <v>10.83</v>
      </c>
      <c r="H79" s="3">
        <v>0.15</v>
      </c>
    </row>
    <row r="80" spans="1:8">
      <c r="A80" s="3" t="s">
        <v>142</v>
      </c>
      <c r="B80" s="1">
        <v>45891</v>
      </c>
      <c r="C80" s="3" t="s">
        <v>143</v>
      </c>
      <c r="D80" t="s">
        <v>20</v>
      </c>
      <c r="E80" s="3">
        <v>840.59</v>
      </c>
      <c r="F80" s="3">
        <v>10</v>
      </c>
      <c r="G80" s="3">
        <v>202.17</v>
      </c>
      <c r="H80" s="3">
        <v>0.05</v>
      </c>
    </row>
    <row r="81" spans="1:8">
      <c r="A81" s="3" t="s">
        <v>144</v>
      </c>
      <c r="B81" s="1">
        <v>45862</v>
      </c>
      <c r="C81" s="3" t="s">
        <v>140</v>
      </c>
      <c r="D81" t="s">
        <v>10</v>
      </c>
      <c r="E81" s="3">
        <v>503.09</v>
      </c>
      <c r="F81" s="3">
        <v>1</v>
      </c>
      <c r="G81" s="3">
        <v>142.63999999999999</v>
      </c>
      <c r="H81" s="3">
        <v>0</v>
      </c>
    </row>
    <row r="82" spans="1:8">
      <c r="A82" s="3" t="s">
        <v>145</v>
      </c>
      <c r="B82" s="1">
        <v>46014</v>
      </c>
      <c r="C82" s="3" t="s">
        <v>146</v>
      </c>
      <c r="D82" t="s">
        <v>20</v>
      </c>
      <c r="E82" s="3">
        <v>1045.56</v>
      </c>
      <c r="F82" s="3">
        <v>1</v>
      </c>
      <c r="G82" s="3">
        <v>25.89</v>
      </c>
      <c r="H82" s="3">
        <v>0.2</v>
      </c>
    </row>
    <row r="83" spans="1:8">
      <c r="A83" s="3" t="s">
        <v>147</v>
      </c>
      <c r="B83" s="1">
        <v>45726</v>
      </c>
      <c r="C83" s="3" t="s">
        <v>43</v>
      </c>
      <c r="D83" t="s">
        <v>20</v>
      </c>
      <c r="E83" s="3">
        <v>1606.8</v>
      </c>
      <c r="F83" s="3">
        <v>9</v>
      </c>
      <c r="G83" s="3">
        <v>206.69</v>
      </c>
      <c r="H83" s="3">
        <v>0.2</v>
      </c>
    </row>
    <row r="84" spans="1:8">
      <c r="A84" s="3" t="s">
        <v>148</v>
      </c>
      <c r="B84" s="1">
        <v>45971</v>
      </c>
      <c r="C84" s="3" t="s">
        <v>47</v>
      </c>
      <c r="D84" t="s">
        <v>20</v>
      </c>
      <c r="E84" s="3">
        <v>1633.71</v>
      </c>
      <c r="F84" s="3">
        <v>9</v>
      </c>
      <c r="G84" s="3">
        <v>366.23</v>
      </c>
      <c r="H84" s="3">
        <v>0.15</v>
      </c>
    </row>
    <row r="85" spans="1:8">
      <c r="A85" s="3" t="s">
        <v>149</v>
      </c>
      <c r="B85" s="1">
        <v>45739</v>
      </c>
      <c r="C85" s="3" t="s">
        <v>39</v>
      </c>
      <c r="D85" t="s">
        <v>15</v>
      </c>
      <c r="E85" s="3">
        <v>1492.44</v>
      </c>
      <c r="F85" s="3">
        <v>8</v>
      </c>
      <c r="G85" s="3">
        <v>78.739999999999995</v>
      </c>
      <c r="H85" s="3">
        <v>0.15</v>
      </c>
    </row>
    <row r="86" spans="1:8">
      <c r="A86" s="3" t="s">
        <v>150</v>
      </c>
      <c r="B86" s="1">
        <v>45799</v>
      </c>
      <c r="C86" s="3" t="s">
        <v>17</v>
      </c>
      <c r="D86" t="s">
        <v>20</v>
      </c>
      <c r="E86" s="3">
        <v>1536.31</v>
      </c>
      <c r="F86" s="3">
        <v>9</v>
      </c>
      <c r="G86" s="3">
        <v>250.46</v>
      </c>
      <c r="H86" s="3">
        <v>0.15</v>
      </c>
    </row>
    <row r="87" spans="1:8">
      <c r="A87" s="3" t="s">
        <v>151</v>
      </c>
      <c r="B87" s="1">
        <v>45697</v>
      </c>
      <c r="C87" s="3" t="s">
        <v>55</v>
      </c>
      <c r="D87" t="s">
        <v>10</v>
      </c>
      <c r="E87" s="3">
        <v>1432.82</v>
      </c>
      <c r="F87" s="3">
        <v>4</v>
      </c>
      <c r="G87" s="3">
        <v>144.36000000000001</v>
      </c>
      <c r="H87" s="3">
        <v>0.1</v>
      </c>
    </row>
    <row r="88" spans="1:8">
      <c r="A88" s="3" t="s">
        <v>152</v>
      </c>
      <c r="B88" s="1">
        <v>45728</v>
      </c>
      <c r="C88" s="3" t="s">
        <v>153</v>
      </c>
      <c r="D88" t="s">
        <v>10</v>
      </c>
      <c r="E88" s="3">
        <v>318.64</v>
      </c>
      <c r="F88" s="3">
        <v>7</v>
      </c>
      <c r="G88" s="3">
        <v>-17.260000000000002</v>
      </c>
      <c r="H88" s="3">
        <v>0.3</v>
      </c>
    </row>
    <row r="89" spans="1:8">
      <c r="A89" s="3" t="s">
        <v>154</v>
      </c>
      <c r="B89" s="1">
        <v>45870</v>
      </c>
      <c r="C89" s="3" t="s">
        <v>30</v>
      </c>
      <c r="D89" t="s">
        <v>20</v>
      </c>
      <c r="E89" s="3">
        <v>827.05</v>
      </c>
      <c r="F89" s="3">
        <v>9</v>
      </c>
      <c r="G89" s="3">
        <v>82.48</v>
      </c>
      <c r="H89" s="3">
        <v>0.15</v>
      </c>
    </row>
    <row r="90" spans="1:8">
      <c r="A90" s="3" t="s">
        <v>155</v>
      </c>
      <c r="B90" s="1">
        <v>45857</v>
      </c>
      <c r="C90" s="3" t="s">
        <v>19</v>
      </c>
      <c r="D90" t="s">
        <v>15</v>
      </c>
      <c r="E90" s="3">
        <v>1811.58</v>
      </c>
      <c r="F90" s="3">
        <v>10</v>
      </c>
      <c r="G90" s="3">
        <v>-170.54</v>
      </c>
      <c r="H90" s="3">
        <v>0.3</v>
      </c>
    </row>
    <row r="91" spans="1:8">
      <c r="A91" s="3" t="s">
        <v>156</v>
      </c>
      <c r="B91" s="1">
        <v>45852</v>
      </c>
      <c r="C91" s="3" t="s">
        <v>157</v>
      </c>
      <c r="D91" t="s">
        <v>15</v>
      </c>
      <c r="E91" s="3">
        <v>964.42</v>
      </c>
      <c r="F91" s="3">
        <v>6</v>
      </c>
      <c r="G91" s="3">
        <v>218</v>
      </c>
      <c r="H91" s="3">
        <v>0.1</v>
      </c>
    </row>
    <row r="92" spans="1:8">
      <c r="A92" s="3" t="s">
        <v>158</v>
      </c>
      <c r="B92" s="1">
        <v>45937</v>
      </c>
      <c r="C92" s="3" t="s">
        <v>124</v>
      </c>
      <c r="D92" t="s">
        <v>20</v>
      </c>
      <c r="E92" s="3">
        <v>1603.74</v>
      </c>
      <c r="F92" s="3">
        <v>4</v>
      </c>
      <c r="G92" s="3">
        <v>65.48</v>
      </c>
      <c r="H92" s="3">
        <v>0.15</v>
      </c>
    </row>
    <row r="93" spans="1:8">
      <c r="A93" s="3" t="s">
        <v>159</v>
      </c>
      <c r="B93" s="1">
        <v>45672</v>
      </c>
      <c r="C93" s="3" t="s">
        <v>160</v>
      </c>
      <c r="D93" t="s">
        <v>10</v>
      </c>
      <c r="E93" s="3">
        <v>789.94</v>
      </c>
      <c r="F93" s="3">
        <v>7</v>
      </c>
      <c r="G93" s="3">
        <v>-39.880000000000003</v>
      </c>
      <c r="H93" s="3">
        <v>0.3</v>
      </c>
    </row>
    <row r="94" spans="1:8">
      <c r="A94" s="3" t="s">
        <v>161</v>
      </c>
      <c r="B94" s="1">
        <v>45976</v>
      </c>
      <c r="C94" s="3" t="s">
        <v>162</v>
      </c>
      <c r="D94" t="s">
        <v>10</v>
      </c>
      <c r="E94" s="3">
        <v>1077.56</v>
      </c>
      <c r="F94" s="3">
        <v>7</v>
      </c>
      <c r="G94" s="3">
        <v>128.57</v>
      </c>
      <c r="H94" s="3">
        <v>0.2</v>
      </c>
    </row>
    <row r="95" spans="1:8">
      <c r="A95" s="3" t="s">
        <v>163</v>
      </c>
      <c r="B95" s="1">
        <v>45987</v>
      </c>
      <c r="C95" s="3" t="s">
        <v>24</v>
      </c>
      <c r="D95" t="s">
        <v>20</v>
      </c>
      <c r="E95" s="3">
        <v>868.65</v>
      </c>
      <c r="F95" s="3">
        <v>8</v>
      </c>
      <c r="G95" s="3">
        <v>34.82</v>
      </c>
      <c r="H95" s="3">
        <v>0.05</v>
      </c>
    </row>
    <row r="96" spans="1:8">
      <c r="A96" s="3" t="s">
        <v>164</v>
      </c>
      <c r="B96" s="1">
        <v>45766</v>
      </c>
      <c r="C96" s="3" t="s">
        <v>157</v>
      </c>
      <c r="D96" t="s">
        <v>20</v>
      </c>
      <c r="E96" s="3">
        <v>920.3</v>
      </c>
      <c r="F96" s="3">
        <v>6</v>
      </c>
      <c r="G96" s="3">
        <v>53.82</v>
      </c>
      <c r="H96" s="3">
        <v>0.15</v>
      </c>
    </row>
    <row r="97" spans="1:8">
      <c r="A97" s="3" t="s">
        <v>165</v>
      </c>
      <c r="B97" s="1">
        <v>45699</v>
      </c>
      <c r="C97" s="3" t="s">
        <v>96</v>
      </c>
      <c r="D97" t="s">
        <v>10</v>
      </c>
      <c r="E97" s="3">
        <v>951.21</v>
      </c>
      <c r="F97" s="3">
        <v>9</v>
      </c>
      <c r="G97" s="3">
        <v>332.9</v>
      </c>
      <c r="H97" s="3">
        <v>0</v>
      </c>
    </row>
    <row r="98" spans="1:8">
      <c r="A98" s="3" t="s">
        <v>166</v>
      </c>
      <c r="B98" s="1">
        <v>45990</v>
      </c>
      <c r="C98" s="3" t="s">
        <v>14</v>
      </c>
      <c r="D98" t="s">
        <v>10</v>
      </c>
      <c r="E98" s="3">
        <v>155.86000000000001</v>
      </c>
      <c r="F98" s="3">
        <v>1</v>
      </c>
      <c r="G98" s="3">
        <v>52.19</v>
      </c>
      <c r="H98" s="3">
        <v>0</v>
      </c>
    </row>
    <row r="99" spans="1:8">
      <c r="A99" s="3" t="s">
        <v>167</v>
      </c>
      <c r="B99" s="1">
        <v>45976</v>
      </c>
      <c r="C99" s="3" t="s">
        <v>94</v>
      </c>
      <c r="D99" t="s">
        <v>10</v>
      </c>
      <c r="E99" s="3">
        <v>321.72000000000003</v>
      </c>
      <c r="F99" s="3">
        <v>3</v>
      </c>
      <c r="G99" s="3">
        <v>56.57</v>
      </c>
      <c r="H99" s="3">
        <v>0.15</v>
      </c>
    </row>
    <row r="100" spans="1:8">
      <c r="A100" s="3" t="s">
        <v>168</v>
      </c>
      <c r="B100" s="1">
        <v>45896</v>
      </c>
      <c r="C100" s="3" t="s">
        <v>169</v>
      </c>
      <c r="D100" t="s">
        <v>15</v>
      </c>
      <c r="E100" s="3">
        <v>1404.94</v>
      </c>
      <c r="F100" s="3">
        <v>6</v>
      </c>
      <c r="G100" s="3">
        <v>290.5</v>
      </c>
      <c r="H100" s="3">
        <v>0.05</v>
      </c>
    </row>
    <row r="101" spans="1:8">
      <c r="A101" s="3" t="s">
        <v>170</v>
      </c>
      <c r="B101" s="1">
        <v>45716</v>
      </c>
      <c r="C101" s="3" t="s">
        <v>162</v>
      </c>
      <c r="D101" t="s">
        <v>20</v>
      </c>
      <c r="E101" s="3">
        <v>1560.03</v>
      </c>
      <c r="F101" s="3">
        <v>3</v>
      </c>
      <c r="G101" s="3">
        <v>50.59</v>
      </c>
      <c r="H101" s="3">
        <v>0.1</v>
      </c>
    </row>
    <row r="102" spans="1:8">
      <c r="A102" s="3" t="s">
        <v>171</v>
      </c>
      <c r="B102" s="1">
        <v>45952</v>
      </c>
      <c r="C102" s="3" t="s">
        <v>14</v>
      </c>
      <c r="D102" t="s">
        <v>10</v>
      </c>
      <c r="E102" s="3">
        <v>1361.15</v>
      </c>
      <c r="F102" s="3">
        <v>7</v>
      </c>
      <c r="G102" s="3">
        <v>350.42</v>
      </c>
      <c r="H102" s="3">
        <v>0.15</v>
      </c>
    </row>
    <row r="103" spans="1:8">
      <c r="A103" s="3" t="s">
        <v>172</v>
      </c>
      <c r="B103" s="1">
        <v>45961</v>
      </c>
      <c r="C103" s="3" t="s">
        <v>53</v>
      </c>
      <c r="D103" t="s">
        <v>15</v>
      </c>
      <c r="E103" s="3">
        <v>1387.42</v>
      </c>
      <c r="F103" s="3">
        <v>4</v>
      </c>
      <c r="G103" s="3">
        <v>359.56</v>
      </c>
      <c r="H103" s="3">
        <v>0</v>
      </c>
    </row>
    <row r="104" spans="1:8">
      <c r="A104" s="3" t="s">
        <v>173</v>
      </c>
      <c r="B104" s="1">
        <v>45965</v>
      </c>
      <c r="C104" s="3" t="s">
        <v>174</v>
      </c>
      <c r="D104" t="s">
        <v>15</v>
      </c>
      <c r="E104" s="3">
        <v>1614.95</v>
      </c>
      <c r="F104" s="3">
        <v>10</v>
      </c>
      <c r="G104" s="3">
        <v>248.96</v>
      </c>
      <c r="H104" s="3">
        <v>0</v>
      </c>
    </row>
    <row r="105" spans="1:8">
      <c r="A105" s="3" t="s">
        <v>175</v>
      </c>
      <c r="B105" s="1">
        <v>45847</v>
      </c>
      <c r="C105" s="3" t="s">
        <v>59</v>
      </c>
      <c r="D105" t="s">
        <v>10</v>
      </c>
      <c r="E105" s="3">
        <v>156.53</v>
      </c>
      <c r="F105" s="3">
        <v>6</v>
      </c>
      <c r="G105" s="3">
        <v>47.72</v>
      </c>
      <c r="H105" s="3">
        <v>0</v>
      </c>
    </row>
    <row r="106" spans="1:8">
      <c r="A106" s="3" t="s">
        <v>176</v>
      </c>
      <c r="B106" s="1">
        <v>45879</v>
      </c>
      <c r="C106" s="3" t="s">
        <v>134</v>
      </c>
      <c r="D106" t="s">
        <v>15</v>
      </c>
      <c r="E106" s="3">
        <v>1922.36</v>
      </c>
      <c r="F106" s="3">
        <v>8</v>
      </c>
      <c r="G106" s="3">
        <v>-104</v>
      </c>
      <c r="H106" s="3">
        <v>0.3</v>
      </c>
    </row>
    <row r="107" spans="1:8">
      <c r="A107" s="3" t="s">
        <v>177</v>
      </c>
      <c r="B107" s="1">
        <v>45925</v>
      </c>
      <c r="C107" s="3" t="s">
        <v>32</v>
      </c>
      <c r="D107" t="s">
        <v>20</v>
      </c>
      <c r="E107" s="3">
        <v>1931.64</v>
      </c>
      <c r="F107" s="3">
        <v>5</v>
      </c>
      <c r="G107" s="3">
        <v>371.76</v>
      </c>
      <c r="H107" s="3">
        <v>0.2</v>
      </c>
    </row>
    <row r="108" spans="1:8">
      <c r="A108" s="3" t="s">
        <v>178</v>
      </c>
      <c r="B108" s="1">
        <v>45896</v>
      </c>
      <c r="C108" s="3" t="s">
        <v>39</v>
      </c>
      <c r="D108" t="s">
        <v>10</v>
      </c>
      <c r="E108" s="3">
        <v>882.44</v>
      </c>
      <c r="F108" s="3">
        <v>10</v>
      </c>
      <c r="G108" s="3">
        <v>85.32</v>
      </c>
      <c r="H108" s="3">
        <v>0.1</v>
      </c>
    </row>
    <row r="109" spans="1:8">
      <c r="A109" s="3" t="s">
        <v>179</v>
      </c>
      <c r="B109" s="1">
        <v>45800</v>
      </c>
      <c r="C109" s="3" t="s">
        <v>92</v>
      </c>
      <c r="D109" t="s">
        <v>20</v>
      </c>
      <c r="E109" s="3">
        <v>1765.63</v>
      </c>
      <c r="F109" s="3">
        <v>4</v>
      </c>
      <c r="G109" s="3">
        <v>257.7</v>
      </c>
      <c r="H109" s="3">
        <v>0.15</v>
      </c>
    </row>
    <row r="110" spans="1:8">
      <c r="A110" s="3" t="s">
        <v>180</v>
      </c>
      <c r="B110" s="1">
        <v>45830</v>
      </c>
      <c r="C110" s="3" t="s">
        <v>181</v>
      </c>
      <c r="D110" t="s">
        <v>20</v>
      </c>
      <c r="E110" s="3">
        <v>76.83</v>
      </c>
      <c r="F110" s="3">
        <v>6</v>
      </c>
      <c r="G110" s="3">
        <v>13.16</v>
      </c>
      <c r="H110" s="3">
        <v>0.05</v>
      </c>
    </row>
    <row r="111" spans="1:8">
      <c r="A111" s="3" t="s">
        <v>182</v>
      </c>
      <c r="B111" s="1">
        <v>45832</v>
      </c>
      <c r="C111" s="3" t="s">
        <v>183</v>
      </c>
      <c r="D111" t="s">
        <v>10</v>
      </c>
      <c r="E111" s="3">
        <v>573.72</v>
      </c>
      <c r="F111" s="3">
        <v>10</v>
      </c>
      <c r="G111" s="3">
        <v>94.11</v>
      </c>
      <c r="H111" s="3">
        <v>0.3</v>
      </c>
    </row>
    <row r="112" spans="1:8">
      <c r="A112" s="3" t="s">
        <v>184</v>
      </c>
      <c r="B112" s="1">
        <v>45922</v>
      </c>
      <c r="C112" s="3" t="s">
        <v>59</v>
      </c>
      <c r="D112" t="s">
        <v>15</v>
      </c>
      <c r="E112" s="3">
        <v>1897.16</v>
      </c>
      <c r="F112" s="3">
        <v>2</v>
      </c>
      <c r="G112" s="3">
        <v>457.26</v>
      </c>
      <c r="H112" s="3">
        <v>0.05</v>
      </c>
    </row>
    <row r="113" spans="1:8">
      <c r="A113" s="3" t="s">
        <v>185</v>
      </c>
      <c r="B113" s="1">
        <v>45781</v>
      </c>
      <c r="C113" s="3" t="s">
        <v>186</v>
      </c>
      <c r="D113" t="s">
        <v>20</v>
      </c>
      <c r="E113" s="3">
        <v>1387.41</v>
      </c>
      <c r="F113" s="3">
        <v>8</v>
      </c>
      <c r="G113" s="3">
        <v>295.35000000000002</v>
      </c>
      <c r="H113" s="3">
        <v>0.15</v>
      </c>
    </row>
    <row r="114" spans="1:8">
      <c r="A114" s="3" t="s">
        <v>187</v>
      </c>
      <c r="B114" s="1">
        <v>45771</v>
      </c>
      <c r="C114" s="3" t="s">
        <v>188</v>
      </c>
      <c r="D114" t="s">
        <v>20</v>
      </c>
      <c r="E114" s="3">
        <v>820.71</v>
      </c>
      <c r="F114" s="3">
        <v>4</v>
      </c>
      <c r="G114" s="3">
        <v>163.47999999999999</v>
      </c>
      <c r="H114" s="3">
        <v>0.1</v>
      </c>
    </row>
    <row r="115" spans="1:8">
      <c r="A115" s="3" t="s">
        <v>189</v>
      </c>
      <c r="B115" s="1">
        <v>45941</v>
      </c>
      <c r="C115" s="3" t="s">
        <v>181</v>
      </c>
      <c r="D115" t="s">
        <v>15</v>
      </c>
      <c r="E115" s="3">
        <v>1071.23</v>
      </c>
      <c r="F115" s="3">
        <v>7</v>
      </c>
      <c r="G115" s="3">
        <v>69.75</v>
      </c>
      <c r="H115" s="3">
        <v>0.3</v>
      </c>
    </row>
    <row r="116" spans="1:8">
      <c r="A116" s="3" t="s">
        <v>190</v>
      </c>
      <c r="B116" s="1">
        <v>45890</v>
      </c>
      <c r="C116" s="3" t="s">
        <v>118</v>
      </c>
      <c r="D116" t="s">
        <v>20</v>
      </c>
      <c r="E116" s="3">
        <v>556.41</v>
      </c>
      <c r="F116" s="3">
        <v>5</v>
      </c>
      <c r="G116" s="3">
        <v>34.049999999999997</v>
      </c>
      <c r="H116" s="3">
        <v>0.05</v>
      </c>
    </row>
    <row r="117" spans="1:8">
      <c r="A117" s="3" t="s">
        <v>191</v>
      </c>
      <c r="B117" s="1">
        <v>45719</v>
      </c>
      <c r="C117" s="3" t="s">
        <v>192</v>
      </c>
      <c r="D117" t="s">
        <v>20</v>
      </c>
      <c r="E117" s="3">
        <v>1490.9</v>
      </c>
      <c r="F117" s="3">
        <v>3</v>
      </c>
      <c r="G117" s="3">
        <v>134.05000000000001</v>
      </c>
      <c r="H117" s="3">
        <v>0.05</v>
      </c>
    </row>
    <row r="118" spans="1:8">
      <c r="A118" s="3" t="s">
        <v>193</v>
      </c>
      <c r="B118" s="1">
        <v>45959</v>
      </c>
      <c r="C118" s="3" t="s">
        <v>28</v>
      </c>
      <c r="D118" t="s">
        <v>10</v>
      </c>
      <c r="E118" s="3">
        <v>1953.68</v>
      </c>
      <c r="F118" s="3">
        <v>9</v>
      </c>
      <c r="G118" s="3">
        <v>68.180000000000007</v>
      </c>
      <c r="H118" s="3">
        <v>0.2</v>
      </c>
    </row>
    <row r="119" spans="1:8">
      <c r="A119" s="3" t="s">
        <v>194</v>
      </c>
      <c r="B119" s="1">
        <v>45809</v>
      </c>
      <c r="C119" s="3" t="s">
        <v>32</v>
      </c>
      <c r="D119" t="s">
        <v>10</v>
      </c>
      <c r="E119" s="3">
        <v>470.42</v>
      </c>
      <c r="F119" s="3">
        <v>3</v>
      </c>
      <c r="G119" s="3">
        <v>2</v>
      </c>
      <c r="H119" s="3">
        <v>0.1</v>
      </c>
    </row>
    <row r="120" spans="1:8">
      <c r="A120" s="3" t="s">
        <v>195</v>
      </c>
      <c r="B120" s="1">
        <v>45798</v>
      </c>
      <c r="C120" s="3" t="s">
        <v>132</v>
      </c>
      <c r="D120" t="s">
        <v>15</v>
      </c>
      <c r="E120" s="3">
        <v>110.12</v>
      </c>
      <c r="F120" s="3">
        <v>1</v>
      </c>
      <c r="G120" s="3">
        <v>4.1500000000000004</v>
      </c>
      <c r="H120" s="3">
        <v>0.2</v>
      </c>
    </row>
    <row r="121" spans="1:8">
      <c r="A121" s="3" t="s">
        <v>196</v>
      </c>
      <c r="B121" s="1">
        <v>45909</v>
      </c>
      <c r="C121" s="3" t="s">
        <v>192</v>
      </c>
      <c r="D121" t="s">
        <v>20</v>
      </c>
      <c r="E121" s="3">
        <v>223.12</v>
      </c>
      <c r="F121" s="3">
        <v>1</v>
      </c>
      <c r="G121" s="3">
        <v>7.88</v>
      </c>
      <c r="H121" s="3">
        <v>0.2</v>
      </c>
    </row>
    <row r="122" spans="1:8">
      <c r="A122" s="3" t="s">
        <v>197</v>
      </c>
      <c r="B122" s="1">
        <v>45832</v>
      </c>
      <c r="C122" s="3" t="s">
        <v>192</v>
      </c>
      <c r="D122" t="s">
        <v>10</v>
      </c>
      <c r="E122" s="3">
        <v>385.04</v>
      </c>
      <c r="F122" s="3">
        <v>1</v>
      </c>
      <c r="G122" s="3">
        <v>108.7</v>
      </c>
      <c r="H122" s="3">
        <v>0.1</v>
      </c>
    </row>
    <row r="123" spans="1:8">
      <c r="A123" s="3" t="s">
        <v>198</v>
      </c>
      <c r="B123" s="1">
        <v>45691</v>
      </c>
      <c r="C123" s="3" t="s">
        <v>71</v>
      </c>
      <c r="D123" t="s">
        <v>10</v>
      </c>
      <c r="E123" s="3">
        <v>813.4</v>
      </c>
      <c r="F123" s="3">
        <v>2</v>
      </c>
      <c r="G123" s="3">
        <v>112.93</v>
      </c>
      <c r="H123" s="3">
        <v>0.2</v>
      </c>
    </row>
    <row r="124" spans="1:8">
      <c r="A124" s="3" t="s">
        <v>199</v>
      </c>
      <c r="B124" s="1">
        <v>45734</v>
      </c>
      <c r="C124" s="3" t="s">
        <v>146</v>
      </c>
      <c r="D124" t="s">
        <v>15</v>
      </c>
      <c r="E124" s="3">
        <v>1626.06</v>
      </c>
      <c r="F124" s="3">
        <v>5</v>
      </c>
      <c r="G124" s="3">
        <v>566.15</v>
      </c>
      <c r="H124" s="3">
        <v>0</v>
      </c>
    </row>
    <row r="125" spans="1:8">
      <c r="A125" s="3" t="s">
        <v>200</v>
      </c>
      <c r="B125" s="1">
        <v>45871</v>
      </c>
      <c r="C125" s="3" t="s">
        <v>24</v>
      </c>
      <c r="D125" t="s">
        <v>20</v>
      </c>
      <c r="E125" s="3">
        <v>1220.51</v>
      </c>
      <c r="F125" s="3">
        <v>10</v>
      </c>
      <c r="G125" s="3">
        <v>314.54000000000002</v>
      </c>
      <c r="H125" s="3">
        <v>0.05</v>
      </c>
    </row>
    <row r="126" spans="1:8">
      <c r="A126" s="3" t="s">
        <v>201</v>
      </c>
      <c r="B126" s="1">
        <v>45884</v>
      </c>
      <c r="C126" s="3" t="s">
        <v>202</v>
      </c>
      <c r="D126" t="s">
        <v>10</v>
      </c>
      <c r="E126" s="3">
        <v>608.76</v>
      </c>
      <c r="F126" s="3">
        <v>10</v>
      </c>
      <c r="G126" s="3">
        <v>40.549999999999997</v>
      </c>
      <c r="H126" s="3">
        <v>0.15</v>
      </c>
    </row>
    <row r="127" spans="1:8">
      <c r="A127" s="3" t="s">
        <v>203</v>
      </c>
      <c r="B127" s="1">
        <v>45970</v>
      </c>
      <c r="C127" s="3" t="s">
        <v>90</v>
      </c>
      <c r="D127" t="s">
        <v>15</v>
      </c>
      <c r="E127" s="3">
        <v>1921.02</v>
      </c>
      <c r="F127" s="3">
        <v>2</v>
      </c>
      <c r="G127" s="3">
        <v>408.51</v>
      </c>
      <c r="H127" s="3">
        <v>0.05</v>
      </c>
    </row>
    <row r="128" spans="1:8">
      <c r="A128" s="3" t="s">
        <v>204</v>
      </c>
      <c r="B128" s="1">
        <v>45699</v>
      </c>
      <c r="C128" s="3" t="s">
        <v>205</v>
      </c>
      <c r="D128" t="s">
        <v>20</v>
      </c>
      <c r="E128" s="3">
        <v>330.97</v>
      </c>
      <c r="F128" s="3">
        <v>3</v>
      </c>
      <c r="G128" s="3">
        <v>-9.1</v>
      </c>
      <c r="H128" s="3">
        <v>0.2</v>
      </c>
    </row>
    <row r="129" spans="1:8">
      <c r="A129" s="3" t="s">
        <v>206</v>
      </c>
      <c r="B129" s="1">
        <v>45888</v>
      </c>
      <c r="C129" s="3" t="s">
        <v>207</v>
      </c>
      <c r="D129" t="s">
        <v>15</v>
      </c>
      <c r="E129" s="3">
        <v>1384.95</v>
      </c>
      <c r="F129" s="3">
        <v>8</v>
      </c>
      <c r="G129" s="3">
        <v>13.56</v>
      </c>
      <c r="H129" s="3">
        <v>0.1</v>
      </c>
    </row>
    <row r="130" spans="1:8">
      <c r="A130" s="3" t="s">
        <v>208</v>
      </c>
      <c r="B130" s="1">
        <v>45802</v>
      </c>
      <c r="C130" s="3" t="s">
        <v>90</v>
      </c>
      <c r="D130" t="s">
        <v>15</v>
      </c>
      <c r="E130" s="3">
        <v>1411.92</v>
      </c>
      <c r="F130" s="3">
        <v>8</v>
      </c>
      <c r="G130" s="3">
        <v>361.76</v>
      </c>
      <c r="H130" s="3">
        <v>0</v>
      </c>
    </row>
    <row r="131" spans="1:8">
      <c r="A131" s="3" t="s">
        <v>209</v>
      </c>
      <c r="B131" s="1">
        <v>45959</v>
      </c>
      <c r="C131" s="3" t="s">
        <v>140</v>
      </c>
      <c r="D131" t="s">
        <v>15</v>
      </c>
      <c r="E131" s="3">
        <v>1329.14</v>
      </c>
      <c r="F131" s="3">
        <v>4</v>
      </c>
      <c r="G131" s="3">
        <v>12.54</v>
      </c>
      <c r="H131" s="3">
        <v>0.15</v>
      </c>
    </row>
    <row r="132" spans="1:8">
      <c r="A132" s="3" t="s">
        <v>210</v>
      </c>
      <c r="B132" s="1">
        <v>45734</v>
      </c>
      <c r="C132" s="3" t="s">
        <v>108</v>
      </c>
      <c r="D132" t="s">
        <v>15</v>
      </c>
      <c r="E132" s="3">
        <v>1818.65</v>
      </c>
      <c r="F132" s="3">
        <v>3</v>
      </c>
      <c r="G132" s="3">
        <v>123.47</v>
      </c>
      <c r="H132" s="3">
        <v>0</v>
      </c>
    </row>
    <row r="133" spans="1:8">
      <c r="A133" s="3" t="s">
        <v>211</v>
      </c>
      <c r="B133" s="1">
        <v>45949</v>
      </c>
      <c r="C133" s="3" t="s">
        <v>53</v>
      </c>
      <c r="D133" t="s">
        <v>15</v>
      </c>
      <c r="E133" s="3">
        <v>1843.96</v>
      </c>
      <c r="F133" s="3">
        <v>8</v>
      </c>
      <c r="G133" s="3">
        <v>351.48</v>
      </c>
      <c r="H133" s="3">
        <v>0</v>
      </c>
    </row>
    <row r="134" spans="1:8">
      <c r="A134" s="3" t="s">
        <v>212</v>
      </c>
      <c r="B134" s="1">
        <v>45864</v>
      </c>
      <c r="C134" s="3" t="s">
        <v>213</v>
      </c>
      <c r="D134" t="s">
        <v>15</v>
      </c>
      <c r="E134" s="3">
        <v>1886.5</v>
      </c>
      <c r="F134" s="3">
        <v>9</v>
      </c>
      <c r="G134" s="3">
        <v>185.14</v>
      </c>
      <c r="H134" s="3">
        <v>0.2</v>
      </c>
    </row>
    <row r="135" spans="1:8">
      <c r="A135" s="3" t="s">
        <v>214</v>
      </c>
      <c r="B135" s="1">
        <v>45678</v>
      </c>
      <c r="C135" s="3" t="s">
        <v>186</v>
      </c>
      <c r="D135" t="s">
        <v>10</v>
      </c>
      <c r="E135" s="3">
        <v>1781.06</v>
      </c>
      <c r="F135" s="3">
        <v>6</v>
      </c>
      <c r="G135" s="3">
        <v>44.72</v>
      </c>
      <c r="H135" s="3">
        <v>0.2</v>
      </c>
    </row>
    <row r="136" spans="1:8">
      <c r="A136" s="3" t="s">
        <v>215</v>
      </c>
      <c r="B136" s="1">
        <v>46003</v>
      </c>
      <c r="C136" s="3" t="s">
        <v>19</v>
      </c>
      <c r="D136" t="s">
        <v>15</v>
      </c>
      <c r="E136" s="3">
        <v>1675.2</v>
      </c>
      <c r="F136" s="3">
        <v>10</v>
      </c>
      <c r="G136" s="3">
        <v>394.07</v>
      </c>
      <c r="H136" s="3">
        <v>0.2</v>
      </c>
    </row>
    <row r="137" spans="1:8">
      <c r="A137" s="3" t="s">
        <v>216</v>
      </c>
      <c r="B137" s="1">
        <v>45795</v>
      </c>
      <c r="C137" s="3" t="s">
        <v>217</v>
      </c>
      <c r="D137" t="s">
        <v>20</v>
      </c>
      <c r="E137" s="3">
        <v>1160.97</v>
      </c>
      <c r="F137" s="3">
        <v>3</v>
      </c>
      <c r="G137" s="3">
        <v>151.72999999999999</v>
      </c>
      <c r="H137" s="3">
        <v>0.15</v>
      </c>
    </row>
    <row r="138" spans="1:8">
      <c r="A138" s="3" t="s">
        <v>218</v>
      </c>
      <c r="B138" s="1">
        <v>45750</v>
      </c>
      <c r="C138" s="3" t="s">
        <v>186</v>
      </c>
      <c r="D138" t="s">
        <v>20</v>
      </c>
      <c r="E138" s="3">
        <v>1993.95</v>
      </c>
      <c r="F138" s="3">
        <v>7</v>
      </c>
      <c r="G138" s="3">
        <v>287.67</v>
      </c>
      <c r="H138" s="3">
        <v>0.3</v>
      </c>
    </row>
    <row r="139" spans="1:8">
      <c r="A139" s="3" t="s">
        <v>219</v>
      </c>
      <c r="B139" s="1">
        <v>45836</v>
      </c>
      <c r="C139" s="3" t="s">
        <v>220</v>
      </c>
      <c r="D139" t="s">
        <v>20</v>
      </c>
      <c r="E139" s="3">
        <v>828.53</v>
      </c>
      <c r="F139" s="3">
        <v>6</v>
      </c>
      <c r="G139" s="3">
        <v>-56.85</v>
      </c>
      <c r="H139" s="3">
        <v>0.3</v>
      </c>
    </row>
    <row r="140" spans="1:8">
      <c r="A140" s="3" t="s">
        <v>221</v>
      </c>
      <c r="B140" s="1">
        <v>45868</v>
      </c>
      <c r="C140" s="3" t="s">
        <v>19</v>
      </c>
      <c r="D140" t="s">
        <v>15</v>
      </c>
      <c r="E140" s="3">
        <v>1393.47</v>
      </c>
      <c r="F140" s="3">
        <v>5</v>
      </c>
      <c r="G140" s="3">
        <v>255.78</v>
      </c>
      <c r="H140" s="3">
        <v>0.3</v>
      </c>
    </row>
    <row r="141" spans="1:8">
      <c r="A141" s="3" t="s">
        <v>222</v>
      </c>
      <c r="B141" s="1">
        <v>45676</v>
      </c>
      <c r="C141" s="3" t="s">
        <v>104</v>
      </c>
      <c r="D141" t="s">
        <v>20</v>
      </c>
      <c r="E141" s="3">
        <v>920.56</v>
      </c>
      <c r="F141" s="3">
        <v>6</v>
      </c>
      <c r="G141" s="3">
        <v>89.28</v>
      </c>
      <c r="H141" s="3">
        <v>0.1</v>
      </c>
    </row>
    <row r="142" spans="1:8">
      <c r="A142" s="3" t="s">
        <v>223</v>
      </c>
      <c r="B142" s="1">
        <v>45921</v>
      </c>
      <c r="C142" s="3" t="s">
        <v>160</v>
      </c>
      <c r="D142" t="s">
        <v>20</v>
      </c>
      <c r="E142" s="3">
        <v>1653.36</v>
      </c>
      <c r="F142" s="3">
        <v>1</v>
      </c>
      <c r="G142" s="3">
        <v>265.88</v>
      </c>
      <c r="H142" s="3">
        <v>0.3</v>
      </c>
    </row>
    <row r="143" spans="1:8">
      <c r="A143" s="3" t="s">
        <v>224</v>
      </c>
      <c r="B143" s="1">
        <v>45685</v>
      </c>
      <c r="C143" s="3" t="s">
        <v>225</v>
      </c>
      <c r="D143" t="s">
        <v>20</v>
      </c>
      <c r="E143" s="3">
        <v>391.41</v>
      </c>
      <c r="F143" s="3">
        <v>6</v>
      </c>
      <c r="G143" s="3">
        <v>69.25</v>
      </c>
      <c r="H143" s="3">
        <v>0.2</v>
      </c>
    </row>
    <row r="144" spans="1:8">
      <c r="A144" s="3" t="s">
        <v>226</v>
      </c>
      <c r="B144" s="1">
        <v>45684</v>
      </c>
      <c r="C144" s="3" t="s">
        <v>217</v>
      </c>
      <c r="D144" t="s">
        <v>15</v>
      </c>
      <c r="E144" s="3">
        <v>423.05</v>
      </c>
      <c r="F144" s="3">
        <v>9</v>
      </c>
      <c r="G144" s="3">
        <v>128.31</v>
      </c>
      <c r="H144" s="3">
        <v>0.05</v>
      </c>
    </row>
    <row r="145" spans="1:8">
      <c r="A145" s="3" t="s">
        <v>227</v>
      </c>
      <c r="B145" s="1">
        <v>45906</v>
      </c>
      <c r="C145" s="3" t="s">
        <v>108</v>
      </c>
      <c r="D145" t="s">
        <v>15</v>
      </c>
      <c r="E145" s="3">
        <v>260.42</v>
      </c>
      <c r="F145" s="3">
        <v>10</v>
      </c>
      <c r="G145" s="3">
        <v>61.96</v>
      </c>
      <c r="H145" s="3">
        <v>0.05</v>
      </c>
    </row>
    <row r="146" spans="1:8">
      <c r="A146" s="3" t="s">
        <v>228</v>
      </c>
      <c r="B146" s="1">
        <v>45665</v>
      </c>
      <c r="C146" s="3" t="s">
        <v>122</v>
      </c>
      <c r="D146" t="s">
        <v>20</v>
      </c>
      <c r="E146" s="3">
        <v>1113.46</v>
      </c>
      <c r="F146" s="3">
        <v>2</v>
      </c>
      <c r="G146" s="3">
        <v>359.29</v>
      </c>
      <c r="H146" s="3">
        <v>0.05</v>
      </c>
    </row>
    <row r="147" spans="1:8">
      <c r="A147" s="3" t="s">
        <v>229</v>
      </c>
      <c r="B147" s="1">
        <v>45718</v>
      </c>
      <c r="C147" s="3" t="s">
        <v>230</v>
      </c>
      <c r="D147" t="s">
        <v>15</v>
      </c>
      <c r="E147" s="3">
        <v>1302.47</v>
      </c>
      <c r="F147" s="3">
        <v>3</v>
      </c>
      <c r="G147" s="3">
        <v>331.86</v>
      </c>
      <c r="H147" s="3">
        <v>0.15</v>
      </c>
    </row>
    <row r="148" spans="1:8">
      <c r="A148" s="3" t="s">
        <v>231</v>
      </c>
      <c r="B148" s="1">
        <v>46019</v>
      </c>
      <c r="C148" s="3" t="s">
        <v>47</v>
      </c>
      <c r="D148" t="s">
        <v>10</v>
      </c>
      <c r="E148" s="3">
        <v>561.38</v>
      </c>
      <c r="F148" s="3">
        <v>8</v>
      </c>
      <c r="G148" s="3">
        <v>27.01</v>
      </c>
      <c r="H148" s="3">
        <v>0.15</v>
      </c>
    </row>
    <row r="149" spans="1:8">
      <c r="A149" s="3" t="s">
        <v>232</v>
      </c>
      <c r="B149" s="1">
        <v>45854</v>
      </c>
      <c r="C149" s="3" t="s">
        <v>233</v>
      </c>
      <c r="D149" t="s">
        <v>10</v>
      </c>
      <c r="E149" s="3">
        <v>397.41</v>
      </c>
      <c r="F149" s="3">
        <v>10</v>
      </c>
      <c r="G149" s="3">
        <v>69.099999999999994</v>
      </c>
      <c r="H149" s="3">
        <v>0.2</v>
      </c>
    </row>
    <row r="150" spans="1:8">
      <c r="A150" s="3" t="s">
        <v>234</v>
      </c>
      <c r="B150" s="1">
        <v>45799</v>
      </c>
      <c r="C150" s="3" t="s">
        <v>130</v>
      </c>
      <c r="D150" t="s">
        <v>20</v>
      </c>
      <c r="E150" s="3">
        <v>1549.9</v>
      </c>
      <c r="F150" s="3">
        <v>7</v>
      </c>
      <c r="G150" s="3">
        <v>434.4</v>
      </c>
      <c r="H150" s="3">
        <v>0.1</v>
      </c>
    </row>
    <row r="151" spans="1:8">
      <c r="A151" s="3" t="s">
        <v>235</v>
      </c>
      <c r="B151" s="1">
        <v>45659</v>
      </c>
      <c r="C151" s="3" t="s">
        <v>236</v>
      </c>
      <c r="D151" t="s">
        <v>20</v>
      </c>
      <c r="E151" s="3">
        <v>580.02</v>
      </c>
      <c r="F151" s="3">
        <v>5</v>
      </c>
      <c r="G151" s="3">
        <v>71.91</v>
      </c>
      <c r="H151" s="3">
        <v>0.2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B2418-700A-462D-B254-5AC0C319CB12}">
  <dimension ref="A3:K37"/>
  <sheetViews>
    <sheetView zoomScale="55" workbookViewId="0">
      <selection activeCell="M28" sqref="M28"/>
    </sheetView>
  </sheetViews>
  <sheetFormatPr defaultRowHeight="14.5"/>
  <cols>
    <col min="1" max="1" width="12.36328125" bestFit="1" customWidth="1"/>
    <col min="2" max="2" width="11.90625" bestFit="1" customWidth="1"/>
    <col min="3" max="3" width="12.453125" bestFit="1" customWidth="1"/>
    <col min="4" max="4" width="12.36328125" bestFit="1" customWidth="1"/>
    <col min="5" max="5" width="18.7265625" bestFit="1" customWidth="1"/>
    <col min="6" max="6" width="7.81640625" bestFit="1" customWidth="1"/>
    <col min="7" max="7" width="18.7265625" bestFit="1" customWidth="1"/>
    <col min="8" max="8" width="15.08984375" bestFit="1" customWidth="1"/>
    <col min="9" max="9" width="4.453125" bestFit="1" customWidth="1"/>
    <col min="10" max="15" width="6.453125" bestFit="1" customWidth="1"/>
    <col min="16" max="16" width="5.453125" bestFit="1" customWidth="1"/>
    <col min="17" max="17" width="4.453125" bestFit="1" customWidth="1"/>
    <col min="18" max="18" width="3.81640625" bestFit="1" customWidth="1"/>
    <col min="19" max="20" width="4.81640625" bestFit="1" customWidth="1"/>
    <col min="21" max="21" width="3.81640625" bestFit="1" customWidth="1"/>
    <col min="22" max="25" width="4.81640625" bestFit="1" customWidth="1"/>
    <col min="26" max="26" width="3.81640625" bestFit="1" customWidth="1"/>
    <col min="27" max="27" width="4.81640625" bestFit="1" customWidth="1"/>
    <col min="28" max="44" width="5.81640625" bestFit="1" customWidth="1"/>
    <col min="45" max="45" width="4.81640625" bestFit="1" customWidth="1"/>
    <col min="46" max="53" width="5.81640625" bestFit="1" customWidth="1"/>
    <col min="54" max="54" width="3.81640625" bestFit="1" customWidth="1"/>
    <col min="55" max="57" width="5.81640625" bestFit="1" customWidth="1"/>
    <col min="58" max="58" width="4.81640625" bestFit="1" customWidth="1"/>
    <col min="59" max="62" width="5.81640625" bestFit="1" customWidth="1"/>
    <col min="63" max="63" width="4.81640625" bestFit="1" customWidth="1"/>
    <col min="64" max="66" width="5.81640625" bestFit="1" customWidth="1"/>
    <col min="67" max="67" width="3.81640625" bestFit="1" customWidth="1"/>
    <col min="68" max="77" width="5.81640625" bestFit="1" customWidth="1"/>
    <col min="78" max="82" width="6.81640625" bestFit="1" customWidth="1"/>
    <col min="83" max="83" width="5.81640625" bestFit="1" customWidth="1"/>
    <col min="84" max="113" width="6.81640625" bestFit="1" customWidth="1"/>
    <col min="114" max="114" width="3.81640625" bestFit="1" customWidth="1"/>
    <col min="115" max="121" width="6.81640625" bestFit="1" customWidth="1"/>
    <col min="122" max="122" width="5.81640625" bestFit="1" customWidth="1"/>
    <col min="123" max="124" width="6.81640625" bestFit="1" customWidth="1"/>
    <col min="125" max="125" width="5.81640625" bestFit="1" customWidth="1"/>
    <col min="126" max="128" width="6.81640625" bestFit="1" customWidth="1"/>
    <col min="129" max="129" width="5.81640625" bestFit="1" customWidth="1"/>
    <col min="130" max="134" width="6.81640625" bestFit="1" customWidth="1"/>
    <col min="135" max="135" width="5.81640625" bestFit="1" customWidth="1"/>
    <col min="136" max="149" width="6.81640625" bestFit="1" customWidth="1"/>
    <col min="150" max="150" width="5.81640625" bestFit="1" customWidth="1"/>
    <col min="151" max="157" width="6.81640625" bestFit="1" customWidth="1"/>
    <col min="158" max="158" width="10.7265625" bestFit="1" customWidth="1"/>
  </cols>
  <sheetData>
    <row r="3" spans="1:8">
      <c r="B3" s="2" t="s">
        <v>355</v>
      </c>
    </row>
    <row r="4" spans="1:8">
      <c r="B4" t="s">
        <v>10</v>
      </c>
      <c r="C4" t="s">
        <v>20</v>
      </c>
      <c r="D4" t="s">
        <v>15</v>
      </c>
      <c r="E4" t="s">
        <v>356</v>
      </c>
    </row>
    <row r="5" spans="1:8">
      <c r="A5" t="s">
        <v>362</v>
      </c>
      <c r="B5" s="4">
        <v>0.13968490661823391</v>
      </c>
      <c r="C5" s="4">
        <v>0.14149161252572737</v>
      </c>
      <c r="D5" s="4">
        <v>0.1431968927701453</v>
      </c>
      <c r="E5" s="4">
        <v>0.14150814331733447</v>
      </c>
    </row>
    <row r="7" spans="1:8">
      <c r="A7" s="2" t="s">
        <v>355</v>
      </c>
    </row>
    <row r="8" spans="1:8">
      <c r="A8" t="s">
        <v>10</v>
      </c>
      <c r="C8" t="s">
        <v>20</v>
      </c>
      <c r="E8" t="s">
        <v>15</v>
      </c>
      <c r="G8" t="s">
        <v>359</v>
      </c>
      <c r="H8" t="s">
        <v>360</v>
      </c>
    </row>
    <row r="9" spans="1:8">
      <c r="A9" t="s">
        <v>358</v>
      </c>
      <c r="B9" t="s">
        <v>354</v>
      </c>
      <c r="C9" t="s">
        <v>358</v>
      </c>
      <c r="D9" t="s">
        <v>354</v>
      </c>
      <c r="E9" t="s">
        <v>358</v>
      </c>
      <c r="F9" t="s">
        <v>354</v>
      </c>
    </row>
    <row r="10" spans="1:8">
      <c r="A10" s="4">
        <v>6540.37</v>
      </c>
      <c r="B10" s="4">
        <v>46822.31</v>
      </c>
      <c r="C10" s="4">
        <v>8550.59</v>
      </c>
      <c r="D10" s="4">
        <v>60431.78</v>
      </c>
      <c r="E10" s="4">
        <v>7323.47</v>
      </c>
      <c r="F10" s="4">
        <v>51142.66</v>
      </c>
      <c r="G10" s="4">
        <v>22414.43</v>
      </c>
      <c r="H10" s="4">
        <v>158396.75</v>
      </c>
    </row>
    <row r="12" spans="1:8">
      <c r="A12" s="2" t="s">
        <v>357</v>
      </c>
      <c r="B12" t="s">
        <v>362</v>
      </c>
      <c r="D12" s="2" t="s">
        <v>357</v>
      </c>
      <c r="E12" t="s">
        <v>362</v>
      </c>
      <c r="F12" t="s">
        <v>361</v>
      </c>
      <c r="H12" t="s">
        <v>376</v>
      </c>
    </row>
    <row r="13" spans="1:8">
      <c r="A13" s="5" t="s">
        <v>364</v>
      </c>
      <c r="B13" s="4">
        <v>0.13813079260002381</v>
      </c>
      <c r="D13" s="5" t="s">
        <v>10</v>
      </c>
      <c r="E13" s="4">
        <v>0.13968490661823391</v>
      </c>
      <c r="F13" s="4">
        <v>46822.31</v>
      </c>
      <c r="H13" s="4">
        <v>22414.43</v>
      </c>
    </row>
    <row r="14" spans="1:8">
      <c r="A14" s="5" t="s">
        <v>365</v>
      </c>
      <c r="B14" s="4">
        <v>0.10083989507872221</v>
      </c>
      <c r="D14" s="5" t="s">
        <v>20</v>
      </c>
      <c r="E14" s="4">
        <v>0.14149161252572737</v>
      </c>
      <c r="F14" s="4">
        <v>60431.78</v>
      </c>
    </row>
    <row r="15" spans="1:8">
      <c r="A15" s="5" t="s">
        <v>366</v>
      </c>
      <c r="B15" s="4">
        <v>0.14512849605148878</v>
      </c>
      <c r="D15" s="5" t="s">
        <v>15</v>
      </c>
      <c r="E15" s="4">
        <v>0.1431968927701453</v>
      </c>
      <c r="F15" s="4">
        <v>51142.66</v>
      </c>
    </row>
    <row r="16" spans="1:8">
      <c r="A16" s="5" t="s">
        <v>367</v>
      </c>
      <c r="B16" s="4">
        <v>0.14210497158500721</v>
      </c>
      <c r="D16" s="5" t="s">
        <v>356</v>
      </c>
      <c r="E16" s="4">
        <v>0.14150814331733447</v>
      </c>
      <c r="F16" s="4">
        <v>158396.75</v>
      </c>
    </row>
    <row r="17" spans="1:11">
      <c r="A17" s="5" t="s">
        <v>368</v>
      </c>
      <c r="B17" s="4">
        <v>0.1982407893535777</v>
      </c>
    </row>
    <row r="18" spans="1:11">
      <c r="A18" s="5" t="s">
        <v>369</v>
      </c>
      <c r="B18" s="4">
        <v>0.11046830491644057</v>
      </c>
    </row>
    <row r="19" spans="1:11">
      <c r="A19" s="5" t="s">
        <v>370</v>
      </c>
      <c r="B19" s="4">
        <v>9.028314159112158E-2</v>
      </c>
      <c r="E19" s="2" t="s">
        <v>355</v>
      </c>
    </row>
    <row r="20" spans="1:11">
      <c r="A20" s="5" t="s">
        <v>371</v>
      </c>
      <c r="B20" s="4">
        <v>0.1162017976563417</v>
      </c>
      <c r="E20">
        <v>0</v>
      </c>
      <c r="F20">
        <v>0.05</v>
      </c>
      <c r="G20">
        <v>0.1</v>
      </c>
      <c r="H20">
        <v>0.15</v>
      </c>
      <c r="I20">
        <v>0.2</v>
      </c>
      <c r="J20">
        <v>0.3</v>
      </c>
      <c r="K20" t="s">
        <v>356</v>
      </c>
    </row>
    <row r="21" spans="1:11">
      <c r="A21" s="5" t="s">
        <v>372</v>
      </c>
      <c r="B21" s="4">
        <v>0.17076696562419461</v>
      </c>
      <c r="D21" t="s">
        <v>362</v>
      </c>
      <c r="E21" s="4">
        <v>0.21854439509026999</v>
      </c>
      <c r="F21" s="4">
        <v>0.16897772510292086</v>
      </c>
      <c r="G21" s="4">
        <v>0.14012658641750012</v>
      </c>
      <c r="H21" s="4">
        <v>0.14225747172376116</v>
      </c>
      <c r="I21" s="4">
        <v>0.10623835105799802</v>
      </c>
      <c r="J21" s="4">
        <v>4.8509340111262726E-2</v>
      </c>
      <c r="K21" s="4">
        <v>0.14150814331733447</v>
      </c>
    </row>
    <row r="22" spans="1:11">
      <c r="A22" s="5" t="s">
        <v>373</v>
      </c>
      <c r="B22" s="4">
        <v>0.12884291949530507</v>
      </c>
    </row>
    <row r="23" spans="1:11">
      <c r="A23" s="5" t="s">
        <v>374</v>
      </c>
      <c r="B23" s="4">
        <v>0.16014067006446295</v>
      </c>
    </row>
    <row r="24" spans="1:11">
      <c r="A24" s="5" t="s">
        <v>375</v>
      </c>
      <c r="B24" s="4">
        <v>0.15670622851759461</v>
      </c>
      <c r="D24" s="2" t="s">
        <v>357</v>
      </c>
      <c r="E24" t="s">
        <v>363</v>
      </c>
      <c r="G24" t="s">
        <v>363</v>
      </c>
    </row>
    <row r="25" spans="1:11">
      <c r="A25" s="5" t="s">
        <v>356</v>
      </c>
      <c r="B25" s="4">
        <v>0.14150814331733447</v>
      </c>
      <c r="D25" s="5" t="s">
        <v>364</v>
      </c>
      <c r="E25" s="4">
        <v>1158.4207142857142</v>
      </c>
      <c r="G25" s="4">
        <v>1055.9783333333332</v>
      </c>
    </row>
    <row r="26" spans="1:11">
      <c r="D26" s="5" t="s">
        <v>365</v>
      </c>
      <c r="E26" s="4">
        <v>800.21899999999994</v>
      </c>
    </row>
    <row r="27" spans="1:11">
      <c r="D27" s="5" t="s">
        <v>366</v>
      </c>
      <c r="E27" s="4">
        <v>1195.134</v>
      </c>
    </row>
    <row r="28" spans="1:11">
      <c r="D28" s="5" t="s">
        <v>367</v>
      </c>
      <c r="E28" s="4">
        <v>1444.0733333333335</v>
      </c>
    </row>
    <row r="29" spans="1:11">
      <c r="D29" s="5" t="s">
        <v>368</v>
      </c>
      <c r="E29" s="4">
        <v>906.8461111111111</v>
      </c>
    </row>
    <row r="30" spans="1:11">
      <c r="D30" s="5" t="s">
        <v>369</v>
      </c>
      <c r="E30" s="4">
        <v>689.82833333333338</v>
      </c>
    </row>
    <row r="31" spans="1:11">
      <c r="D31" s="5" t="s">
        <v>370</v>
      </c>
      <c r="E31" s="4">
        <v>983.96</v>
      </c>
    </row>
    <row r="32" spans="1:11">
      <c r="D32" s="5" t="s">
        <v>371</v>
      </c>
      <c r="E32" s="4">
        <v>1101.5135714285714</v>
      </c>
    </row>
    <row r="33" spans="4:5">
      <c r="D33" s="5" t="s">
        <v>372</v>
      </c>
      <c r="E33" s="4">
        <v>1245.9344444444444</v>
      </c>
    </row>
    <row r="34" spans="4:5">
      <c r="D34" s="5" t="s">
        <v>373</v>
      </c>
      <c r="E34" s="4">
        <v>1101.4575</v>
      </c>
    </row>
    <row r="35" spans="4:5">
      <c r="D35" s="5" t="s">
        <v>374</v>
      </c>
      <c r="E35" s="4">
        <v>1100.8535714285715</v>
      </c>
    </row>
    <row r="36" spans="4:5">
      <c r="D36" s="5" t="s">
        <v>375</v>
      </c>
      <c r="E36" s="4">
        <v>1165.4886666666669</v>
      </c>
    </row>
    <row r="37" spans="4:5">
      <c r="D37" s="5" t="s">
        <v>356</v>
      </c>
      <c r="E37" s="4">
        <v>1055.9783333333332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EF22A-68A0-4663-8DE9-075DF1C83077}">
  <dimension ref="B10:D14"/>
  <sheetViews>
    <sheetView tabSelected="1" zoomScale="64" workbookViewId="0">
      <selection activeCell="X16" sqref="X16"/>
    </sheetView>
  </sheetViews>
  <sheetFormatPr defaultRowHeight="14.5"/>
  <cols>
    <col min="2" max="2" width="12.453125" customWidth="1"/>
    <col min="4" max="4" width="11" customWidth="1"/>
    <col min="12" max="12" width="12.7265625" customWidth="1"/>
    <col min="13" max="13" width="13.90625" customWidth="1"/>
    <col min="14" max="14" width="13.81640625" customWidth="1"/>
  </cols>
  <sheetData>
    <row r="10" spans="2:4">
      <c r="B10" s="2" t="s">
        <v>357</v>
      </c>
      <c r="C10" s="2" t="s">
        <v>362</v>
      </c>
      <c r="D10" t="s">
        <v>361</v>
      </c>
    </row>
    <row r="11" spans="2:4">
      <c r="B11" s="5" t="s">
        <v>10</v>
      </c>
      <c r="C11" s="4">
        <v>0.13968490661823391</v>
      </c>
      <c r="D11" s="4">
        <v>46822.31</v>
      </c>
    </row>
    <row r="12" spans="2:4">
      <c r="B12" s="5" t="s">
        <v>20</v>
      </c>
      <c r="C12" s="4">
        <v>0.14149161252572737</v>
      </c>
      <c r="D12" s="4">
        <v>60431.78</v>
      </c>
    </row>
    <row r="13" spans="2:4">
      <c r="B13" s="5" t="s">
        <v>15</v>
      </c>
      <c r="C13" s="4">
        <v>0.1431968927701453</v>
      </c>
      <c r="D13" s="4">
        <v>51142.66</v>
      </c>
    </row>
    <row r="14" spans="2:4">
      <c r="B14" s="5" t="s">
        <v>356</v>
      </c>
      <c r="C14" s="4">
        <v>0.14150814331733447</v>
      </c>
      <c r="D14" s="4">
        <v>158396.75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0BC11-939D-434D-9375-A86C798F2879}">
  <dimension ref="A1:F101"/>
  <sheetViews>
    <sheetView topLeftCell="A2" workbookViewId="0">
      <selection activeCell="G17" sqref="G17"/>
    </sheetView>
  </sheetViews>
  <sheetFormatPr defaultRowHeight="14.5"/>
  <cols>
    <col min="1" max="1" width="13.54296875" style="3" customWidth="1"/>
    <col min="2" max="2" width="17.90625" customWidth="1"/>
    <col min="3" max="3" width="10.26953125" customWidth="1"/>
    <col min="4" max="4" width="11.7265625" customWidth="1"/>
  </cols>
  <sheetData>
    <row r="1" spans="1:6">
      <c r="A1" s="3" t="s">
        <v>2</v>
      </c>
      <c r="B1" t="s">
        <v>237</v>
      </c>
      <c r="C1" t="s">
        <v>238</v>
      </c>
      <c r="D1" t="s">
        <v>239</v>
      </c>
    </row>
    <row r="2" spans="1:6">
      <c r="A2" s="3" t="s">
        <v>205</v>
      </c>
      <c r="B2" t="s">
        <v>240</v>
      </c>
      <c r="C2" t="s">
        <v>241</v>
      </c>
      <c r="D2" t="s">
        <v>242</v>
      </c>
    </row>
    <row r="3" spans="1:6">
      <c r="A3" s="3" t="s">
        <v>243</v>
      </c>
      <c r="B3" t="s">
        <v>244</v>
      </c>
      <c r="C3" t="s">
        <v>245</v>
      </c>
      <c r="D3" t="s">
        <v>246</v>
      </c>
    </row>
    <row r="4" spans="1:6">
      <c r="A4" s="3" t="s">
        <v>247</v>
      </c>
      <c r="B4" t="s">
        <v>248</v>
      </c>
      <c r="C4" t="s">
        <v>249</v>
      </c>
      <c r="D4" t="s">
        <v>250</v>
      </c>
      <c r="F4" s="6"/>
    </row>
    <row r="5" spans="1:6">
      <c r="A5" s="3" t="s">
        <v>162</v>
      </c>
      <c r="B5" t="s">
        <v>251</v>
      </c>
      <c r="C5" t="s">
        <v>241</v>
      </c>
      <c r="D5" t="s">
        <v>250</v>
      </c>
    </row>
    <row r="6" spans="1:6">
      <c r="A6" s="3" t="s">
        <v>12</v>
      </c>
      <c r="B6" t="s">
        <v>252</v>
      </c>
      <c r="C6" t="s">
        <v>241</v>
      </c>
      <c r="D6" t="s">
        <v>250</v>
      </c>
    </row>
    <row r="7" spans="1:6">
      <c r="A7" s="3" t="s">
        <v>88</v>
      </c>
      <c r="B7" t="s">
        <v>253</v>
      </c>
      <c r="C7" t="s">
        <v>249</v>
      </c>
      <c r="D7" t="s">
        <v>242</v>
      </c>
    </row>
    <row r="8" spans="1:6">
      <c r="A8" s="3" t="s">
        <v>71</v>
      </c>
      <c r="B8" t="s">
        <v>248</v>
      </c>
      <c r="C8" t="s">
        <v>241</v>
      </c>
      <c r="D8" t="s">
        <v>250</v>
      </c>
    </row>
    <row r="9" spans="1:6">
      <c r="A9" s="3" t="s">
        <v>78</v>
      </c>
      <c r="B9" t="s">
        <v>254</v>
      </c>
      <c r="C9" t="s">
        <v>249</v>
      </c>
      <c r="D9" t="s">
        <v>246</v>
      </c>
    </row>
    <row r="10" spans="1:6">
      <c r="A10" s="3" t="s">
        <v>45</v>
      </c>
      <c r="B10" t="s">
        <v>255</v>
      </c>
      <c r="C10" t="s">
        <v>245</v>
      </c>
      <c r="D10" t="s">
        <v>242</v>
      </c>
    </row>
    <row r="11" spans="1:6">
      <c r="A11" s="3" t="s">
        <v>66</v>
      </c>
      <c r="B11" t="s">
        <v>256</v>
      </c>
      <c r="C11" t="s">
        <v>249</v>
      </c>
      <c r="D11" t="s">
        <v>250</v>
      </c>
    </row>
    <row r="12" spans="1:6">
      <c r="A12" s="3" t="s">
        <v>213</v>
      </c>
      <c r="B12" t="s">
        <v>257</v>
      </c>
      <c r="C12" t="s">
        <v>249</v>
      </c>
      <c r="D12" t="s">
        <v>246</v>
      </c>
    </row>
    <row r="13" spans="1:6">
      <c r="A13" s="3" t="s">
        <v>186</v>
      </c>
      <c r="B13" t="s">
        <v>258</v>
      </c>
      <c r="C13" t="s">
        <v>245</v>
      </c>
      <c r="D13" t="s">
        <v>242</v>
      </c>
    </row>
    <row r="14" spans="1:6">
      <c r="A14" s="3" t="s">
        <v>28</v>
      </c>
      <c r="B14" t="s">
        <v>259</v>
      </c>
      <c r="C14" t="s">
        <v>249</v>
      </c>
      <c r="D14" t="s">
        <v>246</v>
      </c>
    </row>
    <row r="15" spans="1:6">
      <c r="A15" s="3" t="s">
        <v>100</v>
      </c>
      <c r="B15" t="s">
        <v>260</v>
      </c>
      <c r="C15" t="s">
        <v>261</v>
      </c>
      <c r="D15" t="s">
        <v>246</v>
      </c>
    </row>
    <row r="16" spans="1:6">
      <c r="A16" s="3" t="s">
        <v>122</v>
      </c>
      <c r="B16" t="s">
        <v>262</v>
      </c>
      <c r="C16" t="s">
        <v>261</v>
      </c>
      <c r="D16" t="s">
        <v>246</v>
      </c>
    </row>
    <row r="17" spans="1:4">
      <c r="A17" s="3" t="s">
        <v>146</v>
      </c>
      <c r="B17" t="s">
        <v>263</v>
      </c>
      <c r="C17" t="s">
        <v>249</v>
      </c>
      <c r="D17" t="s">
        <v>250</v>
      </c>
    </row>
    <row r="18" spans="1:4">
      <c r="A18" s="3" t="s">
        <v>132</v>
      </c>
      <c r="B18" t="s">
        <v>264</v>
      </c>
      <c r="C18" t="s">
        <v>241</v>
      </c>
      <c r="D18" t="s">
        <v>246</v>
      </c>
    </row>
    <row r="19" spans="1:4">
      <c r="A19" s="3" t="s">
        <v>233</v>
      </c>
      <c r="B19" t="s">
        <v>265</v>
      </c>
      <c r="C19" t="s">
        <v>245</v>
      </c>
      <c r="D19" t="s">
        <v>250</v>
      </c>
    </row>
    <row r="20" spans="1:4">
      <c r="A20" s="3" t="s">
        <v>266</v>
      </c>
      <c r="B20" t="s">
        <v>267</v>
      </c>
      <c r="C20" t="s">
        <v>249</v>
      </c>
      <c r="D20" t="s">
        <v>246</v>
      </c>
    </row>
    <row r="21" spans="1:4">
      <c r="A21" s="3" t="s">
        <v>82</v>
      </c>
      <c r="B21" t="s">
        <v>268</v>
      </c>
      <c r="C21" t="s">
        <v>241</v>
      </c>
      <c r="D21" t="s">
        <v>250</v>
      </c>
    </row>
    <row r="22" spans="1:4">
      <c r="A22" s="3" t="s">
        <v>220</v>
      </c>
      <c r="B22" t="s">
        <v>269</v>
      </c>
      <c r="C22" t="s">
        <v>261</v>
      </c>
      <c r="D22" t="s">
        <v>246</v>
      </c>
    </row>
    <row r="23" spans="1:4">
      <c r="A23" s="3" t="s">
        <v>270</v>
      </c>
      <c r="B23" t="s">
        <v>271</v>
      </c>
      <c r="C23" t="s">
        <v>241</v>
      </c>
      <c r="D23" t="s">
        <v>242</v>
      </c>
    </row>
    <row r="24" spans="1:4">
      <c r="A24" s="3" t="s">
        <v>134</v>
      </c>
      <c r="B24" t="s">
        <v>272</v>
      </c>
      <c r="C24" t="s">
        <v>245</v>
      </c>
      <c r="D24" t="s">
        <v>246</v>
      </c>
    </row>
    <row r="25" spans="1:4">
      <c r="A25" s="3" t="s">
        <v>74</v>
      </c>
      <c r="B25" t="s">
        <v>273</v>
      </c>
      <c r="C25" t="s">
        <v>245</v>
      </c>
      <c r="D25" t="s">
        <v>242</v>
      </c>
    </row>
    <row r="26" spans="1:4">
      <c r="A26" s="3" t="s">
        <v>118</v>
      </c>
      <c r="B26" t="s">
        <v>274</v>
      </c>
      <c r="C26" t="s">
        <v>241</v>
      </c>
      <c r="D26" t="s">
        <v>246</v>
      </c>
    </row>
    <row r="27" spans="1:4">
      <c r="A27" s="3" t="s">
        <v>14</v>
      </c>
      <c r="B27" t="s">
        <v>275</v>
      </c>
      <c r="C27" t="s">
        <v>245</v>
      </c>
      <c r="D27" t="s">
        <v>246</v>
      </c>
    </row>
    <row r="28" spans="1:4">
      <c r="A28" s="3" t="s">
        <v>30</v>
      </c>
      <c r="B28" t="s">
        <v>276</v>
      </c>
      <c r="C28" t="s">
        <v>245</v>
      </c>
      <c r="D28" t="s">
        <v>246</v>
      </c>
    </row>
    <row r="29" spans="1:4">
      <c r="A29" s="3" t="s">
        <v>153</v>
      </c>
      <c r="B29" t="s">
        <v>277</v>
      </c>
      <c r="C29" t="s">
        <v>261</v>
      </c>
      <c r="D29" t="s">
        <v>250</v>
      </c>
    </row>
    <row r="30" spans="1:4">
      <c r="A30" s="3" t="s">
        <v>140</v>
      </c>
      <c r="B30" t="s">
        <v>278</v>
      </c>
      <c r="C30" t="s">
        <v>241</v>
      </c>
      <c r="D30" t="s">
        <v>246</v>
      </c>
    </row>
    <row r="31" spans="1:4">
      <c r="A31" s="3" t="s">
        <v>279</v>
      </c>
      <c r="B31" t="s">
        <v>280</v>
      </c>
      <c r="C31" t="s">
        <v>241</v>
      </c>
      <c r="D31" t="s">
        <v>246</v>
      </c>
    </row>
    <row r="32" spans="1:4">
      <c r="A32" s="3" t="s">
        <v>111</v>
      </c>
      <c r="B32" t="s">
        <v>281</v>
      </c>
      <c r="C32" t="s">
        <v>249</v>
      </c>
      <c r="D32" t="s">
        <v>246</v>
      </c>
    </row>
    <row r="33" spans="1:4">
      <c r="A33" s="3" t="s">
        <v>39</v>
      </c>
      <c r="B33" t="s">
        <v>281</v>
      </c>
      <c r="C33" t="s">
        <v>241</v>
      </c>
      <c r="D33" t="s">
        <v>246</v>
      </c>
    </row>
    <row r="34" spans="1:4">
      <c r="A34" s="3" t="s">
        <v>282</v>
      </c>
      <c r="B34" t="s">
        <v>283</v>
      </c>
      <c r="C34" t="s">
        <v>249</v>
      </c>
      <c r="D34" t="s">
        <v>250</v>
      </c>
    </row>
    <row r="35" spans="1:4">
      <c r="A35" s="3" t="s">
        <v>90</v>
      </c>
      <c r="B35" t="s">
        <v>284</v>
      </c>
      <c r="C35" t="s">
        <v>249</v>
      </c>
      <c r="D35" t="s">
        <v>242</v>
      </c>
    </row>
    <row r="36" spans="1:4">
      <c r="A36" s="3" t="s">
        <v>285</v>
      </c>
      <c r="B36" t="s">
        <v>254</v>
      </c>
      <c r="C36" t="s">
        <v>241</v>
      </c>
      <c r="D36" t="s">
        <v>242</v>
      </c>
    </row>
    <row r="37" spans="1:4">
      <c r="A37" s="3" t="s">
        <v>17</v>
      </c>
      <c r="B37" t="s">
        <v>286</v>
      </c>
      <c r="C37" t="s">
        <v>261</v>
      </c>
      <c r="D37" t="s">
        <v>250</v>
      </c>
    </row>
    <row r="38" spans="1:4">
      <c r="A38" s="3" t="s">
        <v>207</v>
      </c>
      <c r="B38" t="s">
        <v>287</v>
      </c>
      <c r="C38" t="s">
        <v>261</v>
      </c>
      <c r="D38" t="s">
        <v>242</v>
      </c>
    </row>
    <row r="39" spans="1:4">
      <c r="A39" s="3" t="s">
        <v>230</v>
      </c>
      <c r="B39" t="s">
        <v>288</v>
      </c>
      <c r="C39" t="s">
        <v>249</v>
      </c>
      <c r="D39" t="s">
        <v>242</v>
      </c>
    </row>
    <row r="40" spans="1:4">
      <c r="A40" s="3" t="s">
        <v>53</v>
      </c>
      <c r="B40" t="s">
        <v>289</v>
      </c>
      <c r="C40" t="s">
        <v>245</v>
      </c>
      <c r="D40" t="s">
        <v>246</v>
      </c>
    </row>
    <row r="41" spans="1:4">
      <c r="A41" s="3" t="s">
        <v>108</v>
      </c>
      <c r="B41" t="s">
        <v>260</v>
      </c>
      <c r="C41" t="s">
        <v>241</v>
      </c>
      <c r="D41" t="s">
        <v>246</v>
      </c>
    </row>
    <row r="42" spans="1:4">
      <c r="A42" s="3" t="s">
        <v>37</v>
      </c>
      <c r="B42" t="s">
        <v>290</v>
      </c>
      <c r="C42" t="s">
        <v>241</v>
      </c>
      <c r="D42" t="s">
        <v>242</v>
      </c>
    </row>
    <row r="43" spans="1:4">
      <c r="A43" s="3" t="s">
        <v>291</v>
      </c>
      <c r="B43" t="s">
        <v>292</v>
      </c>
      <c r="C43" t="s">
        <v>249</v>
      </c>
      <c r="D43" t="s">
        <v>250</v>
      </c>
    </row>
    <row r="44" spans="1:4">
      <c r="A44" s="3" t="s">
        <v>113</v>
      </c>
      <c r="B44" t="s">
        <v>293</v>
      </c>
      <c r="C44" t="s">
        <v>249</v>
      </c>
      <c r="D44" t="s">
        <v>250</v>
      </c>
    </row>
    <row r="45" spans="1:4">
      <c r="A45" s="3" t="s">
        <v>49</v>
      </c>
      <c r="B45" t="s">
        <v>294</v>
      </c>
      <c r="C45" t="s">
        <v>245</v>
      </c>
      <c r="D45" t="s">
        <v>250</v>
      </c>
    </row>
    <row r="46" spans="1:4">
      <c r="A46" s="3" t="s">
        <v>96</v>
      </c>
      <c r="B46" t="s">
        <v>295</v>
      </c>
      <c r="C46" t="s">
        <v>249</v>
      </c>
      <c r="D46" t="s">
        <v>242</v>
      </c>
    </row>
    <row r="47" spans="1:4">
      <c r="A47" s="3" t="s">
        <v>181</v>
      </c>
      <c r="B47" t="s">
        <v>296</v>
      </c>
      <c r="C47" t="s">
        <v>245</v>
      </c>
      <c r="D47" t="s">
        <v>250</v>
      </c>
    </row>
    <row r="48" spans="1:4">
      <c r="A48" s="3" t="s">
        <v>57</v>
      </c>
      <c r="B48" t="s">
        <v>297</v>
      </c>
      <c r="C48" t="s">
        <v>241</v>
      </c>
      <c r="D48" t="s">
        <v>250</v>
      </c>
    </row>
    <row r="49" spans="1:4">
      <c r="A49" s="3" t="s">
        <v>188</v>
      </c>
      <c r="B49" t="s">
        <v>298</v>
      </c>
      <c r="C49" t="s">
        <v>261</v>
      </c>
      <c r="D49" t="s">
        <v>246</v>
      </c>
    </row>
    <row r="50" spans="1:4">
      <c r="A50" s="3" t="s">
        <v>24</v>
      </c>
      <c r="B50" t="s">
        <v>299</v>
      </c>
      <c r="C50" t="s">
        <v>241</v>
      </c>
      <c r="D50" t="s">
        <v>246</v>
      </c>
    </row>
    <row r="51" spans="1:4">
      <c r="A51" s="3" t="s">
        <v>143</v>
      </c>
      <c r="B51" t="s">
        <v>300</v>
      </c>
      <c r="C51" t="s">
        <v>261</v>
      </c>
      <c r="D51" t="s">
        <v>250</v>
      </c>
    </row>
    <row r="52" spans="1:4">
      <c r="A52" s="3" t="s">
        <v>301</v>
      </c>
      <c r="B52" t="s">
        <v>302</v>
      </c>
      <c r="C52" t="s">
        <v>261</v>
      </c>
      <c r="D52" t="s">
        <v>242</v>
      </c>
    </row>
    <row r="53" spans="1:4">
      <c r="A53" s="3" t="s">
        <v>41</v>
      </c>
      <c r="B53" t="s">
        <v>303</v>
      </c>
      <c r="C53" t="s">
        <v>249</v>
      </c>
      <c r="D53" t="s">
        <v>242</v>
      </c>
    </row>
    <row r="54" spans="1:4">
      <c r="A54" s="3" t="s">
        <v>304</v>
      </c>
      <c r="B54" t="s">
        <v>305</v>
      </c>
      <c r="C54" t="s">
        <v>261</v>
      </c>
      <c r="D54" t="s">
        <v>250</v>
      </c>
    </row>
    <row r="55" spans="1:4">
      <c r="A55" s="3" t="s">
        <v>157</v>
      </c>
      <c r="B55" t="s">
        <v>306</v>
      </c>
      <c r="C55" t="s">
        <v>261</v>
      </c>
      <c r="D55" t="s">
        <v>242</v>
      </c>
    </row>
    <row r="56" spans="1:4">
      <c r="A56" s="3" t="s">
        <v>174</v>
      </c>
      <c r="B56" t="s">
        <v>307</v>
      </c>
      <c r="C56" t="s">
        <v>261</v>
      </c>
      <c r="D56" t="s">
        <v>250</v>
      </c>
    </row>
    <row r="57" spans="1:4">
      <c r="A57" s="3" t="s">
        <v>124</v>
      </c>
      <c r="B57" t="s">
        <v>308</v>
      </c>
      <c r="C57" t="s">
        <v>261</v>
      </c>
      <c r="D57" t="s">
        <v>242</v>
      </c>
    </row>
    <row r="58" spans="1:4">
      <c r="A58" s="3" t="s">
        <v>217</v>
      </c>
      <c r="B58" t="s">
        <v>309</v>
      </c>
      <c r="C58" t="s">
        <v>249</v>
      </c>
      <c r="D58" t="s">
        <v>250</v>
      </c>
    </row>
    <row r="59" spans="1:4">
      <c r="A59" s="3" t="s">
        <v>310</v>
      </c>
      <c r="B59" t="s">
        <v>283</v>
      </c>
      <c r="C59" t="s">
        <v>249</v>
      </c>
      <c r="D59" t="s">
        <v>242</v>
      </c>
    </row>
    <row r="60" spans="1:4">
      <c r="A60" s="3" t="s">
        <v>80</v>
      </c>
      <c r="B60" t="s">
        <v>311</v>
      </c>
      <c r="C60" t="s">
        <v>245</v>
      </c>
      <c r="D60" t="s">
        <v>250</v>
      </c>
    </row>
    <row r="61" spans="1:4">
      <c r="A61" s="3" t="s">
        <v>160</v>
      </c>
      <c r="B61" t="s">
        <v>303</v>
      </c>
      <c r="C61" t="s">
        <v>261</v>
      </c>
      <c r="D61" t="s">
        <v>250</v>
      </c>
    </row>
    <row r="62" spans="1:4">
      <c r="A62" s="3" t="s">
        <v>312</v>
      </c>
      <c r="B62" t="s">
        <v>313</v>
      </c>
      <c r="C62" t="s">
        <v>241</v>
      </c>
      <c r="D62" t="s">
        <v>242</v>
      </c>
    </row>
    <row r="63" spans="1:4">
      <c r="A63" s="3" t="s">
        <v>192</v>
      </c>
      <c r="B63" t="s">
        <v>314</v>
      </c>
      <c r="C63" t="s">
        <v>245</v>
      </c>
      <c r="D63" t="s">
        <v>250</v>
      </c>
    </row>
    <row r="64" spans="1:4">
      <c r="A64" s="3" t="s">
        <v>59</v>
      </c>
      <c r="B64" t="s">
        <v>315</v>
      </c>
      <c r="C64" t="s">
        <v>241</v>
      </c>
      <c r="D64" t="s">
        <v>250</v>
      </c>
    </row>
    <row r="65" spans="1:4">
      <c r="A65" s="3" t="s">
        <v>316</v>
      </c>
      <c r="B65" t="s">
        <v>317</v>
      </c>
      <c r="C65" t="s">
        <v>241</v>
      </c>
      <c r="D65" t="s">
        <v>242</v>
      </c>
    </row>
    <row r="66" spans="1:4">
      <c r="A66" s="3" t="s">
        <v>130</v>
      </c>
      <c r="B66" t="s">
        <v>318</v>
      </c>
      <c r="C66" t="s">
        <v>241</v>
      </c>
      <c r="D66" t="s">
        <v>242</v>
      </c>
    </row>
    <row r="67" spans="1:4">
      <c r="A67" s="3" t="s">
        <v>120</v>
      </c>
      <c r="B67" t="s">
        <v>319</v>
      </c>
      <c r="C67" t="s">
        <v>245</v>
      </c>
      <c r="D67" t="s">
        <v>246</v>
      </c>
    </row>
    <row r="68" spans="1:4">
      <c r="A68" s="3" t="s">
        <v>320</v>
      </c>
      <c r="B68" t="s">
        <v>293</v>
      </c>
      <c r="C68" t="s">
        <v>249</v>
      </c>
      <c r="D68" t="s">
        <v>246</v>
      </c>
    </row>
    <row r="69" spans="1:4">
      <c r="A69" s="3" t="s">
        <v>85</v>
      </c>
      <c r="B69" t="s">
        <v>321</v>
      </c>
      <c r="C69" t="s">
        <v>241</v>
      </c>
      <c r="D69" t="s">
        <v>246</v>
      </c>
    </row>
    <row r="70" spans="1:4">
      <c r="A70" s="3" t="s">
        <v>32</v>
      </c>
      <c r="B70" t="s">
        <v>290</v>
      </c>
      <c r="C70" t="s">
        <v>249</v>
      </c>
      <c r="D70" t="s">
        <v>250</v>
      </c>
    </row>
    <row r="71" spans="1:4">
      <c r="A71" s="3" t="s">
        <v>55</v>
      </c>
      <c r="B71" t="s">
        <v>322</v>
      </c>
      <c r="C71" t="s">
        <v>249</v>
      </c>
      <c r="D71" t="s">
        <v>242</v>
      </c>
    </row>
    <row r="72" spans="1:4">
      <c r="A72" s="3" t="s">
        <v>47</v>
      </c>
      <c r="B72" t="s">
        <v>323</v>
      </c>
      <c r="C72" t="s">
        <v>241</v>
      </c>
      <c r="D72" t="s">
        <v>242</v>
      </c>
    </row>
    <row r="73" spans="1:4">
      <c r="A73" s="3" t="s">
        <v>183</v>
      </c>
      <c r="B73" t="s">
        <v>276</v>
      </c>
      <c r="C73" t="s">
        <v>249</v>
      </c>
      <c r="D73" t="s">
        <v>250</v>
      </c>
    </row>
    <row r="74" spans="1:4">
      <c r="A74" s="3" t="s">
        <v>94</v>
      </c>
      <c r="B74" t="s">
        <v>324</v>
      </c>
      <c r="C74" t="s">
        <v>249</v>
      </c>
      <c r="D74" t="s">
        <v>246</v>
      </c>
    </row>
    <row r="75" spans="1:4">
      <c r="A75" s="3" t="s">
        <v>126</v>
      </c>
      <c r="B75" t="s">
        <v>325</v>
      </c>
      <c r="C75" t="s">
        <v>245</v>
      </c>
      <c r="D75" t="s">
        <v>246</v>
      </c>
    </row>
    <row r="76" spans="1:4">
      <c r="A76" s="3" t="s">
        <v>326</v>
      </c>
      <c r="B76" t="s">
        <v>327</v>
      </c>
      <c r="C76" t="s">
        <v>249</v>
      </c>
      <c r="D76" t="s">
        <v>242</v>
      </c>
    </row>
    <row r="77" spans="1:4">
      <c r="A77" s="3" t="s">
        <v>328</v>
      </c>
      <c r="B77" t="s">
        <v>329</v>
      </c>
      <c r="C77" t="s">
        <v>241</v>
      </c>
      <c r="D77" t="s">
        <v>250</v>
      </c>
    </row>
    <row r="78" spans="1:4">
      <c r="A78" s="3" t="s">
        <v>330</v>
      </c>
      <c r="B78" t="s">
        <v>331</v>
      </c>
      <c r="C78" t="s">
        <v>241</v>
      </c>
      <c r="D78" t="s">
        <v>242</v>
      </c>
    </row>
    <row r="79" spans="1:4">
      <c r="A79" s="3" t="s">
        <v>22</v>
      </c>
      <c r="B79" t="s">
        <v>332</v>
      </c>
      <c r="C79" t="s">
        <v>241</v>
      </c>
      <c r="D79" t="s">
        <v>242</v>
      </c>
    </row>
    <row r="80" spans="1:4">
      <c r="A80" s="3" t="s">
        <v>333</v>
      </c>
      <c r="B80" t="s">
        <v>334</v>
      </c>
      <c r="C80" t="s">
        <v>249</v>
      </c>
      <c r="D80" t="s">
        <v>242</v>
      </c>
    </row>
    <row r="81" spans="1:4">
      <c r="A81" s="3" t="s">
        <v>202</v>
      </c>
      <c r="B81" t="s">
        <v>335</v>
      </c>
      <c r="C81" t="s">
        <v>241</v>
      </c>
      <c r="D81" t="s">
        <v>250</v>
      </c>
    </row>
    <row r="82" spans="1:4">
      <c r="A82" s="3" t="s">
        <v>225</v>
      </c>
      <c r="B82" t="s">
        <v>318</v>
      </c>
      <c r="C82" t="s">
        <v>249</v>
      </c>
      <c r="D82" t="s">
        <v>250</v>
      </c>
    </row>
    <row r="83" spans="1:4">
      <c r="A83" s="3" t="s">
        <v>34</v>
      </c>
      <c r="B83" t="s">
        <v>268</v>
      </c>
      <c r="C83" t="s">
        <v>245</v>
      </c>
      <c r="D83" t="s">
        <v>242</v>
      </c>
    </row>
    <row r="84" spans="1:4">
      <c r="A84" s="3" t="s">
        <v>336</v>
      </c>
      <c r="B84" t="s">
        <v>331</v>
      </c>
      <c r="C84" t="s">
        <v>241</v>
      </c>
      <c r="D84" t="s">
        <v>250</v>
      </c>
    </row>
    <row r="85" spans="1:4">
      <c r="A85" s="3" t="s">
        <v>63</v>
      </c>
      <c r="B85" t="s">
        <v>306</v>
      </c>
      <c r="C85" t="s">
        <v>249</v>
      </c>
      <c r="D85" t="s">
        <v>250</v>
      </c>
    </row>
    <row r="86" spans="1:4">
      <c r="A86" s="3" t="s">
        <v>236</v>
      </c>
      <c r="B86" t="s">
        <v>337</v>
      </c>
      <c r="C86" t="s">
        <v>245</v>
      </c>
      <c r="D86" t="s">
        <v>242</v>
      </c>
    </row>
    <row r="87" spans="1:4">
      <c r="A87" s="3" t="s">
        <v>92</v>
      </c>
      <c r="B87" t="s">
        <v>338</v>
      </c>
      <c r="C87" t="s">
        <v>245</v>
      </c>
      <c r="D87" t="s">
        <v>250</v>
      </c>
    </row>
    <row r="88" spans="1:4">
      <c r="A88" s="3" t="s">
        <v>137</v>
      </c>
      <c r="B88" t="s">
        <v>339</v>
      </c>
      <c r="C88" t="s">
        <v>249</v>
      </c>
      <c r="D88" t="s">
        <v>242</v>
      </c>
    </row>
    <row r="89" spans="1:4">
      <c r="A89" s="3" t="s">
        <v>340</v>
      </c>
      <c r="B89" t="s">
        <v>303</v>
      </c>
      <c r="C89" t="s">
        <v>241</v>
      </c>
      <c r="D89" t="s">
        <v>242</v>
      </c>
    </row>
    <row r="90" spans="1:4">
      <c r="A90" s="3" t="s">
        <v>341</v>
      </c>
      <c r="B90" t="s">
        <v>342</v>
      </c>
      <c r="C90" t="s">
        <v>261</v>
      </c>
      <c r="D90" t="s">
        <v>242</v>
      </c>
    </row>
    <row r="91" spans="1:4">
      <c r="A91" s="3" t="s">
        <v>115</v>
      </c>
      <c r="B91" t="s">
        <v>293</v>
      </c>
      <c r="C91" t="s">
        <v>249</v>
      </c>
      <c r="D91" t="s">
        <v>246</v>
      </c>
    </row>
    <row r="92" spans="1:4">
      <c r="A92" s="3" t="s">
        <v>26</v>
      </c>
      <c r="B92" t="s">
        <v>343</v>
      </c>
      <c r="C92" t="s">
        <v>241</v>
      </c>
      <c r="D92" t="s">
        <v>246</v>
      </c>
    </row>
    <row r="93" spans="1:4">
      <c r="A93" s="3" t="s">
        <v>344</v>
      </c>
      <c r="B93" t="s">
        <v>345</v>
      </c>
      <c r="C93" t="s">
        <v>241</v>
      </c>
      <c r="D93" t="s">
        <v>250</v>
      </c>
    </row>
    <row r="94" spans="1:4">
      <c r="A94" s="3" t="s">
        <v>51</v>
      </c>
      <c r="B94" t="s">
        <v>327</v>
      </c>
      <c r="C94" t="s">
        <v>245</v>
      </c>
      <c r="D94" t="s">
        <v>250</v>
      </c>
    </row>
    <row r="95" spans="1:4">
      <c r="A95" s="3" t="s">
        <v>346</v>
      </c>
      <c r="B95" t="s">
        <v>276</v>
      </c>
      <c r="C95" t="s">
        <v>261</v>
      </c>
      <c r="D95" t="s">
        <v>250</v>
      </c>
    </row>
    <row r="96" spans="1:4">
      <c r="A96" s="3" t="s">
        <v>9</v>
      </c>
      <c r="B96" t="s">
        <v>347</v>
      </c>
      <c r="C96" t="s">
        <v>245</v>
      </c>
      <c r="D96" t="s">
        <v>246</v>
      </c>
    </row>
    <row r="97" spans="1:4">
      <c r="A97" s="3" t="s">
        <v>169</v>
      </c>
      <c r="B97" t="s">
        <v>348</v>
      </c>
      <c r="C97" t="s">
        <v>249</v>
      </c>
      <c r="D97" t="s">
        <v>250</v>
      </c>
    </row>
    <row r="98" spans="1:4">
      <c r="A98" s="3" t="s">
        <v>43</v>
      </c>
      <c r="B98" t="s">
        <v>349</v>
      </c>
      <c r="C98" t="s">
        <v>241</v>
      </c>
      <c r="D98" t="s">
        <v>246</v>
      </c>
    </row>
    <row r="99" spans="1:4">
      <c r="A99" s="3" t="s">
        <v>19</v>
      </c>
      <c r="B99" t="s">
        <v>350</v>
      </c>
      <c r="C99" t="s">
        <v>261</v>
      </c>
      <c r="D99" t="s">
        <v>246</v>
      </c>
    </row>
    <row r="100" spans="1:4">
      <c r="A100" s="3" t="s">
        <v>104</v>
      </c>
      <c r="B100" t="s">
        <v>351</v>
      </c>
      <c r="C100" t="s">
        <v>245</v>
      </c>
      <c r="D100" t="s">
        <v>246</v>
      </c>
    </row>
    <row r="101" spans="1:4">
      <c r="A101" s="3" t="s">
        <v>352</v>
      </c>
      <c r="B101" t="s">
        <v>353</v>
      </c>
      <c r="C101" t="s">
        <v>241</v>
      </c>
      <c r="D101" t="s">
        <v>242</v>
      </c>
    </row>
  </sheetData>
  <conditionalFormatting sqref="A2:A101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66FCFE-104F-4D9E-A61E-AAF4C85B39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Sheet5</vt:lpstr>
      <vt:lpstr>sample_sales_data_150_rows</vt:lpstr>
      <vt:lpstr>Tables</vt:lpstr>
      <vt:lpstr>Metrices</vt:lpstr>
      <vt:lpstr>Customer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Anjali Patlan</cp:lastModifiedBy>
  <dcterms:created xsi:type="dcterms:W3CDTF">2026-07-19T06:17:02Z</dcterms:created>
  <dcterms:modified xsi:type="dcterms:W3CDTF">2026-07-21T07:55:21Z</dcterms:modified>
</cp:coreProperties>
</file>