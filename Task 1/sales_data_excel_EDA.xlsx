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ask1_Maincrafts\"/>
    </mc:Choice>
  </mc:AlternateContent>
  <xr:revisionPtr revIDLastSave="0" documentId="8_{00E3DA8D-21CD-4A06-BB6A-217207316C2E}" xr6:coauthVersionLast="47" xr6:coauthVersionMax="47" xr10:uidLastSave="{00000000-0000-0000-0000-000000000000}"/>
  <bookViews>
    <workbookView xWindow="-110" yWindow="-110" windowWidth="19420" windowHeight="10420" activeTab="1" xr2:uid="{82531FE4-2364-4AC3-A6B1-C402EBABEA36}"/>
  </bookViews>
  <sheets>
    <sheet name="Tables" sheetId="3" r:id="rId1"/>
    <sheet name="Dashboard" sheetId="4" r:id="rId2"/>
    <sheet name="sales_data" sheetId="1" r:id="rId3"/>
  </sheets>
  <definedNames>
    <definedName name="NativeTimeline_OrderDate">#N/A</definedName>
  </definedNames>
  <calcPr calcId="191029"/>
  <pivotCaches>
    <pivotCache cacheId="0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4" l="1"/>
  <c r="U8" i="4"/>
  <c r="U7" i="4"/>
  <c r="U5" i="4"/>
  <c r="U4" i="4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2" i="1"/>
  <c r="K3" i="1" a="1"/>
  <c r="K4" i="1" a="1"/>
  <c r="K5" i="1" a="1"/>
  <c r="K6" i="1" a="1"/>
  <c r="K7" i="1" a="1"/>
  <c r="K8" i="1" a="1"/>
  <c r="K9" i="1" a="1"/>
  <c r="K10" i="1" a="1"/>
  <c r="K11" i="1" a="1"/>
  <c r="K12" i="1" a="1"/>
  <c r="K13" i="1" a="1"/>
  <c r="K14" i="1" a="1"/>
  <c r="K15" i="1" a="1"/>
  <c r="K16" i="1" a="1"/>
  <c r="K17" i="1" a="1"/>
  <c r="K18" i="1" a="1"/>
  <c r="K19" i="1" a="1"/>
  <c r="K20" i="1" a="1"/>
  <c r="K21" i="1" a="1"/>
  <c r="K22" i="1" a="1"/>
  <c r="K23" i="1" a="1"/>
  <c r="K24" i="1" a="1"/>
  <c r="K25" i="1" a="1"/>
  <c r="K26" i="1" a="1"/>
  <c r="K27" i="1" a="1"/>
  <c r="K28" i="1" a="1"/>
  <c r="K29" i="1" a="1"/>
  <c r="K30" i="1" a="1"/>
  <c r="K31" i="1" a="1"/>
  <c r="K32" i="1" a="1"/>
  <c r="K33" i="1" a="1"/>
  <c r="K34" i="1" a="1"/>
  <c r="K35" i="1" a="1"/>
  <c r="K36" i="1" a="1"/>
  <c r="K37" i="1" a="1"/>
  <c r="K38" i="1" a="1"/>
  <c r="K39" i="1" a="1"/>
  <c r="K40" i="1" a="1"/>
  <c r="K41" i="1" a="1"/>
  <c r="K42" i="1" a="1"/>
  <c r="K43" i="1" a="1"/>
  <c r="K44" i="1" a="1"/>
  <c r="K45" i="1" a="1"/>
  <c r="K46" i="1" a="1"/>
  <c r="K47" i="1" a="1"/>
  <c r="K48" i="1" a="1"/>
  <c r="K49" i="1" a="1"/>
  <c r="K50" i="1" a="1"/>
  <c r="K51" i="1" a="1"/>
  <c r="K52" i="1" a="1"/>
  <c r="K53" i="1" a="1"/>
  <c r="K54" i="1" a="1"/>
  <c r="K55" i="1" a="1"/>
  <c r="K56" i="1" a="1"/>
  <c r="K57" i="1" a="1"/>
  <c r="K58" i="1" a="1"/>
  <c r="K59" i="1" a="1"/>
  <c r="K60" i="1" a="1"/>
  <c r="K61" i="1" a="1"/>
  <c r="K62" i="1" a="1"/>
  <c r="K63" i="1" a="1"/>
  <c r="K64" i="1" a="1"/>
  <c r="K65" i="1" a="1"/>
  <c r="K66" i="1" a="1"/>
  <c r="K67" i="1" a="1"/>
  <c r="K68" i="1" a="1"/>
  <c r="K69" i="1" a="1"/>
  <c r="K70" i="1" a="1"/>
  <c r="K71" i="1" a="1"/>
  <c r="K72" i="1" a="1"/>
  <c r="K73" i="1" a="1"/>
  <c r="K74" i="1" a="1"/>
  <c r="K75" i="1" a="1"/>
  <c r="K76" i="1" a="1"/>
  <c r="K77" i="1" a="1"/>
  <c r="K78" i="1" a="1"/>
  <c r="K79" i="1" a="1"/>
  <c r="K80" i="1" a="1"/>
  <c r="K81" i="1" a="1"/>
  <c r="K82" i="1" a="1"/>
  <c r="K83" i="1" a="1"/>
  <c r="K84" i="1" a="1"/>
  <c r="K85" i="1" a="1"/>
  <c r="K86" i="1" a="1"/>
  <c r="K87" i="1" a="1"/>
  <c r="K88" i="1" a="1"/>
  <c r="K89" i="1" a="1"/>
  <c r="K90" i="1" a="1"/>
  <c r="K91" i="1" a="1"/>
  <c r="K92" i="1" a="1"/>
  <c r="K93" i="1" a="1"/>
  <c r="K94" i="1" a="1"/>
  <c r="K95" i="1" a="1"/>
  <c r="K96" i="1" a="1"/>
  <c r="K97" i="1" a="1"/>
  <c r="K98" i="1" a="1"/>
  <c r="K99" i="1" a="1"/>
  <c r="K100" i="1" a="1"/>
  <c r="K101" i="1" a="1"/>
  <c r="K102" i="1" a="1"/>
  <c r="K103" i="1" a="1"/>
  <c r="K104" i="1" a="1"/>
  <c r="K105" i="1" a="1"/>
  <c r="K106" i="1" a="1"/>
  <c r="K107" i="1" a="1"/>
  <c r="K108" i="1" a="1"/>
  <c r="K109" i="1" a="1"/>
  <c r="K110" i="1" a="1"/>
  <c r="K111" i="1" a="1"/>
  <c r="K112" i="1" a="1"/>
  <c r="K113" i="1" a="1"/>
  <c r="K114" i="1" a="1"/>
  <c r="K115" i="1" a="1"/>
  <c r="K116" i="1" a="1"/>
  <c r="K117" i="1" a="1"/>
  <c r="K118" i="1" a="1"/>
  <c r="K119" i="1" a="1"/>
  <c r="K120" i="1" a="1"/>
  <c r="K121" i="1" a="1"/>
  <c r="K122" i="1" a="1"/>
  <c r="K123" i="1" a="1"/>
  <c r="K124" i="1" a="1"/>
  <c r="K125" i="1" a="1"/>
  <c r="K126" i="1" a="1"/>
  <c r="K127" i="1" a="1"/>
  <c r="K128" i="1" a="1"/>
  <c r="K129" i="1" a="1"/>
  <c r="K130" i="1" a="1"/>
  <c r="K131" i="1" a="1"/>
  <c r="K132" i="1" a="1"/>
  <c r="K133" i="1" a="1"/>
  <c r="K134" i="1" a="1"/>
  <c r="K135" i="1" a="1"/>
  <c r="K136" i="1" a="1"/>
  <c r="K137" i="1" a="1"/>
  <c r="K138" i="1" a="1"/>
  <c r="K139" i="1" a="1"/>
  <c r="K140" i="1" a="1"/>
  <c r="K141" i="1" a="1"/>
  <c r="K142" i="1" a="1"/>
  <c r="K143" i="1" a="1"/>
  <c r="K144" i="1" a="1"/>
  <c r="K145" i="1" a="1"/>
  <c r="K146" i="1" a="1"/>
  <c r="K147" i="1" a="1"/>
  <c r="K148" i="1" a="1"/>
  <c r="K149" i="1" a="1"/>
  <c r="K150" i="1" a="1"/>
  <c r="K151" i="1" a="1"/>
  <c r="K152" i="1" a="1"/>
  <c r="K153" i="1" a="1"/>
  <c r="K154" i="1" a="1"/>
  <c r="K155" i="1" a="1"/>
  <c r="K156" i="1" a="1"/>
  <c r="K157" i="1" a="1"/>
  <c r="K158" i="1" a="1"/>
  <c r="K159" i="1" a="1"/>
  <c r="K160" i="1" a="1"/>
  <c r="K161" i="1" a="1"/>
  <c r="K162" i="1" a="1"/>
  <c r="K163" i="1" a="1"/>
  <c r="K164" i="1" a="1"/>
  <c r="K165" i="1" a="1"/>
  <c r="K166" i="1" a="1"/>
  <c r="K167" i="1" a="1"/>
  <c r="K168" i="1" a="1"/>
  <c r="K169" i="1" a="1"/>
  <c r="K170" i="1" a="1"/>
  <c r="K171" i="1" a="1"/>
  <c r="K172" i="1" a="1"/>
  <c r="K173" i="1" a="1"/>
  <c r="K174" i="1" a="1"/>
  <c r="K175" i="1" a="1"/>
  <c r="K176" i="1" a="1"/>
  <c r="K177" i="1" a="1"/>
  <c r="K178" i="1" a="1"/>
  <c r="K179" i="1" a="1"/>
  <c r="K180" i="1" a="1"/>
  <c r="K181" i="1" a="1"/>
  <c r="K182" i="1" a="1"/>
  <c r="K183" i="1" a="1"/>
  <c r="K184" i="1" a="1"/>
  <c r="K185" i="1" a="1"/>
  <c r="K186" i="1" a="1"/>
  <c r="K187" i="1" a="1"/>
  <c r="K188" i="1" a="1"/>
  <c r="K189" i="1" a="1"/>
  <c r="K190" i="1" a="1"/>
  <c r="K191" i="1" a="1"/>
  <c r="K192" i="1" a="1"/>
  <c r="K193" i="1" a="1"/>
  <c r="K194" i="1" a="1"/>
  <c r="K195" i="1" a="1"/>
  <c r="K196" i="1" a="1"/>
  <c r="K197" i="1" a="1"/>
  <c r="K198" i="1" a="1"/>
  <c r="K199" i="1" a="1"/>
  <c r="K200" i="1" a="1"/>
  <c r="K201" i="1" a="1"/>
  <c r="K202" i="1" a="1"/>
  <c r="K203" i="1" a="1"/>
  <c r="K204" i="1" a="1"/>
  <c r="K205" i="1" a="1"/>
  <c r="K206" i="1" a="1"/>
  <c r="K207" i="1" a="1"/>
  <c r="K208" i="1" a="1"/>
  <c r="K209" i="1" a="1"/>
  <c r="K210" i="1" a="1"/>
  <c r="K211" i="1" a="1"/>
  <c r="K212" i="1" a="1"/>
  <c r="K213" i="1" a="1"/>
  <c r="K214" i="1" a="1"/>
  <c r="K215" i="1" a="1"/>
  <c r="K216" i="1" a="1"/>
  <c r="K217" i="1" a="1"/>
  <c r="K218" i="1" a="1"/>
  <c r="K219" i="1" a="1"/>
  <c r="K220" i="1" a="1"/>
  <c r="K221" i="1" a="1"/>
  <c r="K222" i="1" a="1"/>
  <c r="K223" i="1" a="1"/>
  <c r="K224" i="1" a="1"/>
  <c r="K225" i="1" a="1"/>
  <c r="K226" i="1" a="1"/>
  <c r="K227" i="1" a="1"/>
  <c r="K228" i="1" a="1"/>
  <c r="K229" i="1" a="1"/>
  <c r="K230" i="1" a="1"/>
  <c r="K231" i="1" a="1"/>
  <c r="K232" i="1" a="1"/>
  <c r="K233" i="1" a="1"/>
  <c r="K234" i="1" a="1"/>
  <c r="K235" i="1" a="1"/>
  <c r="K236" i="1" a="1"/>
  <c r="K237" i="1" a="1"/>
  <c r="K238" i="1" a="1"/>
  <c r="K239" i="1" a="1"/>
  <c r="K240" i="1" a="1"/>
  <c r="K241" i="1" a="1"/>
  <c r="K242" i="1" a="1"/>
  <c r="K243" i="1" a="1"/>
  <c r="K244" i="1" a="1"/>
  <c r="K245" i="1" a="1"/>
  <c r="K246" i="1" a="1"/>
  <c r="K247" i="1" a="1"/>
  <c r="K248" i="1" a="1"/>
  <c r="K249" i="1" a="1"/>
  <c r="K250" i="1" a="1"/>
  <c r="K251" i="1" a="1"/>
  <c r="K252" i="1" a="1"/>
  <c r="K253" i="1" a="1"/>
  <c r="K254" i="1" a="1"/>
  <c r="K255" i="1" a="1"/>
  <c r="K256" i="1" a="1"/>
  <c r="K257" i="1" a="1"/>
  <c r="K258" i="1" a="1"/>
  <c r="K259" i="1" a="1"/>
  <c r="K260" i="1" a="1"/>
  <c r="K261" i="1" a="1"/>
  <c r="K262" i="1" a="1"/>
  <c r="K263" i="1" a="1"/>
  <c r="K264" i="1" a="1"/>
  <c r="K265" i="1" a="1"/>
  <c r="K266" i="1" a="1"/>
  <c r="K267" i="1" a="1"/>
  <c r="K268" i="1" a="1"/>
  <c r="K269" i="1" a="1"/>
  <c r="K270" i="1" a="1"/>
  <c r="K271" i="1" a="1"/>
  <c r="K272" i="1" a="1"/>
  <c r="K273" i="1" a="1"/>
  <c r="K274" i="1" a="1"/>
  <c r="K275" i="1" a="1"/>
  <c r="K276" i="1" a="1"/>
  <c r="K277" i="1" a="1"/>
  <c r="K278" i="1" a="1"/>
  <c r="K279" i="1" a="1"/>
  <c r="K280" i="1" a="1"/>
  <c r="K281" i="1" a="1"/>
  <c r="K282" i="1" a="1"/>
  <c r="K283" i="1" a="1"/>
  <c r="K284" i="1" a="1"/>
  <c r="K285" i="1" a="1"/>
  <c r="K286" i="1" a="1"/>
  <c r="K287" i="1" a="1"/>
  <c r="K288" i="1" a="1"/>
  <c r="K289" i="1" a="1"/>
  <c r="K290" i="1" a="1"/>
  <c r="K291" i="1" a="1"/>
  <c r="K292" i="1" a="1"/>
  <c r="K293" i="1" a="1"/>
  <c r="K294" i="1" a="1"/>
  <c r="K295" i="1" a="1"/>
  <c r="K296" i="1" a="1"/>
  <c r="K297" i="1" a="1"/>
  <c r="K298" i="1" a="1"/>
  <c r="K299" i="1" a="1"/>
  <c r="K300" i="1" a="1"/>
  <c r="K301" i="1" a="1"/>
  <c r="K302" i="1" a="1"/>
  <c r="K303" i="1" a="1"/>
  <c r="K304" i="1" a="1"/>
  <c r="K305" i="1" a="1"/>
  <c r="K306" i="1" a="1"/>
  <c r="K307" i="1" a="1"/>
  <c r="K308" i="1" a="1"/>
  <c r="K309" i="1" a="1"/>
  <c r="K310" i="1" a="1"/>
  <c r="K311" i="1" a="1"/>
  <c r="K312" i="1" a="1"/>
  <c r="K313" i="1" a="1"/>
  <c r="K314" i="1" a="1"/>
  <c r="K315" i="1" a="1"/>
  <c r="K316" i="1" a="1"/>
  <c r="K317" i="1" a="1"/>
  <c r="K318" i="1" a="1"/>
  <c r="K319" i="1" a="1"/>
  <c r="K320" i="1" a="1"/>
  <c r="K321" i="1" a="1"/>
  <c r="K322" i="1" a="1"/>
  <c r="K323" i="1" a="1"/>
  <c r="K324" i="1" a="1"/>
  <c r="K325" i="1" a="1"/>
  <c r="K326" i="1" a="1"/>
  <c r="K327" i="1" a="1"/>
  <c r="K328" i="1" a="1"/>
  <c r="K329" i="1" a="1"/>
  <c r="K330" i="1" a="1"/>
  <c r="K331" i="1" a="1"/>
  <c r="K332" i="1" a="1"/>
  <c r="K333" i="1" a="1"/>
  <c r="K334" i="1" a="1"/>
  <c r="K335" i="1" a="1"/>
  <c r="K336" i="1" a="1"/>
  <c r="K337" i="1" a="1"/>
  <c r="K338" i="1" a="1"/>
  <c r="K339" i="1" a="1"/>
  <c r="K340" i="1" a="1"/>
  <c r="K341" i="1" a="1"/>
  <c r="K342" i="1" a="1"/>
  <c r="K343" i="1" a="1"/>
  <c r="K344" i="1" a="1"/>
  <c r="K345" i="1" a="1"/>
  <c r="K346" i="1" a="1"/>
  <c r="K347" i="1" a="1"/>
  <c r="K348" i="1" a="1"/>
  <c r="K349" i="1" a="1"/>
  <c r="K350" i="1" a="1"/>
  <c r="K351" i="1" a="1"/>
  <c r="K352" i="1" a="1"/>
  <c r="K353" i="1" a="1"/>
  <c r="K354" i="1" a="1"/>
  <c r="K355" i="1" a="1"/>
  <c r="K356" i="1" a="1"/>
  <c r="K357" i="1" a="1"/>
  <c r="K358" i="1" a="1"/>
  <c r="K359" i="1" a="1"/>
  <c r="K360" i="1" a="1"/>
  <c r="K361" i="1" a="1"/>
  <c r="K362" i="1" a="1"/>
  <c r="K363" i="1" a="1"/>
  <c r="K364" i="1" a="1"/>
  <c r="K365" i="1" a="1"/>
  <c r="K366" i="1" a="1"/>
  <c r="K367" i="1" a="1"/>
  <c r="K368" i="1" a="1"/>
  <c r="K369" i="1" a="1"/>
  <c r="K370" i="1" a="1"/>
  <c r="K371" i="1" a="1"/>
  <c r="K372" i="1" a="1"/>
  <c r="K373" i="1" a="1"/>
  <c r="K374" i="1" a="1"/>
  <c r="K375" i="1" a="1"/>
  <c r="K376" i="1" a="1"/>
  <c r="K377" i="1" a="1"/>
  <c r="K378" i="1" a="1"/>
  <c r="K379" i="1" a="1"/>
  <c r="K380" i="1" a="1"/>
  <c r="K381" i="1" a="1"/>
  <c r="K382" i="1" a="1"/>
  <c r="K383" i="1" a="1"/>
  <c r="K384" i="1" a="1"/>
  <c r="K385" i="1" a="1"/>
  <c r="K386" i="1" a="1"/>
  <c r="K387" i="1" a="1"/>
  <c r="K388" i="1" a="1"/>
  <c r="K389" i="1" a="1"/>
  <c r="K390" i="1" a="1"/>
  <c r="K391" i="1" a="1"/>
  <c r="K392" i="1" a="1"/>
  <c r="K393" i="1" a="1"/>
  <c r="K394" i="1" a="1"/>
  <c r="K395" i="1" a="1"/>
  <c r="K396" i="1" a="1"/>
  <c r="K397" i="1" a="1"/>
  <c r="K398" i="1" a="1"/>
  <c r="K399" i="1" a="1"/>
  <c r="K400" i="1" a="1"/>
  <c r="K401" i="1" a="1"/>
  <c r="K402" i="1" a="1"/>
  <c r="K403" i="1" a="1"/>
  <c r="K404" i="1" a="1"/>
  <c r="K405" i="1" a="1"/>
  <c r="K406" i="1" a="1"/>
  <c r="K407" i="1" a="1"/>
  <c r="K408" i="1" a="1"/>
  <c r="K409" i="1" a="1"/>
  <c r="K410" i="1" a="1"/>
  <c r="K411" i="1" a="1"/>
  <c r="K412" i="1" a="1"/>
  <c r="K413" i="1" a="1"/>
  <c r="K414" i="1" a="1"/>
  <c r="K415" i="1" a="1"/>
  <c r="K416" i="1" a="1"/>
  <c r="K417" i="1" a="1"/>
  <c r="K418" i="1" a="1"/>
  <c r="K419" i="1" a="1"/>
  <c r="K420" i="1" a="1"/>
  <c r="K421" i="1" a="1"/>
  <c r="K422" i="1" a="1"/>
  <c r="K423" i="1" a="1"/>
  <c r="K424" i="1" a="1"/>
  <c r="K425" i="1" a="1"/>
  <c r="K426" i="1" a="1"/>
  <c r="K427" i="1" a="1"/>
  <c r="K428" i="1" a="1"/>
  <c r="K429" i="1" a="1"/>
  <c r="K430" i="1" a="1"/>
  <c r="K431" i="1" a="1"/>
  <c r="K432" i="1" a="1"/>
  <c r="K433" i="1" a="1"/>
  <c r="K434" i="1" a="1"/>
  <c r="K435" i="1" a="1"/>
  <c r="K436" i="1" a="1"/>
  <c r="K437" i="1" a="1"/>
  <c r="K438" i="1" a="1"/>
  <c r="K439" i="1" a="1"/>
  <c r="K440" i="1" a="1"/>
  <c r="K441" i="1" a="1"/>
  <c r="K442" i="1" a="1"/>
  <c r="K443" i="1" a="1"/>
  <c r="K444" i="1" a="1"/>
  <c r="K445" i="1" a="1"/>
  <c r="K446" i="1" a="1"/>
  <c r="K447" i="1" a="1"/>
  <c r="K448" i="1" a="1"/>
  <c r="K449" i="1" a="1"/>
  <c r="K450" i="1" a="1"/>
  <c r="K451" i="1" a="1"/>
  <c r="K452" i="1" a="1"/>
  <c r="K453" i="1" a="1"/>
  <c r="K454" i="1" a="1"/>
  <c r="K455" i="1" a="1"/>
  <c r="K456" i="1" a="1"/>
  <c r="K457" i="1" a="1"/>
  <c r="K458" i="1" a="1"/>
  <c r="K459" i="1" a="1"/>
  <c r="K460" i="1" a="1"/>
  <c r="K461" i="1" a="1"/>
  <c r="K462" i="1" a="1"/>
  <c r="K463" i="1" a="1"/>
  <c r="K464" i="1" a="1"/>
  <c r="K465" i="1" a="1"/>
  <c r="K466" i="1" a="1"/>
  <c r="K467" i="1" a="1"/>
  <c r="K468" i="1" a="1"/>
  <c r="K469" i="1" a="1"/>
  <c r="K470" i="1" a="1"/>
  <c r="K471" i="1" a="1"/>
  <c r="K472" i="1" a="1"/>
  <c r="K473" i="1" a="1"/>
  <c r="K474" i="1" a="1"/>
  <c r="K475" i="1" a="1"/>
  <c r="K476" i="1" a="1"/>
  <c r="K477" i="1" a="1"/>
  <c r="K478" i="1" a="1"/>
  <c r="K479" i="1" a="1"/>
  <c r="K480" i="1" a="1"/>
  <c r="K481" i="1" a="1"/>
  <c r="K482" i="1" a="1"/>
  <c r="K483" i="1" a="1"/>
  <c r="K484" i="1" a="1"/>
  <c r="K485" i="1" a="1"/>
  <c r="K486" i="1" a="1"/>
  <c r="K487" i="1" a="1"/>
  <c r="K488" i="1" a="1"/>
  <c r="K489" i="1" a="1"/>
  <c r="K490" i="1" a="1"/>
  <c r="K491" i="1" a="1"/>
  <c r="K492" i="1" a="1"/>
  <c r="K493" i="1" a="1"/>
  <c r="K494" i="1" a="1"/>
  <c r="K495" i="1" a="1"/>
  <c r="K496" i="1" a="1"/>
  <c r="K497" i="1" a="1"/>
  <c r="K498" i="1" a="1"/>
  <c r="K499" i="1" a="1"/>
  <c r="K500" i="1" a="1"/>
  <c r="K501" i="1" a="1"/>
  <c r="K502" i="1" a="1"/>
  <c r="K503" i="1" a="1"/>
  <c r="K504" i="1" a="1"/>
  <c r="K505" i="1" a="1"/>
  <c r="K506" i="1" a="1"/>
  <c r="K507" i="1" a="1"/>
  <c r="K508" i="1" a="1"/>
  <c r="K509" i="1" a="1"/>
  <c r="K510" i="1" a="1"/>
  <c r="K511" i="1" a="1"/>
  <c r="K512" i="1" a="1"/>
  <c r="K513" i="1" a="1"/>
  <c r="K514" i="1" a="1"/>
  <c r="K515" i="1" a="1"/>
  <c r="K516" i="1" a="1"/>
  <c r="K517" i="1" a="1"/>
  <c r="K518" i="1" a="1"/>
  <c r="K519" i="1" a="1"/>
  <c r="K520" i="1" a="1"/>
  <c r="K521" i="1" a="1"/>
  <c r="K522" i="1" a="1"/>
  <c r="K523" i="1" a="1"/>
  <c r="K524" i="1" a="1"/>
  <c r="K525" i="1" a="1"/>
  <c r="K526" i="1" a="1"/>
  <c r="K527" i="1" a="1"/>
  <c r="K528" i="1" a="1"/>
  <c r="K529" i="1" a="1"/>
  <c r="K530" i="1" a="1"/>
  <c r="K531" i="1" a="1"/>
  <c r="K532" i="1" a="1"/>
  <c r="K533" i="1" a="1"/>
  <c r="K534" i="1" a="1"/>
  <c r="K535" i="1" a="1"/>
  <c r="K536" i="1" a="1"/>
  <c r="K537" i="1" a="1"/>
  <c r="K538" i="1" a="1"/>
  <c r="K539" i="1" a="1"/>
  <c r="K540" i="1" a="1"/>
  <c r="K541" i="1" a="1"/>
  <c r="K542" i="1" a="1"/>
  <c r="K543" i="1" a="1"/>
  <c r="K544" i="1" a="1"/>
  <c r="K545" i="1" a="1"/>
  <c r="K546" i="1" a="1"/>
  <c r="K547" i="1" a="1"/>
  <c r="K548" i="1" a="1"/>
  <c r="K549" i="1" a="1"/>
  <c r="K550" i="1" a="1"/>
  <c r="K551" i="1" a="1"/>
  <c r="K552" i="1" a="1"/>
  <c r="K553" i="1" a="1"/>
  <c r="K554" i="1" a="1"/>
  <c r="K555" i="1" a="1"/>
  <c r="K556" i="1" a="1"/>
  <c r="K557" i="1" a="1"/>
  <c r="K558" i="1" a="1"/>
  <c r="K559" i="1" a="1"/>
  <c r="K560" i="1" a="1"/>
  <c r="K561" i="1" a="1"/>
  <c r="K562" i="1" a="1"/>
  <c r="K563" i="1" a="1"/>
  <c r="K564" i="1" a="1"/>
  <c r="K565" i="1" a="1"/>
  <c r="K566" i="1" a="1"/>
  <c r="K567" i="1" a="1"/>
  <c r="K568" i="1" a="1"/>
  <c r="K569" i="1" a="1"/>
  <c r="K570" i="1" a="1"/>
  <c r="K571" i="1" a="1"/>
  <c r="K572" i="1" a="1"/>
  <c r="K573" i="1" a="1"/>
  <c r="K574" i="1" a="1"/>
  <c r="K575" i="1" a="1"/>
  <c r="K576" i="1" a="1"/>
  <c r="K577" i="1" a="1"/>
  <c r="K578" i="1" a="1"/>
  <c r="K579" i="1" a="1"/>
  <c r="K580" i="1" a="1"/>
  <c r="K581" i="1" a="1"/>
  <c r="K582" i="1" a="1"/>
  <c r="K583" i="1" a="1"/>
  <c r="K584" i="1" a="1"/>
  <c r="K585" i="1" a="1"/>
  <c r="K586" i="1" a="1"/>
  <c r="K587" i="1" a="1"/>
  <c r="K588" i="1" a="1"/>
  <c r="K589" i="1" a="1"/>
  <c r="K590" i="1" a="1"/>
  <c r="K591" i="1" a="1"/>
  <c r="K592" i="1" a="1"/>
  <c r="K593" i="1" a="1"/>
  <c r="K594" i="1" a="1"/>
  <c r="K595" i="1" a="1"/>
  <c r="K596" i="1" a="1"/>
  <c r="K597" i="1" a="1"/>
  <c r="K598" i="1" a="1"/>
  <c r="K599" i="1" a="1"/>
  <c r="K600" i="1" a="1"/>
  <c r="K601" i="1" a="1"/>
  <c r="K602" i="1" a="1"/>
  <c r="K603" i="1" a="1"/>
  <c r="K604" i="1" a="1"/>
  <c r="K605" i="1" a="1"/>
  <c r="K606" i="1" a="1"/>
  <c r="K607" i="1" a="1"/>
  <c r="K608" i="1" a="1"/>
  <c r="K609" i="1" a="1"/>
  <c r="K610" i="1" a="1"/>
  <c r="K611" i="1" a="1"/>
  <c r="K612" i="1" a="1"/>
  <c r="K613" i="1" a="1"/>
  <c r="K614" i="1" a="1"/>
  <c r="K615" i="1" a="1"/>
  <c r="K616" i="1" a="1"/>
  <c r="K617" i="1" a="1"/>
  <c r="K618" i="1" a="1"/>
  <c r="K619" i="1" a="1"/>
  <c r="K620" i="1" a="1"/>
  <c r="K621" i="1" a="1"/>
  <c r="K622" i="1" a="1"/>
  <c r="K623" i="1" a="1"/>
  <c r="K624" i="1" a="1"/>
  <c r="K625" i="1" a="1"/>
  <c r="K626" i="1" a="1"/>
  <c r="K627" i="1" a="1"/>
  <c r="K628" i="1" a="1"/>
  <c r="K629" i="1" a="1"/>
  <c r="K630" i="1" a="1"/>
  <c r="K631" i="1" a="1"/>
  <c r="K632" i="1" a="1"/>
  <c r="K633" i="1" a="1"/>
  <c r="K634" i="1" a="1"/>
  <c r="K635" i="1" a="1"/>
  <c r="K636" i="1" a="1"/>
  <c r="K637" i="1" a="1"/>
  <c r="K638" i="1" a="1"/>
  <c r="K639" i="1" a="1"/>
  <c r="K640" i="1" a="1"/>
  <c r="K641" i="1" a="1"/>
  <c r="K642" i="1" a="1"/>
  <c r="K643" i="1" a="1"/>
  <c r="K644" i="1" a="1"/>
  <c r="K645" i="1" a="1"/>
  <c r="K646" i="1" a="1"/>
  <c r="K647" i="1" a="1"/>
  <c r="K648" i="1" a="1"/>
  <c r="K649" i="1" a="1"/>
  <c r="K650" i="1" a="1"/>
  <c r="K651" i="1" a="1"/>
  <c r="K652" i="1" a="1"/>
  <c r="K653" i="1" a="1"/>
  <c r="K654" i="1" a="1"/>
  <c r="K655" i="1" a="1"/>
  <c r="K656" i="1" a="1"/>
  <c r="K657" i="1" a="1"/>
  <c r="K658" i="1" a="1"/>
  <c r="K659" i="1" a="1"/>
  <c r="K660" i="1" a="1"/>
  <c r="K661" i="1" a="1"/>
  <c r="K662" i="1" a="1"/>
  <c r="K663" i="1" a="1"/>
  <c r="K664" i="1" a="1"/>
  <c r="K665" i="1" a="1"/>
  <c r="K666" i="1" a="1"/>
  <c r="K667" i="1" a="1"/>
  <c r="K668" i="1" a="1"/>
  <c r="K669" i="1" a="1"/>
  <c r="K670" i="1" a="1"/>
  <c r="K671" i="1" a="1"/>
  <c r="K672" i="1" a="1"/>
  <c r="K673" i="1" a="1"/>
  <c r="K674" i="1" a="1"/>
  <c r="K675" i="1" a="1"/>
  <c r="K676" i="1" a="1"/>
  <c r="K677" i="1" a="1"/>
  <c r="K678" i="1" a="1"/>
  <c r="K679" i="1" a="1"/>
  <c r="K680" i="1" a="1"/>
  <c r="K681" i="1" a="1"/>
  <c r="K682" i="1" a="1"/>
  <c r="K683" i="1" a="1"/>
  <c r="K684" i="1" a="1"/>
  <c r="K685" i="1" a="1"/>
  <c r="K686" i="1" a="1"/>
  <c r="K687" i="1" a="1"/>
  <c r="K688" i="1" a="1"/>
  <c r="K689" i="1" a="1"/>
  <c r="K690" i="1" a="1"/>
  <c r="K691" i="1" a="1"/>
  <c r="K692" i="1" a="1"/>
  <c r="K693" i="1" a="1"/>
  <c r="K694" i="1" a="1"/>
  <c r="K695" i="1" a="1"/>
  <c r="K696" i="1" a="1"/>
  <c r="K697" i="1" a="1"/>
  <c r="K698" i="1" a="1"/>
  <c r="K699" i="1" a="1"/>
  <c r="K700" i="1" a="1"/>
  <c r="K701" i="1" a="1"/>
  <c r="K702" i="1" a="1"/>
  <c r="K703" i="1" a="1"/>
  <c r="K704" i="1" a="1"/>
  <c r="K705" i="1" a="1"/>
  <c r="K706" i="1" a="1"/>
  <c r="K707" i="1" a="1"/>
  <c r="K708" i="1" a="1"/>
  <c r="K709" i="1" a="1"/>
  <c r="K710" i="1" a="1"/>
  <c r="K711" i="1" a="1"/>
  <c r="K712" i="1" a="1"/>
  <c r="K713" i="1" a="1"/>
  <c r="K714" i="1" a="1"/>
  <c r="K715" i="1" a="1"/>
  <c r="K716" i="1" a="1"/>
  <c r="K717" i="1" a="1"/>
  <c r="K718" i="1" a="1"/>
  <c r="K719" i="1" a="1"/>
  <c r="K720" i="1" a="1"/>
  <c r="K721" i="1" a="1"/>
  <c r="K722" i="1" a="1"/>
  <c r="K723" i="1" a="1"/>
  <c r="K724" i="1" a="1"/>
  <c r="K725" i="1" a="1"/>
  <c r="K726" i="1" a="1"/>
  <c r="K727" i="1" a="1"/>
  <c r="K728" i="1" a="1"/>
  <c r="K729" i="1" a="1"/>
  <c r="K730" i="1" a="1"/>
  <c r="K731" i="1" a="1"/>
  <c r="K732" i="1" a="1"/>
  <c r="K733" i="1" a="1"/>
  <c r="K734" i="1" a="1"/>
  <c r="K735" i="1" a="1"/>
  <c r="K736" i="1" a="1"/>
  <c r="K737" i="1" a="1"/>
  <c r="K738" i="1" a="1"/>
  <c r="K739" i="1" a="1"/>
  <c r="K740" i="1" a="1"/>
  <c r="K741" i="1" a="1"/>
  <c r="K742" i="1" a="1"/>
  <c r="K743" i="1" a="1"/>
  <c r="K744" i="1" a="1"/>
  <c r="K745" i="1" a="1"/>
  <c r="K746" i="1" a="1"/>
  <c r="K747" i="1" a="1"/>
  <c r="K748" i="1" a="1"/>
  <c r="K749" i="1" a="1"/>
  <c r="K750" i="1" a="1"/>
  <c r="K751" i="1" a="1"/>
  <c r="K752" i="1" a="1"/>
  <c r="K753" i="1" a="1"/>
  <c r="K754" i="1" a="1"/>
  <c r="K755" i="1" a="1"/>
  <c r="K756" i="1" a="1"/>
  <c r="K757" i="1" a="1"/>
  <c r="K758" i="1" a="1"/>
  <c r="K759" i="1" a="1"/>
  <c r="K760" i="1" a="1"/>
  <c r="K761" i="1" a="1"/>
  <c r="K762" i="1" a="1"/>
  <c r="K763" i="1" a="1"/>
  <c r="K764" i="1" a="1"/>
  <c r="K765" i="1" a="1"/>
  <c r="K766" i="1" a="1"/>
  <c r="K767" i="1" a="1"/>
  <c r="K768" i="1" a="1"/>
  <c r="K769" i="1" a="1"/>
  <c r="K770" i="1" a="1"/>
  <c r="K771" i="1" a="1"/>
  <c r="K772" i="1" a="1"/>
  <c r="K773" i="1" a="1"/>
  <c r="K774" i="1" a="1"/>
  <c r="K775" i="1" a="1"/>
  <c r="K776" i="1" a="1"/>
  <c r="K777" i="1" a="1"/>
  <c r="K778" i="1" a="1"/>
  <c r="K779" i="1" a="1"/>
  <c r="K780" i="1" a="1"/>
  <c r="K781" i="1" a="1"/>
  <c r="K782" i="1" a="1"/>
  <c r="K783" i="1" a="1"/>
  <c r="K784" i="1" a="1"/>
  <c r="K785" i="1" a="1"/>
  <c r="K786" i="1" a="1"/>
  <c r="K787" i="1" a="1"/>
  <c r="K788" i="1" a="1"/>
  <c r="K789" i="1" a="1"/>
  <c r="K790" i="1" a="1"/>
  <c r="K791" i="1" a="1"/>
  <c r="K792" i="1" a="1"/>
  <c r="K793" i="1" a="1"/>
  <c r="K794" i="1" a="1"/>
  <c r="K795" i="1" a="1"/>
  <c r="K796" i="1" a="1"/>
  <c r="K797" i="1" a="1"/>
  <c r="K798" i="1" a="1"/>
  <c r="K799" i="1" a="1"/>
  <c r="K800" i="1" a="1"/>
  <c r="K801" i="1" a="1"/>
  <c r="K802" i="1" a="1"/>
  <c r="K803" i="1" a="1"/>
  <c r="K804" i="1" a="1"/>
  <c r="K805" i="1" a="1"/>
  <c r="K806" i="1" a="1"/>
  <c r="K807" i="1" a="1"/>
  <c r="K808" i="1" a="1"/>
  <c r="K809" i="1" a="1"/>
  <c r="K810" i="1" a="1"/>
  <c r="K811" i="1" a="1"/>
  <c r="K812" i="1" a="1"/>
  <c r="K813" i="1" a="1"/>
  <c r="K814" i="1" a="1"/>
  <c r="K815" i="1" a="1"/>
  <c r="K816" i="1" a="1"/>
  <c r="K817" i="1" a="1"/>
  <c r="K818" i="1" a="1"/>
  <c r="K819" i="1" a="1"/>
  <c r="K820" i="1" a="1"/>
  <c r="K821" i="1" a="1"/>
  <c r="K822" i="1" a="1"/>
  <c r="K823" i="1" a="1"/>
  <c r="K824" i="1" a="1"/>
  <c r="K825" i="1" a="1"/>
  <c r="K826" i="1" a="1"/>
  <c r="K827" i="1" a="1"/>
  <c r="K828" i="1" a="1"/>
  <c r="K829" i="1" a="1"/>
  <c r="K830" i="1" a="1"/>
  <c r="K831" i="1" a="1"/>
  <c r="K832" i="1" a="1"/>
  <c r="K833" i="1" a="1"/>
  <c r="K834" i="1" a="1"/>
  <c r="K835" i="1" a="1"/>
  <c r="K836" i="1" a="1"/>
  <c r="K837" i="1" a="1"/>
  <c r="K838" i="1" a="1"/>
  <c r="K839" i="1" a="1"/>
  <c r="K840" i="1" a="1"/>
  <c r="K841" i="1" a="1"/>
  <c r="K842" i="1" a="1"/>
  <c r="K843" i="1" a="1"/>
  <c r="K844" i="1" a="1"/>
  <c r="K845" i="1" a="1"/>
  <c r="K846" i="1" a="1"/>
  <c r="K847" i="1" a="1"/>
  <c r="K848" i="1" a="1"/>
  <c r="K849" i="1" a="1"/>
  <c r="K850" i="1" a="1"/>
  <c r="K851" i="1" a="1"/>
  <c r="K852" i="1" a="1"/>
  <c r="K853" i="1" a="1"/>
  <c r="K854" i="1" a="1"/>
  <c r="K855" i="1" a="1"/>
  <c r="K856" i="1" a="1"/>
  <c r="K857" i="1" a="1"/>
  <c r="K858" i="1" a="1"/>
  <c r="K859" i="1" a="1"/>
  <c r="K860" i="1" a="1"/>
  <c r="K861" i="1" a="1"/>
  <c r="K862" i="1" a="1"/>
  <c r="K863" i="1" a="1"/>
  <c r="K864" i="1" a="1"/>
  <c r="K865" i="1" a="1"/>
  <c r="K866" i="1" a="1"/>
  <c r="K867" i="1" a="1"/>
  <c r="K868" i="1" a="1"/>
  <c r="K869" i="1" a="1"/>
  <c r="K870" i="1" a="1"/>
  <c r="K871" i="1" a="1"/>
  <c r="K872" i="1" a="1"/>
  <c r="K873" i="1" a="1"/>
  <c r="K874" i="1" a="1"/>
  <c r="K875" i="1" a="1"/>
  <c r="K876" i="1" a="1"/>
  <c r="K877" i="1" a="1"/>
  <c r="K878" i="1" a="1"/>
  <c r="K879" i="1" a="1"/>
  <c r="K880" i="1" a="1"/>
  <c r="K881" i="1" a="1"/>
  <c r="K882" i="1" a="1"/>
  <c r="K883" i="1" a="1"/>
  <c r="K884" i="1" a="1"/>
  <c r="K885" i="1" a="1"/>
  <c r="K886" i="1" a="1"/>
  <c r="K887" i="1" a="1"/>
  <c r="K888" i="1" a="1"/>
  <c r="K889" i="1" a="1"/>
  <c r="K890" i="1" a="1"/>
  <c r="K891" i="1" a="1"/>
  <c r="K892" i="1" a="1"/>
  <c r="K893" i="1" a="1"/>
  <c r="K894" i="1" a="1"/>
  <c r="K895" i="1" a="1"/>
  <c r="K896" i="1" a="1"/>
  <c r="K897" i="1" a="1"/>
  <c r="K898" i="1" a="1"/>
  <c r="K899" i="1" a="1"/>
  <c r="K900" i="1" a="1"/>
  <c r="K901" i="1" a="1"/>
  <c r="K902" i="1" a="1"/>
  <c r="K903" i="1" a="1"/>
  <c r="K904" i="1" a="1"/>
  <c r="K905" i="1" a="1"/>
  <c r="K906" i="1" a="1"/>
  <c r="K907" i="1" a="1"/>
  <c r="K908" i="1" a="1"/>
  <c r="K909" i="1" a="1"/>
  <c r="K910" i="1" a="1"/>
  <c r="K911" i="1" a="1"/>
  <c r="K912" i="1" a="1"/>
  <c r="K913" i="1" a="1"/>
  <c r="K914" i="1" a="1"/>
  <c r="K915" i="1" a="1"/>
  <c r="K916" i="1" a="1"/>
  <c r="K917" i="1" a="1"/>
  <c r="K918" i="1" a="1"/>
  <c r="K919" i="1" a="1"/>
  <c r="K920" i="1" a="1"/>
  <c r="K921" i="1" a="1"/>
  <c r="K922" i="1" a="1"/>
  <c r="K923" i="1" a="1"/>
  <c r="K924" i="1" a="1"/>
  <c r="K925" i="1" a="1"/>
  <c r="K926" i="1" a="1"/>
  <c r="K927" i="1" a="1"/>
  <c r="K928" i="1" a="1"/>
  <c r="K929" i="1" a="1"/>
  <c r="K930" i="1" a="1"/>
  <c r="K931" i="1" a="1"/>
  <c r="K932" i="1" a="1"/>
  <c r="K933" i="1" a="1"/>
  <c r="K934" i="1" a="1"/>
  <c r="K935" i="1" a="1"/>
  <c r="K936" i="1" a="1"/>
  <c r="K937" i="1" a="1"/>
  <c r="K938" i="1" a="1"/>
  <c r="K939" i="1" a="1"/>
  <c r="K940" i="1" a="1"/>
  <c r="K941" i="1" a="1"/>
  <c r="K942" i="1" a="1"/>
  <c r="K943" i="1" a="1"/>
  <c r="K944" i="1" a="1"/>
  <c r="K945" i="1" a="1"/>
  <c r="K946" i="1" a="1"/>
  <c r="K947" i="1" a="1"/>
  <c r="K948" i="1" a="1"/>
  <c r="K949" i="1" a="1"/>
  <c r="K950" i="1" a="1"/>
  <c r="K951" i="1" a="1"/>
  <c r="K952" i="1" a="1"/>
  <c r="K953" i="1" a="1"/>
  <c r="K954" i="1" a="1"/>
  <c r="K955" i="1" a="1"/>
  <c r="K956" i="1" a="1"/>
  <c r="K957" i="1" a="1"/>
  <c r="K958" i="1" a="1"/>
  <c r="K959" i="1" a="1"/>
  <c r="K960" i="1" a="1"/>
  <c r="K961" i="1" a="1"/>
  <c r="K962" i="1" a="1"/>
  <c r="K963" i="1" a="1"/>
  <c r="K964" i="1" a="1"/>
  <c r="K965" i="1" a="1"/>
  <c r="K966" i="1" a="1"/>
  <c r="K967" i="1" a="1"/>
  <c r="K968" i="1" a="1"/>
  <c r="K969" i="1" a="1"/>
  <c r="K970" i="1" a="1"/>
  <c r="K971" i="1" a="1"/>
  <c r="K972" i="1" a="1"/>
  <c r="K973" i="1" a="1"/>
  <c r="K974" i="1" a="1"/>
  <c r="K975" i="1" a="1"/>
  <c r="K976" i="1" a="1"/>
  <c r="K977" i="1" a="1"/>
  <c r="K978" i="1" a="1"/>
  <c r="K979" i="1" a="1"/>
  <c r="K980" i="1" a="1"/>
  <c r="K981" i="1" a="1"/>
  <c r="K982" i="1" a="1"/>
  <c r="K983" i="1" a="1"/>
  <c r="K984" i="1" a="1"/>
  <c r="K985" i="1" a="1"/>
  <c r="K986" i="1" a="1"/>
  <c r="K987" i="1" a="1"/>
  <c r="K988" i="1" a="1"/>
  <c r="K989" i="1" a="1"/>
  <c r="K990" i="1" a="1"/>
  <c r="K991" i="1" a="1"/>
  <c r="K992" i="1" a="1"/>
  <c r="K993" i="1" a="1"/>
  <c r="K994" i="1" a="1"/>
  <c r="K995" i="1" a="1"/>
  <c r="K996" i="1" a="1"/>
  <c r="K997" i="1" a="1"/>
  <c r="K998" i="1" a="1"/>
  <c r="K999" i="1" a="1"/>
  <c r="K1000" i="1" a="1"/>
  <c r="K1001" i="1" a="1"/>
  <c r="K1002" i="1" a="1"/>
  <c r="K1003" i="1" a="1"/>
  <c r="K1004" i="1" a="1"/>
  <c r="K1005" i="1" a="1"/>
  <c r="K1006" i="1" a="1"/>
  <c r="K1007" i="1" a="1"/>
  <c r="K1008" i="1" a="1"/>
  <c r="K1009" i="1" a="1"/>
  <c r="K1010" i="1" a="1"/>
  <c r="K1011" i="1" a="1"/>
  <c r="K1012" i="1" a="1"/>
  <c r="K1013" i="1" a="1"/>
  <c r="K1014" i="1" a="1"/>
  <c r="K1015" i="1" a="1"/>
  <c r="K1016" i="1" a="1"/>
  <c r="K1017" i="1" a="1"/>
  <c r="K1018" i="1" a="1"/>
  <c r="K1019" i="1" a="1"/>
  <c r="K1020" i="1" a="1"/>
  <c r="K1021" i="1" a="1"/>
  <c r="K1022" i="1" a="1"/>
  <c r="K1023" i="1" a="1"/>
  <c r="K1024" i="1" a="1"/>
  <c r="K1025" i="1" a="1"/>
  <c r="K1026" i="1" a="1"/>
  <c r="K1027" i="1" a="1"/>
  <c r="K1028" i="1" a="1"/>
  <c r="K1029" i="1" a="1"/>
  <c r="K1030" i="1" a="1"/>
  <c r="K1031" i="1" a="1"/>
  <c r="K1032" i="1" a="1"/>
  <c r="K1033" i="1" a="1"/>
  <c r="K1034" i="1" a="1"/>
  <c r="K1035" i="1" a="1"/>
  <c r="K1036" i="1" a="1"/>
  <c r="K1037" i="1" a="1"/>
  <c r="K1038" i="1" a="1"/>
  <c r="K1039" i="1" a="1"/>
  <c r="K1040" i="1" a="1"/>
  <c r="K1041" i="1" a="1"/>
  <c r="K1042" i="1" a="1"/>
  <c r="K1043" i="1" a="1"/>
  <c r="K1044" i="1" a="1"/>
  <c r="K1045" i="1" a="1"/>
  <c r="K1046" i="1" a="1"/>
  <c r="K1047" i="1" a="1"/>
  <c r="K1048" i="1" a="1"/>
  <c r="K1049" i="1" a="1"/>
  <c r="K1050" i="1" a="1"/>
  <c r="K1051" i="1" a="1"/>
  <c r="K1052" i="1" a="1"/>
  <c r="K1053" i="1" a="1"/>
  <c r="K1054" i="1" a="1"/>
  <c r="K1055" i="1" a="1"/>
  <c r="K1056" i="1" a="1"/>
  <c r="K1057" i="1" a="1"/>
  <c r="K1058" i="1" a="1"/>
  <c r="K1059" i="1" a="1"/>
  <c r="K1060" i="1" a="1"/>
  <c r="K1061" i="1" a="1"/>
  <c r="K1062" i="1" a="1"/>
  <c r="K1063" i="1" a="1"/>
  <c r="K1064" i="1" a="1"/>
  <c r="K1065" i="1" a="1"/>
  <c r="K1066" i="1" a="1"/>
  <c r="K1067" i="1" a="1"/>
  <c r="K1068" i="1" a="1"/>
  <c r="K1069" i="1" a="1"/>
  <c r="K1070" i="1" a="1"/>
  <c r="K1071" i="1" a="1"/>
  <c r="K1072" i="1" a="1"/>
  <c r="K1073" i="1" a="1"/>
  <c r="K1074" i="1" a="1"/>
  <c r="K1075" i="1" a="1"/>
  <c r="K1076" i="1" a="1"/>
  <c r="K1077" i="1" a="1"/>
  <c r="K1078" i="1" a="1"/>
  <c r="K1079" i="1" a="1"/>
  <c r="K1080" i="1" a="1"/>
  <c r="K1081" i="1" a="1"/>
  <c r="K1082" i="1" a="1"/>
  <c r="K1083" i="1" a="1"/>
  <c r="K1084" i="1" a="1"/>
  <c r="K1085" i="1" a="1"/>
  <c r="K1086" i="1" a="1"/>
  <c r="K1087" i="1" a="1"/>
  <c r="K1088" i="1" a="1"/>
  <c r="K1089" i="1" a="1"/>
  <c r="K1090" i="1" a="1"/>
  <c r="K1091" i="1" a="1"/>
  <c r="K1092" i="1" a="1"/>
  <c r="K1093" i="1" a="1"/>
  <c r="K1094" i="1" a="1"/>
  <c r="K1095" i="1" a="1"/>
  <c r="K1096" i="1" a="1"/>
  <c r="K1097" i="1" a="1"/>
  <c r="K1098" i="1" a="1"/>
  <c r="K1099" i="1" a="1"/>
  <c r="K1100" i="1" a="1"/>
  <c r="K1101" i="1" a="1"/>
  <c r="K1102" i="1" a="1"/>
  <c r="K1103" i="1" a="1"/>
  <c r="K1104" i="1" a="1"/>
  <c r="K1105" i="1" a="1"/>
  <c r="K1106" i="1" a="1"/>
  <c r="K1107" i="1" a="1"/>
  <c r="K1108" i="1" a="1"/>
  <c r="K1109" i="1" a="1"/>
  <c r="K1110" i="1" a="1"/>
  <c r="K1111" i="1" a="1"/>
  <c r="K1112" i="1" a="1"/>
  <c r="K1113" i="1" a="1"/>
  <c r="K1114" i="1" a="1"/>
  <c r="K1115" i="1" a="1"/>
  <c r="K1116" i="1" a="1"/>
  <c r="K1117" i="1" a="1"/>
  <c r="K1118" i="1" a="1"/>
  <c r="K1119" i="1" a="1"/>
  <c r="K1120" i="1" a="1"/>
  <c r="K1121" i="1" a="1"/>
  <c r="K1122" i="1" a="1"/>
  <c r="K1123" i="1" a="1"/>
  <c r="K1124" i="1" a="1"/>
  <c r="K1125" i="1" a="1"/>
  <c r="K1126" i="1" a="1"/>
  <c r="K1127" i="1" a="1"/>
  <c r="K1128" i="1" a="1"/>
  <c r="K1129" i="1" a="1"/>
  <c r="K1130" i="1" a="1"/>
  <c r="K1131" i="1" a="1"/>
  <c r="K1132" i="1" a="1"/>
  <c r="K1133" i="1" a="1"/>
  <c r="K1134" i="1" a="1"/>
  <c r="K1135" i="1" a="1"/>
  <c r="K1136" i="1" a="1"/>
  <c r="K1137" i="1" a="1"/>
  <c r="K1138" i="1" a="1"/>
  <c r="K1139" i="1" a="1"/>
  <c r="K1140" i="1" a="1"/>
  <c r="K1141" i="1" a="1"/>
  <c r="K1142" i="1" a="1"/>
  <c r="K1143" i="1" a="1"/>
  <c r="K1144" i="1" a="1"/>
  <c r="K1145" i="1" a="1"/>
  <c r="K1146" i="1" a="1"/>
  <c r="K1147" i="1" a="1"/>
  <c r="K1148" i="1" a="1"/>
  <c r="K1149" i="1" a="1"/>
  <c r="K1150" i="1" a="1"/>
  <c r="K1151" i="1" a="1"/>
  <c r="K1152" i="1" a="1"/>
  <c r="K1153" i="1" a="1"/>
  <c r="K1154" i="1" a="1"/>
  <c r="K1155" i="1" a="1"/>
  <c r="K1156" i="1" a="1"/>
  <c r="K1157" i="1" a="1"/>
  <c r="K1158" i="1" a="1"/>
  <c r="K1159" i="1" a="1"/>
  <c r="K1160" i="1" a="1"/>
  <c r="K1161" i="1" a="1"/>
  <c r="K1162" i="1" a="1"/>
  <c r="K1163" i="1" a="1"/>
  <c r="K1164" i="1" a="1"/>
  <c r="K1165" i="1" a="1"/>
  <c r="K1166" i="1" a="1"/>
  <c r="K1167" i="1" a="1"/>
  <c r="K1168" i="1" a="1"/>
  <c r="K1169" i="1" a="1"/>
  <c r="K1170" i="1" a="1"/>
  <c r="K1171" i="1" a="1"/>
  <c r="K1172" i="1" a="1"/>
  <c r="K1173" i="1" a="1"/>
  <c r="K1174" i="1" a="1"/>
  <c r="K1175" i="1" a="1"/>
  <c r="K1176" i="1" a="1"/>
  <c r="K1177" i="1" a="1"/>
  <c r="K1178" i="1" a="1"/>
  <c r="K1179" i="1" a="1"/>
  <c r="K1180" i="1" a="1"/>
  <c r="K1181" i="1" a="1"/>
  <c r="K1182" i="1" a="1"/>
  <c r="K1183" i="1" a="1"/>
  <c r="K1184" i="1" a="1"/>
  <c r="K1185" i="1" a="1"/>
  <c r="K1186" i="1" a="1"/>
  <c r="K1187" i="1" a="1"/>
  <c r="K1188" i="1" a="1"/>
  <c r="K1189" i="1" a="1"/>
  <c r="K1190" i="1" a="1"/>
  <c r="K1191" i="1" a="1"/>
  <c r="K1192" i="1" a="1"/>
  <c r="K1193" i="1" a="1"/>
  <c r="K1194" i="1" a="1"/>
  <c r="K1195" i="1" a="1"/>
  <c r="K1196" i="1" a="1"/>
  <c r="K1197" i="1" a="1"/>
  <c r="K1198" i="1" a="1"/>
  <c r="K1199" i="1" a="1"/>
  <c r="K1200" i="1" a="1"/>
  <c r="K1201" i="1" a="1"/>
  <c r="K1202" i="1" a="1"/>
  <c r="K1203" i="1" a="1"/>
  <c r="K1204" i="1" a="1"/>
  <c r="K1205" i="1" a="1"/>
  <c r="K1206" i="1" a="1"/>
  <c r="K1207" i="1" a="1"/>
  <c r="K1208" i="1" a="1"/>
  <c r="K1209" i="1" a="1"/>
  <c r="K1210" i="1" a="1"/>
  <c r="K1211" i="1" a="1"/>
  <c r="K1212" i="1" a="1"/>
  <c r="K1213" i="1" a="1"/>
  <c r="K1214" i="1" a="1"/>
  <c r="K1215" i="1" a="1"/>
  <c r="K1216" i="1" a="1"/>
  <c r="K1217" i="1" a="1"/>
  <c r="K1218" i="1" a="1"/>
  <c r="K1219" i="1" a="1"/>
  <c r="K1220" i="1" a="1"/>
  <c r="K1221" i="1" a="1"/>
  <c r="K1222" i="1" a="1"/>
  <c r="K1223" i="1" a="1"/>
  <c r="K1224" i="1" a="1"/>
  <c r="K1225" i="1" a="1"/>
  <c r="K1226" i="1" a="1"/>
  <c r="K1227" i="1" a="1"/>
  <c r="K1228" i="1" a="1"/>
  <c r="K1229" i="1" a="1"/>
  <c r="K1230" i="1" a="1"/>
  <c r="K1231" i="1" a="1"/>
  <c r="K1232" i="1" a="1"/>
  <c r="K1233" i="1" a="1"/>
  <c r="K1234" i="1" a="1"/>
  <c r="K1235" i="1" a="1"/>
  <c r="K1236" i="1" a="1"/>
  <c r="K1237" i="1" a="1"/>
  <c r="K1238" i="1" a="1"/>
  <c r="K1239" i="1" a="1"/>
  <c r="K1240" i="1" a="1"/>
  <c r="K1241" i="1" a="1"/>
  <c r="K1242" i="1" a="1"/>
  <c r="K1243" i="1" a="1"/>
  <c r="K1244" i="1" a="1"/>
  <c r="K1245" i="1" a="1"/>
  <c r="K1246" i="1" a="1"/>
  <c r="K1247" i="1" a="1"/>
  <c r="K1248" i="1" a="1"/>
  <c r="K1249" i="1" a="1"/>
  <c r="K1250" i="1" a="1"/>
  <c r="K1251" i="1" a="1"/>
  <c r="K1252" i="1" a="1"/>
  <c r="K1253" i="1" a="1"/>
  <c r="K1254" i="1" a="1"/>
  <c r="K1255" i="1" a="1"/>
  <c r="K1256" i="1" a="1"/>
  <c r="K1257" i="1" a="1"/>
  <c r="K1258" i="1" a="1"/>
  <c r="K1259" i="1" a="1"/>
  <c r="K1260" i="1" a="1"/>
  <c r="K1261" i="1" a="1"/>
  <c r="K1262" i="1" a="1"/>
  <c r="K1263" i="1" a="1"/>
  <c r="K1264" i="1" a="1"/>
  <c r="K1265" i="1" a="1"/>
  <c r="K1266" i="1" a="1"/>
  <c r="K1267" i="1" a="1"/>
  <c r="K1268" i="1" a="1"/>
  <c r="K1269" i="1" a="1"/>
  <c r="K1270" i="1" a="1"/>
  <c r="K1271" i="1" a="1"/>
  <c r="K1272" i="1" a="1"/>
  <c r="K1273" i="1" a="1"/>
  <c r="K1274" i="1" a="1"/>
  <c r="K1275" i="1" a="1"/>
  <c r="K1276" i="1" a="1"/>
  <c r="K1277" i="1" a="1"/>
  <c r="K1278" i="1" a="1"/>
  <c r="K1279" i="1" a="1"/>
  <c r="K1280" i="1" a="1"/>
  <c r="K1281" i="1" a="1"/>
  <c r="K1282" i="1" a="1"/>
  <c r="K1283" i="1" a="1"/>
  <c r="K1284" i="1" a="1"/>
  <c r="K1285" i="1" a="1"/>
  <c r="K1286" i="1" a="1"/>
  <c r="K1287" i="1" a="1"/>
  <c r="K1288" i="1" a="1"/>
  <c r="K1289" i="1" a="1"/>
  <c r="K1290" i="1" a="1"/>
  <c r="K1291" i="1" a="1"/>
  <c r="K1292" i="1" a="1"/>
  <c r="K1293" i="1" a="1"/>
  <c r="K1294" i="1" a="1"/>
  <c r="K1295" i="1" a="1"/>
  <c r="K1296" i="1" a="1"/>
  <c r="K1297" i="1" a="1"/>
  <c r="K1298" i="1" a="1"/>
  <c r="K1299" i="1" a="1"/>
  <c r="K1300" i="1" a="1"/>
  <c r="K1301" i="1" a="1"/>
  <c r="K1302" i="1" a="1"/>
  <c r="K1303" i="1" a="1"/>
  <c r="K1304" i="1" a="1"/>
  <c r="K1305" i="1" a="1"/>
  <c r="K1306" i="1" a="1"/>
  <c r="K1307" i="1" a="1"/>
  <c r="K1308" i="1" a="1"/>
  <c r="K1309" i="1" a="1"/>
  <c r="K1310" i="1" a="1"/>
  <c r="K1311" i="1" a="1"/>
  <c r="K1312" i="1" a="1"/>
  <c r="K1313" i="1" a="1"/>
  <c r="K1314" i="1" a="1"/>
  <c r="K1315" i="1" a="1"/>
  <c r="K1316" i="1" a="1"/>
  <c r="K1317" i="1" a="1"/>
  <c r="K1318" i="1" a="1"/>
  <c r="K1319" i="1" a="1"/>
  <c r="K1320" i="1" a="1"/>
  <c r="K1321" i="1" a="1"/>
  <c r="K1322" i="1" a="1"/>
  <c r="K1323" i="1" a="1"/>
  <c r="K1324" i="1" a="1"/>
  <c r="K1325" i="1" a="1"/>
  <c r="K1326" i="1" a="1"/>
  <c r="K1327" i="1" a="1"/>
  <c r="K1328" i="1" a="1"/>
  <c r="K1329" i="1" a="1"/>
  <c r="K1330" i="1" a="1"/>
  <c r="K1331" i="1" a="1"/>
  <c r="K1332" i="1" a="1"/>
  <c r="K1333" i="1" a="1"/>
  <c r="K1334" i="1" a="1"/>
  <c r="K1335" i="1" a="1"/>
  <c r="K1336" i="1" a="1"/>
  <c r="K1337" i="1" a="1"/>
  <c r="K1338" i="1" a="1"/>
  <c r="K1339" i="1" a="1"/>
  <c r="K1340" i="1" a="1"/>
  <c r="K1341" i="1" a="1"/>
  <c r="K1342" i="1" a="1"/>
  <c r="K1343" i="1" a="1"/>
  <c r="K1344" i="1" a="1"/>
  <c r="K1345" i="1" a="1"/>
  <c r="K1346" i="1" a="1"/>
  <c r="K1347" i="1" a="1"/>
  <c r="K1348" i="1" a="1"/>
  <c r="K1349" i="1" a="1"/>
  <c r="K1350" i="1" a="1"/>
  <c r="K1351" i="1" a="1"/>
  <c r="K1352" i="1" a="1"/>
  <c r="K1353" i="1" a="1"/>
  <c r="K1354" i="1" a="1"/>
  <c r="K1355" i="1" a="1"/>
  <c r="K1356" i="1" a="1"/>
  <c r="K1357" i="1" a="1"/>
  <c r="K1358" i="1" a="1"/>
  <c r="K1359" i="1" a="1"/>
  <c r="K1360" i="1" a="1"/>
  <c r="K1361" i="1" a="1"/>
  <c r="K1362" i="1" a="1"/>
  <c r="K1363" i="1" a="1"/>
  <c r="K1364" i="1" a="1"/>
  <c r="K1365" i="1" a="1"/>
  <c r="K1366" i="1" a="1"/>
  <c r="K1367" i="1" a="1"/>
  <c r="K1368" i="1" a="1"/>
  <c r="K1369" i="1" a="1"/>
  <c r="K1370" i="1" a="1"/>
  <c r="K1371" i="1" a="1"/>
  <c r="K1372" i="1" a="1"/>
  <c r="K1373" i="1" a="1"/>
  <c r="K1374" i="1" a="1"/>
  <c r="K1375" i="1" a="1"/>
  <c r="K1376" i="1" a="1"/>
  <c r="K1377" i="1" a="1"/>
  <c r="K1378" i="1" a="1"/>
  <c r="K1379" i="1" a="1"/>
  <c r="K1380" i="1" a="1"/>
  <c r="K1381" i="1" a="1"/>
  <c r="K1382" i="1" a="1"/>
  <c r="K1383" i="1" a="1"/>
  <c r="K1384" i="1" a="1"/>
  <c r="K1385" i="1" a="1"/>
  <c r="K1386" i="1" a="1"/>
  <c r="K1387" i="1" a="1"/>
  <c r="K1388" i="1" a="1"/>
  <c r="K1389" i="1" a="1"/>
  <c r="K1390" i="1" a="1"/>
  <c r="K1391" i="1" a="1"/>
  <c r="K1392" i="1" a="1"/>
  <c r="K1393" i="1" a="1"/>
  <c r="K1394" i="1" a="1"/>
  <c r="K1395" i="1" a="1"/>
  <c r="K1396" i="1" a="1"/>
  <c r="K1397" i="1" a="1"/>
  <c r="K1398" i="1" a="1"/>
  <c r="K1399" i="1" a="1"/>
  <c r="K1400" i="1" a="1"/>
  <c r="K1401" i="1" a="1"/>
  <c r="K1402" i="1" a="1"/>
  <c r="K1403" i="1" a="1"/>
  <c r="K1404" i="1" a="1"/>
  <c r="K1405" i="1" a="1"/>
  <c r="K1406" i="1" a="1"/>
  <c r="K1407" i="1" a="1"/>
  <c r="K1408" i="1" a="1"/>
  <c r="K1409" i="1" a="1"/>
  <c r="K1410" i="1" a="1"/>
  <c r="K1411" i="1" a="1"/>
  <c r="K1412" i="1" a="1"/>
  <c r="K1413" i="1" a="1"/>
  <c r="K1414" i="1" a="1"/>
  <c r="K1415" i="1" a="1"/>
  <c r="K1416" i="1" a="1"/>
  <c r="K1417" i="1" a="1"/>
  <c r="K1418" i="1" a="1"/>
  <c r="K1419" i="1" a="1"/>
  <c r="K1420" i="1" a="1"/>
  <c r="K1421" i="1" a="1"/>
  <c r="K1422" i="1" a="1"/>
  <c r="K1423" i="1" a="1"/>
  <c r="K1424" i="1" a="1"/>
  <c r="K1425" i="1" a="1"/>
  <c r="K1426" i="1" a="1"/>
  <c r="K1427" i="1" a="1"/>
  <c r="K1428" i="1" a="1"/>
  <c r="K1429" i="1" a="1"/>
  <c r="K1430" i="1" a="1"/>
  <c r="K1431" i="1" a="1"/>
  <c r="K1432" i="1" a="1"/>
  <c r="K1433" i="1" a="1"/>
  <c r="K1434" i="1" a="1"/>
  <c r="K1435" i="1" a="1"/>
  <c r="K1436" i="1" a="1"/>
  <c r="K1437" i="1" a="1"/>
  <c r="K1438" i="1" a="1"/>
  <c r="K1439" i="1" a="1"/>
  <c r="K1440" i="1" a="1"/>
  <c r="K1441" i="1" a="1"/>
  <c r="K1442" i="1" a="1"/>
  <c r="K1443" i="1" a="1"/>
  <c r="K1444" i="1" a="1"/>
  <c r="K1445" i="1" a="1"/>
  <c r="K1446" i="1" a="1"/>
  <c r="K1447" i="1" a="1"/>
  <c r="K1448" i="1" a="1"/>
  <c r="K1449" i="1" a="1"/>
  <c r="K1450" i="1" a="1"/>
  <c r="K1451" i="1" a="1"/>
  <c r="K1452" i="1" a="1"/>
  <c r="K1453" i="1" a="1"/>
  <c r="K1454" i="1" a="1"/>
  <c r="K1455" i="1" a="1"/>
  <c r="K1456" i="1" a="1"/>
  <c r="K1457" i="1" a="1"/>
  <c r="K1458" i="1" a="1"/>
  <c r="K1459" i="1" a="1"/>
  <c r="K1460" i="1" a="1"/>
  <c r="K1461" i="1" a="1"/>
  <c r="K1462" i="1" a="1"/>
  <c r="K1463" i="1" a="1"/>
  <c r="K1464" i="1" a="1"/>
  <c r="K1465" i="1" a="1"/>
  <c r="K1466" i="1" a="1"/>
  <c r="K1467" i="1" a="1"/>
  <c r="K1468" i="1" a="1"/>
  <c r="K1469" i="1" a="1"/>
  <c r="K1470" i="1" a="1"/>
  <c r="K1471" i="1" a="1"/>
  <c r="K1472" i="1" a="1"/>
  <c r="K1473" i="1" a="1"/>
  <c r="K1474" i="1" a="1"/>
  <c r="K1475" i="1" a="1"/>
  <c r="K1476" i="1" a="1"/>
  <c r="K1477" i="1" a="1"/>
  <c r="K1478" i="1" a="1"/>
  <c r="K1479" i="1" a="1"/>
  <c r="K1480" i="1" a="1"/>
  <c r="K1481" i="1" a="1"/>
  <c r="K1482" i="1" a="1"/>
  <c r="K1483" i="1" a="1"/>
  <c r="K1484" i="1" a="1"/>
  <c r="K1485" i="1" a="1"/>
  <c r="K1486" i="1" a="1"/>
  <c r="K1487" i="1" a="1"/>
  <c r="K1488" i="1" a="1"/>
  <c r="K1489" i="1" a="1"/>
  <c r="K1490" i="1" a="1"/>
  <c r="K1491" i="1" a="1"/>
  <c r="K1492" i="1" a="1"/>
  <c r="K1493" i="1" a="1"/>
  <c r="K1494" i="1" a="1"/>
  <c r="K1495" i="1" a="1"/>
  <c r="K1496" i="1" a="1"/>
  <c r="K1497" i="1" a="1"/>
  <c r="K1498" i="1" a="1"/>
  <c r="K1499" i="1" a="1"/>
  <c r="K1500" i="1" a="1"/>
  <c r="K1501" i="1" a="1"/>
  <c r="K1502" i="1" a="1"/>
  <c r="K1503" i="1" a="1"/>
  <c r="K1504" i="1" a="1"/>
  <c r="K1505" i="1" a="1"/>
  <c r="K1506" i="1" a="1"/>
  <c r="K1507" i="1" a="1"/>
  <c r="K1508" i="1" a="1"/>
  <c r="K1509" i="1" a="1"/>
  <c r="K1510" i="1" a="1"/>
  <c r="K1511" i="1" a="1"/>
  <c r="K1512" i="1" a="1"/>
  <c r="K1513" i="1" a="1"/>
  <c r="K1514" i="1" a="1"/>
  <c r="K1515" i="1" a="1"/>
  <c r="K1516" i="1" a="1"/>
  <c r="K1517" i="1" a="1"/>
  <c r="K1518" i="1" a="1"/>
  <c r="K1519" i="1" a="1"/>
  <c r="K1520" i="1" a="1"/>
  <c r="K1521" i="1" a="1"/>
  <c r="K1522" i="1" a="1"/>
  <c r="K1523" i="1" a="1"/>
  <c r="K1524" i="1" a="1"/>
  <c r="K1525" i="1" a="1"/>
  <c r="K1526" i="1" a="1"/>
  <c r="K2" i="1" a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<sst xmlns="http://schemas.openxmlformats.org/spreadsheetml/2006/main" count="7716" uniqueCount="1612">
  <si>
    <t>OrderID</t>
  </si>
  <si>
    <t>OrderDate</t>
  </si>
  <si>
    <t>CustomerName</t>
  </si>
  <si>
    <t>Region</t>
  </si>
  <si>
    <t>ProductCategory</t>
  </si>
  <si>
    <t>Revenue</t>
  </si>
  <si>
    <t>Quantity</t>
  </si>
  <si>
    <t>Status</t>
  </si>
  <si>
    <t>ORD-01255</t>
  </si>
  <si>
    <t>Gaurav Mishra</t>
  </si>
  <si>
    <t>South</t>
  </si>
  <si>
    <t>Furniture</t>
  </si>
  <si>
    <t>Returned</t>
  </si>
  <si>
    <t>ORD-01314</t>
  </si>
  <si>
    <t>Aakash Bhat</t>
  </si>
  <si>
    <t>Active</t>
  </si>
  <si>
    <t>ORD-01042</t>
  </si>
  <si>
    <t>Rajesh Choudhury</t>
  </si>
  <si>
    <t>Office Supplies</t>
  </si>
  <si>
    <t>ORD-01709</t>
  </si>
  <si>
    <t>Ajay Rastogi</t>
  </si>
  <si>
    <t>North</t>
  </si>
  <si>
    <t>ORD-01484</t>
  </si>
  <si>
    <t>Divya Kaur</t>
  </si>
  <si>
    <t>ORD-01443</t>
  </si>
  <si>
    <t>Geeta Pandey</t>
  </si>
  <si>
    <t>West</t>
  </si>
  <si>
    <t>Electronics</t>
  </si>
  <si>
    <t>Cancelled</t>
  </si>
  <si>
    <t>ORD-02004</t>
  </si>
  <si>
    <t>Sneha Gupta</t>
  </si>
  <si>
    <t>East</t>
  </si>
  <si>
    <t>ORD-01927</t>
  </si>
  <si>
    <t>Arjun Reddy</t>
  </si>
  <si>
    <t>ORD-01948</t>
  </si>
  <si>
    <t>Tarun Mukerjee</t>
  </si>
  <si>
    <t>ORD-02297</t>
  </si>
  <si>
    <t>Kavya Nair</t>
  </si>
  <si>
    <t>ORD-01563</t>
  </si>
  <si>
    <t>ORD-01346</t>
  </si>
  <si>
    <t>Kiran Nambiar</t>
  </si>
  <si>
    <t>ORD-01543</t>
  </si>
  <si>
    <t>Asha Kulkarni</t>
  </si>
  <si>
    <t>ORD-01087</t>
  </si>
  <si>
    <t>ORD-02232</t>
  </si>
  <si>
    <t>Varun Naik</t>
  </si>
  <si>
    <t>ORD-02275</t>
  </si>
  <si>
    <t>ORD-01657</t>
  </si>
  <si>
    <t>Dev Mathur</t>
  </si>
  <si>
    <t>ORD-02352</t>
  </si>
  <si>
    <t>Vivek Chopra</t>
  </si>
  <si>
    <t>ORD-02307</t>
  </si>
  <si>
    <t>ORD-02397</t>
  </si>
  <si>
    <t>Tara Saxena</t>
  </si>
  <si>
    <t>ORD-02504</t>
  </si>
  <si>
    <t>Nikhil Desai</t>
  </si>
  <si>
    <t>ORD-01920</t>
  </si>
  <si>
    <t>ORD-02326</t>
  </si>
  <si>
    <t>Manish Srivastava</t>
  </si>
  <si>
    <t>ORD-02049</t>
  </si>
  <si>
    <t>Neha Tiwari</t>
  </si>
  <si>
    <t>ORD-01946</t>
  </si>
  <si>
    <t>Rohan Mehta</t>
  </si>
  <si>
    <t>ORD-02339</t>
  </si>
  <si>
    <t>Bhavna Dubey</t>
  </si>
  <si>
    <t>ORD-01457</t>
  </si>
  <si>
    <t>ORD-02493</t>
  </si>
  <si>
    <t>ORD-01752</t>
  </si>
  <si>
    <t>ORD-01916</t>
  </si>
  <si>
    <t>Smita Patil</t>
  </si>
  <si>
    <t>ORD-01354</t>
  </si>
  <si>
    <t>ORD-01603</t>
  </si>
  <si>
    <t>Vikram Singh</t>
  </si>
  <si>
    <t>ORD-01945</t>
  </si>
  <si>
    <t>Deepa Pillai</t>
  </si>
  <si>
    <t>ORD-01258</t>
  </si>
  <si>
    <t>ORD-01142</t>
  </si>
  <si>
    <t>ORD-01695</t>
  </si>
  <si>
    <t>Priya Patel</t>
  </si>
  <si>
    <t>ORD-01190</t>
  </si>
  <si>
    <t>ORD-02449</t>
  </si>
  <si>
    <t>ORD-01930</t>
  </si>
  <si>
    <t>Nidhi Bhatt</t>
  </si>
  <si>
    <t>ORD-01644</t>
  </si>
  <si>
    <t>Harsh Shah</t>
  </si>
  <si>
    <t>ORD-01195</t>
  </si>
  <si>
    <t>ORD-02259</t>
  </si>
  <si>
    <t>ORD-02310</t>
  </si>
  <si>
    <t>ORD-02354</t>
  </si>
  <si>
    <t>Ananya Sharma</t>
  </si>
  <si>
    <t>ORD-02455</t>
  </si>
  <si>
    <t>Rahul Verma</t>
  </si>
  <si>
    <t>ORD-01060</t>
  </si>
  <si>
    <t>ORD-02344</t>
  </si>
  <si>
    <t>ORD-01900</t>
  </si>
  <si>
    <t>ORD-01940</t>
  </si>
  <si>
    <t>ORD-02426</t>
  </si>
  <si>
    <t>Yash Agarwal</t>
  </si>
  <si>
    <t>ORD-01242</t>
  </si>
  <si>
    <t>ORD-02411</t>
  </si>
  <si>
    <t>ORD-01754</t>
  </si>
  <si>
    <t>ORD-01866</t>
  </si>
  <si>
    <t>ORD-01501</t>
  </si>
  <si>
    <t>ORD-02249</t>
  </si>
  <si>
    <t>ORD-01030</t>
  </si>
  <si>
    <t>ORD-01499</t>
  </si>
  <si>
    <t>ORD-02103</t>
  </si>
  <si>
    <t>ORD-01395</t>
  </si>
  <si>
    <t>ORD-02208</t>
  </si>
  <si>
    <t>ORD-02333</t>
  </si>
  <si>
    <t>ORD-02033</t>
  </si>
  <si>
    <t>Riya Malhotra</t>
  </si>
  <si>
    <t>ORD-01410</t>
  </si>
  <si>
    <t>ORD-01426</t>
  </si>
  <si>
    <t>ORD-02068</t>
  </si>
  <si>
    <t>Amit Kumar</t>
  </si>
  <si>
    <t>ORD-01855</t>
  </si>
  <si>
    <t>ORD-02226</t>
  </si>
  <si>
    <t>ORD-01882</t>
  </si>
  <si>
    <t>ORD-01568</t>
  </si>
  <si>
    <t>ORD-01001</t>
  </si>
  <si>
    <t>ORD-01992</t>
  </si>
  <si>
    <t>ORD-02459</t>
  </si>
  <si>
    <t>ORD-02349</t>
  </si>
  <si>
    <t>ORD-01347</t>
  </si>
  <si>
    <t>ORD-01625</t>
  </si>
  <si>
    <t>Pooja Iyer</t>
  </si>
  <si>
    <t>ORD-01194</t>
  </si>
  <si>
    <t>ORD-02010</t>
  </si>
  <si>
    <t>ORD-01473</t>
  </si>
  <si>
    <t>ORD-02418</t>
  </si>
  <si>
    <t>ORD-01486</t>
  </si>
  <si>
    <t>ORD-01664</t>
  </si>
  <si>
    <t>ORD-01051</t>
  </si>
  <si>
    <t>ORD-02196</t>
  </si>
  <si>
    <t>ORD-01844</t>
  </si>
  <si>
    <t>ORD-01847</t>
  </si>
  <si>
    <t>ORD-01904</t>
  </si>
  <si>
    <t>ORD-01121</t>
  </si>
  <si>
    <t>ORD-01935</t>
  </si>
  <si>
    <t>ORD-02003</t>
  </si>
  <si>
    <t>ORD-01405</t>
  </si>
  <si>
    <t>ORD-02317</t>
  </si>
  <si>
    <t>ORD-01074</t>
  </si>
  <si>
    <t>ORD-02461</t>
  </si>
  <si>
    <t>ORD-01934</t>
  </si>
  <si>
    <t>ORD-01938</t>
  </si>
  <si>
    <t>ORD-01833</t>
  </si>
  <si>
    <t>ORD-01979</t>
  </si>
  <si>
    <t>ORD-01586</t>
  </si>
  <si>
    <t>ORD-01493</t>
  </si>
  <si>
    <t>ORD-01769</t>
  </si>
  <si>
    <t>ORD-01180</t>
  </si>
  <si>
    <t>ORD-01014</t>
  </si>
  <si>
    <t>ORD-02054</t>
  </si>
  <si>
    <t>ORD-02015</t>
  </si>
  <si>
    <t>ORD-01893</t>
  </si>
  <si>
    <t>ORD-01249</t>
  </si>
  <si>
    <t>ORD-01137</t>
  </si>
  <si>
    <t>ORD-01073</t>
  </si>
  <si>
    <t>Sarita Bansal</t>
  </si>
  <si>
    <t>ORD-02314</t>
  </si>
  <si>
    <t>Padma Subramaniam</t>
  </si>
  <si>
    <t>ORD-02315</t>
  </si>
  <si>
    <t>ORD-01721</t>
  </si>
  <si>
    <t>ORD-01327</t>
  </si>
  <si>
    <t>Sanjay Joshi</t>
  </si>
  <si>
    <t>ORD-01985</t>
  </si>
  <si>
    <t>ORD-01269</t>
  </si>
  <si>
    <t>ORD-02055</t>
  </si>
  <si>
    <t>ORD-01577</t>
  </si>
  <si>
    <t>ORD-01285</t>
  </si>
  <si>
    <t>ORD-02433</t>
  </si>
  <si>
    <t>ORD-02027</t>
  </si>
  <si>
    <t>ORD-01917</t>
  </si>
  <si>
    <t>Lakshmi Venkat</t>
  </si>
  <si>
    <t>ORD-01784</t>
  </si>
  <si>
    <t>Suresh Rao</t>
  </si>
  <si>
    <t>ORD-01035</t>
  </si>
  <si>
    <t>ORD-01885</t>
  </si>
  <si>
    <t>ORD-01007</t>
  </si>
  <si>
    <t>ORD-01840</t>
  </si>
  <si>
    <t>ORD-02036</t>
  </si>
  <si>
    <t>ORD-02038</t>
  </si>
  <si>
    <t>ORD-01479</t>
  </si>
  <si>
    <t>ORD-02227</t>
  </si>
  <si>
    <t>ORD-01330</t>
  </si>
  <si>
    <t>ORD-01652</t>
  </si>
  <si>
    <t>ORD-02373</t>
  </si>
  <si>
    <t>ORD-02074</t>
  </si>
  <si>
    <t>ORD-01278</t>
  </si>
  <si>
    <t>ORD-01954</t>
  </si>
  <si>
    <t>ORD-01047</t>
  </si>
  <si>
    <t>ORD-02378</t>
  </si>
  <si>
    <t>ORD-01264</t>
  </si>
  <si>
    <t>ORD-01976</t>
  </si>
  <si>
    <t>ORD-01737</t>
  </si>
  <si>
    <t>ORD-02040</t>
  </si>
  <si>
    <t>ORD-01069</t>
  </si>
  <si>
    <t>ORD-01428</t>
  </si>
  <si>
    <t>ORD-01234</t>
  </si>
  <si>
    <t>ORD-01707</t>
  </si>
  <si>
    <t>ORD-02398</t>
  </si>
  <si>
    <t>ORD-01947</t>
  </si>
  <si>
    <t>ORD-02180</t>
  </si>
  <si>
    <t>ORD-01119</t>
  </si>
  <si>
    <t>ORD-01091</t>
  </si>
  <si>
    <t>ORD-02321</t>
  </si>
  <si>
    <t>ORD-02379</t>
  </si>
  <si>
    <t>ORD-01445</t>
  </si>
  <si>
    <t>ORD-01436</t>
  </si>
  <si>
    <t>ORD-01958</t>
  </si>
  <si>
    <t>ORD-01333</t>
  </si>
  <si>
    <t>ORD-01378</t>
  </si>
  <si>
    <t>ORD-02203</t>
  </si>
  <si>
    <t>ORD-01386</t>
  </si>
  <si>
    <t>ORD-02075</t>
  </si>
  <si>
    <t>ORD-02313</t>
  </si>
  <si>
    <t>ORD-02171</t>
  </si>
  <si>
    <t>ORD-01674</t>
  </si>
  <si>
    <t>ORD-01637</t>
  </si>
  <si>
    <t>ORD-02304</t>
  </si>
  <si>
    <t>ORD-01057</t>
  </si>
  <si>
    <t>ORD-01341</t>
  </si>
  <si>
    <t>ORD-02041</t>
  </si>
  <si>
    <t>ORD-01811</t>
  </si>
  <si>
    <t>ORD-01911</t>
  </si>
  <si>
    <t>ORD-01389</t>
  </si>
  <si>
    <t>ORD-01713</t>
  </si>
  <si>
    <t>ORD-02446</t>
  </si>
  <si>
    <t>ORD-02020</t>
  </si>
  <si>
    <t>ORD-02423</t>
  </si>
  <si>
    <t>ORD-01734</t>
  </si>
  <si>
    <t>ORD-01678</t>
  </si>
  <si>
    <t>ORD-01539</t>
  </si>
  <si>
    <t>ORD-02324</t>
  </si>
  <si>
    <t>ORD-01257</t>
  </si>
  <si>
    <t>ORD-02381</t>
  </si>
  <si>
    <t>ORD-02407</t>
  </si>
  <si>
    <t>ORD-01420</t>
  </si>
  <si>
    <t>ORD-01343</t>
  </si>
  <si>
    <t>Sunita Menon</t>
  </si>
  <si>
    <t>ORD-01446</t>
  </si>
  <si>
    <t>ORD-01781</t>
  </si>
  <si>
    <t>ORD-01671</t>
  </si>
  <si>
    <t>ORD-01055</t>
  </si>
  <si>
    <t>ORD-01970</t>
  </si>
  <si>
    <t>ORD-01988</t>
  </si>
  <si>
    <t>ORD-01527</t>
  </si>
  <si>
    <t>ORD-01780</t>
  </si>
  <si>
    <t>ORD-02109</t>
  </si>
  <si>
    <t>ORD-02057</t>
  </si>
  <si>
    <t>ORD-01727</t>
  </si>
  <si>
    <t>Meena Krishnan</t>
  </si>
  <si>
    <t>ORD-01830</t>
  </si>
  <si>
    <t>ORD-01877</t>
  </si>
  <si>
    <t>ORD-02050</t>
  </si>
  <si>
    <t>ORD-01688</t>
  </si>
  <si>
    <t>ORD-02276</t>
  </si>
  <si>
    <t>ORD-01183</t>
  </si>
  <si>
    <t>ORD-01076</t>
  </si>
  <si>
    <t>ORD-01831</t>
  </si>
  <si>
    <t>ORD-02328</t>
  </si>
  <si>
    <t>ORD-01597</t>
  </si>
  <si>
    <t>ORD-02011</t>
  </si>
  <si>
    <t>ORD-01124</t>
  </si>
  <si>
    <t>ORD-01188</t>
  </si>
  <si>
    <t>ORD-01925</t>
  </si>
  <si>
    <t>ORD-01776</t>
  </si>
  <si>
    <t>ORD-01522</t>
  </si>
  <si>
    <t>ORD-01592</t>
  </si>
  <si>
    <t>ORD-02496</t>
  </si>
  <si>
    <t>ORD-02037</t>
  </si>
  <si>
    <t>ORD-02362</t>
  </si>
  <si>
    <t>ORD-01316</t>
  </si>
  <si>
    <t>ORD-01136</t>
  </si>
  <si>
    <t>ORD-02123</t>
  </si>
  <si>
    <t>ORD-01032</t>
  </si>
  <si>
    <t>ORD-02097</t>
  </si>
  <si>
    <t>ORD-01336</t>
  </si>
  <si>
    <t>ORD-01886</t>
  </si>
  <si>
    <t>ORD-02301</t>
  </si>
  <si>
    <t>ORD-02137</t>
  </si>
  <si>
    <t>ORD-01235</t>
  </si>
  <si>
    <t>ORD-01735</t>
  </si>
  <si>
    <t>ORD-01359</t>
  </si>
  <si>
    <t>ORD-01896</t>
  </si>
  <si>
    <t>ORD-01458</t>
  </si>
  <si>
    <t>ORD-01987</t>
  </si>
  <si>
    <t>ORD-01031</t>
  </si>
  <si>
    <t>ORD-01605</t>
  </si>
  <si>
    <t>ORD-01746</t>
  </si>
  <si>
    <t>ORD-01345</t>
  </si>
  <si>
    <t>ORD-01375</t>
  </si>
  <si>
    <t>ORD-01799</t>
  </si>
  <si>
    <t>ORD-01427</t>
  </si>
  <si>
    <t>ORD-01841</t>
  </si>
  <si>
    <t>ORD-01260</t>
  </si>
  <si>
    <t>ORD-01208</t>
  </si>
  <si>
    <t>ORD-02377</t>
  </si>
  <si>
    <t>ORD-01537</t>
  </si>
  <si>
    <t>ORD-01177</t>
  </si>
  <si>
    <t>ORD-01547</t>
  </si>
  <si>
    <t>ORD-01589</t>
  </si>
  <si>
    <t>ORD-02206</t>
  </si>
  <si>
    <t>ORD-01078</t>
  </si>
  <si>
    <t>ORD-02155</t>
  </si>
  <si>
    <t>ORD-01013</t>
  </si>
  <si>
    <t>ORD-02012</t>
  </si>
  <si>
    <t>ORD-01449</t>
  </si>
  <si>
    <t>ORD-01757</t>
  </si>
  <si>
    <t>ORD-01227</t>
  </si>
  <si>
    <t>ORD-01813</t>
  </si>
  <si>
    <t>ORD-02486</t>
  </si>
  <si>
    <t>ORD-02170</t>
  </si>
  <si>
    <t>ORD-01711</t>
  </si>
  <si>
    <t>ORD-02429</t>
  </si>
  <si>
    <t>ORD-01950</t>
  </si>
  <si>
    <t>ORD-02492</t>
  </si>
  <si>
    <t>ORD-01116</t>
  </si>
  <si>
    <t>ORD-01924</t>
  </si>
  <si>
    <t>ORD-01696</t>
  </si>
  <si>
    <t>ORD-02067</t>
  </si>
  <si>
    <t>ORD-01072</t>
  </si>
  <si>
    <t>ORD-01349</t>
  </si>
  <si>
    <t>ORD-02138</t>
  </si>
  <si>
    <t>ORD-02072</t>
  </si>
  <si>
    <t>ORD-01884</t>
  </si>
  <si>
    <t>ORD-01809</t>
  </si>
  <si>
    <t>ORD-02462</t>
  </si>
  <si>
    <t>ORD-02178</t>
  </si>
  <si>
    <t>ORD-02351</t>
  </si>
  <si>
    <t>ORD-01233</t>
  </si>
  <si>
    <t>ORD-01726</t>
  </si>
  <si>
    <t>ORD-01495</t>
  </si>
  <si>
    <t>ORD-02363</t>
  </si>
  <si>
    <t>ORD-01490</t>
  </si>
  <si>
    <t>ORD-01353</t>
  </si>
  <si>
    <t>ORD-01820</t>
  </si>
  <si>
    <t>ORD-01416</t>
  </si>
  <si>
    <t>ORD-01464</t>
  </si>
  <si>
    <t>ORD-01623</t>
  </si>
  <si>
    <t>ORD-01318</t>
  </si>
  <si>
    <t>ORD-02194</t>
  </si>
  <si>
    <t>ORD-02140</t>
  </si>
  <si>
    <t>ORD-01049</t>
  </si>
  <si>
    <t>ORD-02070</t>
  </si>
  <si>
    <t>ORD-02088</t>
  </si>
  <si>
    <t>ORD-01832</t>
  </si>
  <si>
    <t>ORD-01173</t>
  </si>
  <si>
    <t>ORD-01021</t>
  </si>
  <si>
    <t>ORD-01742</t>
  </si>
  <si>
    <t>ORD-02085</t>
  </si>
  <si>
    <t>ORD-02318</t>
  </si>
  <si>
    <t>ORD-01959</t>
  </si>
  <si>
    <t>ORD-01068</t>
  </si>
  <si>
    <t>ORD-01526</t>
  </si>
  <si>
    <t>ORD-02477</t>
  </si>
  <si>
    <t>ORD-02494</t>
  </si>
  <si>
    <t>ORD-01295</t>
  </si>
  <si>
    <t>ORD-01010</t>
  </si>
  <si>
    <t>ORD-02334</t>
  </si>
  <si>
    <t>ORD-01693</t>
  </si>
  <si>
    <t>ORD-02077</t>
  </si>
  <si>
    <t>ORD-01773</t>
  </si>
  <si>
    <t>ORD-01523</t>
  </si>
  <si>
    <t>ORD-02413</t>
  </si>
  <si>
    <t>ORD-01629</t>
  </si>
  <si>
    <t>ORD-01667</t>
  </si>
  <si>
    <t>ORD-02316</t>
  </si>
  <si>
    <t>ORD-02284</t>
  </si>
  <si>
    <t>ORD-01738</t>
  </si>
  <si>
    <t>ORD-02059</t>
  </si>
  <si>
    <t>ORD-02361</t>
  </si>
  <si>
    <t>ORD-02280</t>
  </si>
  <si>
    <t>ORD-02458</t>
  </si>
  <si>
    <t>ORD-01256</t>
  </si>
  <si>
    <t>ORD-02186</t>
  </si>
  <si>
    <t>ORD-01533</t>
  </si>
  <si>
    <t>ORD-01101</t>
  </si>
  <si>
    <t>ORD-01763</t>
  </si>
  <si>
    <t>ORD-01881</t>
  </si>
  <si>
    <t>ORD-01545</t>
  </si>
  <si>
    <t>ORD-01223</t>
  </si>
  <si>
    <t>ORD-01216</t>
  </si>
  <si>
    <t>ORD-01818</t>
  </si>
  <si>
    <t>ORD-01907</t>
  </si>
  <si>
    <t>ORD-01312</t>
  </si>
  <si>
    <t>ORD-02230</t>
  </si>
  <si>
    <t>ORD-02348</t>
  </si>
  <si>
    <t>ORD-01766</t>
  </si>
  <si>
    <t>ORD-01865</t>
  </si>
  <si>
    <t>ORD-01673</t>
  </si>
  <si>
    <t>ORD-01109</t>
  </si>
  <si>
    <t>ORD-01309</t>
  </si>
  <si>
    <t>ORD-02182</t>
  </si>
  <si>
    <t>ORD-01564</t>
  </si>
  <si>
    <t>ORD-02488</t>
  </si>
  <si>
    <t>ORD-01288</t>
  </si>
  <si>
    <t>ORD-01120</t>
  </si>
  <si>
    <t>ORD-02355</t>
  </si>
  <si>
    <t>ORD-02217</t>
  </si>
  <si>
    <t>ORD-01239</t>
  </si>
  <si>
    <t>ORD-01642</t>
  </si>
  <si>
    <t>ORD-01192</t>
  </si>
  <si>
    <t>ORD-01902</t>
  </si>
  <si>
    <t>ORD-01672</t>
  </si>
  <si>
    <t>ORD-01949</t>
  </si>
  <si>
    <t>ORD-01454</t>
  </si>
  <si>
    <t>ORD-01483</t>
  </si>
  <si>
    <t>ORD-02266</t>
  </si>
  <si>
    <t>ORD-02035</t>
  </si>
  <si>
    <t>ORD-01191</t>
  </si>
  <si>
    <t>ORD-02065</t>
  </si>
  <si>
    <t>ORD-01765</t>
  </si>
  <si>
    <t>ORD-01492</t>
  </si>
  <si>
    <t>ORD-01936</t>
  </si>
  <si>
    <t>ORD-01834</t>
  </si>
  <si>
    <t>ORD-02283</t>
  </si>
  <si>
    <t>ORD-02412</t>
  </si>
  <si>
    <t>ORD-01842</t>
  </si>
  <si>
    <t>ORD-01772</t>
  </si>
  <si>
    <t>ORD-01908</t>
  </si>
  <si>
    <t>ORD-01852</t>
  </si>
  <si>
    <t>ORD-01690</t>
  </si>
  <si>
    <t>ORD-01572</t>
  </si>
  <si>
    <t>ORD-01272</t>
  </si>
  <si>
    <t>ORD-02136</t>
  </si>
  <si>
    <t>ORD-01646</t>
  </si>
  <si>
    <t>ORD-01590</t>
  </si>
  <si>
    <t>ORD-01210</t>
  </si>
  <si>
    <t>ORD-01404</t>
  </si>
  <si>
    <t>ORD-02309</t>
  </si>
  <si>
    <t>ORD-02119</t>
  </si>
  <si>
    <t>ORD-01018</t>
  </si>
  <si>
    <t>ORD-02169</t>
  </si>
  <si>
    <t>ORD-01964</t>
  </si>
  <si>
    <t>ORD-02269</t>
  </si>
  <si>
    <t>ORD-02374</t>
  </si>
  <si>
    <t>ORD-01887</t>
  </si>
  <si>
    <t>ORD-01631</t>
  </si>
  <si>
    <t>ORD-01888</t>
  </si>
  <si>
    <t>ORD-01429</t>
  </si>
  <si>
    <t>ORD-02141</t>
  </si>
  <si>
    <t>ORD-01197</t>
  </si>
  <si>
    <t>ORD-02034</t>
  </si>
  <si>
    <t>ORD-01999</t>
  </si>
  <si>
    <t>ORD-02254</t>
  </si>
  <si>
    <t>ORD-01164</t>
  </si>
  <si>
    <t>ORD-01140</t>
  </si>
  <si>
    <t>ORD-02451</t>
  </si>
  <si>
    <t>ORD-01718</t>
  </si>
  <si>
    <t>ORD-02042</t>
  </si>
  <si>
    <t>ORD-01600</t>
  </si>
  <si>
    <t>ORD-02364</t>
  </si>
  <si>
    <t>ORD-01491</t>
  </si>
  <si>
    <t>ORD-02264</t>
  </si>
  <si>
    <t>ORD-01606</t>
  </si>
  <si>
    <t>ORD-01803</t>
  </si>
  <si>
    <t>ORD-01748</t>
  </si>
  <si>
    <t>ORD-02058</t>
  </si>
  <si>
    <t>ORD-02483</t>
  </si>
  <si>
    <t>ORD-01299</t>
  </si>
  <si>
    <t>ORD-01521</t>
  </si>
  <si>
    <t>ORD-01202</t>
  </si>
  <si>
    <t>ORD-01824</t>
  </si>
  <si>
    <t>ORD-01368</t>
  </si>
  <si>
    <t>ORD-02113</t>
  </si>
  <si>
    <t>ORD-02258</t>
  </si>
  <si>
    <t>ORD-02330</t>
  </si>
  <si>
    <t>ORD-01995</t>
  </si>
  <si>
    <t>ORD-01826</t>
  </si>
  <si>
    <t>ORD-02006</t>
  </si>
  <si>
    <t>ORD-02096</t>
  </si>
  <si>
    <t>ORD-02375</t>
  </si>
  <si>
    <t>ORD-02108</t>
  </si>
  <si>
    <t>ORD-02250</t>
  </si>
  <si>
    <t>ORD-01382</t>
  </si>
  <si>
    <t>ORD-01240</t>
  </si>
  <si>
    <t>ORD-01151</t>
  </si>
  <si>
    <t>ORD-02234</t>
  </si>
  <si>
    <t>ORD-02071</t>
  </si>
  <si>
    <t>ORD-01363</t>
  </si>
  <si>
    <t>ORD-02303</t>
  </si>
  <si>
    <t>ORD-02431</t>
  </si>
  <si>
    <t>ORD-02181</t>
  </si>
  <si>
    <t>ORD-01955</t>
  </si>
  <si>
    <t>ORD-01141</t>
  </si>
  <si>
    <t>ORD-02126</t>
  </si>
  <si>
    <t>ORD-01065</t>
  </si>
  <si>
    <t>ORD-01355</t>
  </si>
  <si>
    <t>ORD-01648</t>
  </si>
  <si>
    <t>ORD-02216</t>
  </si>
  <si>
    <t>ORD-01113</t>
  </si>
  <si>
    <t>ORD-01722</t>
  </si>
  <si>
    <t>ORD-01168</t>
  </si>
  <si>
    <t>ORD-01451</t>
  </si>
  <si>
    <t>ORD-01771</t>
  </si>
  <si>
    <t>ORD-01796</t>
  </si>
  <si>
    <t>ORD-02456</t>
  </si>
  <si>
    <t>ORD-01767</t>
  </si>
  <si>
    <t>ORD-02464</t>
  </si>
  <si>
    <t>ORD-02154</t>
  </si>
  <si>
    <t>ORD-01828</t>
  </si>
  <si>
    <t>ORD-02471</t>
  </si>
  <si>
    <t>ORD-02145</t>
  </si>
  <si>
    <t>ORD-02465</t>
  </si>
  <si>
    <t>ORD-01692</t>
  </si>
  <si>
    <t>ORD-01469</t>
  </si>
  <si>
    <t>ORD-01099</t>
  </si>
  <si>
    <t>ORD-01063</t>
  </si>
  <si>
    <t>ORD-01131</t>
  </si>
  <si>
    <t>ORD-01649</t>
  </si>
  <si>
    <t>ORD-02387</t>
  </si>
  <si>
    <t>ORD-01082</t>
  </si>
  <si>
    <t>ORD-02176</t>
  </si>
  <si>
    <t>ORD-01280</t>
  </si>
  <si>
    <t>ORD-02144</t>
  </si>
  <si>
    <t>ORD-01861</t>
  </si>
  <si>
    <t>ORD-02393</t>
  </si>
  <si>
    <t>ORD-01609</t>
  </si>
  <si>
    <t>ORD-01176</t>
  </si>
  <si>
    <t>ORD-01061</t>
  </si>
  <si>
    <t>ORD-01613</t>
  </si>
  <si>
    <t>ORD-01438</t>
  </si>
  <si>
    <t>ORD-01311</t>
  </si>
  <si>
    <t>ORD-02060</t>
  </si>
  <si>
    <t>ORD-01854</t>
  </si>
  <si>
    <t>ORD-01338</t>
  </si>
  <si>
    <t>ORD-02046</t>
  </si>
  <si>
    <t>ORD-02066</t>
  </si>
  <si>
    <t>ORD-02090</t>
  </si>
  <si>
    <t>ORD-01153</t>
  </si>
  <si>
    <t>ORD-02484</t>
  </si>
  <si>
    <t>ORD-01083</t>
  </si>
  <si>
    <t>ORD-02370</t>
  </si>
  <si>
    <t>ORD-02165</t>
  </si>
  <si>
    <t>ORD-01599</t>
  </si>
  <si>
    <t>ORD-01676</t>
  </si>
  <si>
    <t>ORD-01161</t>
  </si>
  <si>
    <t>ORD-01456</t>
  </si>
  <si>
    <t>ORD-01661</t>
  </si>
  <si>
    <t>ORD-01653</t>
  </si>
  <si>
    <t>ORD-01352</t>
  </si>
  <si>
    <t>ORD-02117</t>
  </si>
  <si>
    <t>ORD-01505</t>
  </si>
  <si>
    <t>ORD-02497</t>
  </si>
  <si>
    <t>ORD-01250</t>
  </si>
  <si>
    <t>ORD-02112</t>
  </si>
  <si>
    <t>ORD-02478</t>
  </si>
  <si>
    <t>ORD-01715</t>
  </si>
  <si>
    <t>ORD-01937</t>
  </si>
  <si>
    <t>ORD-01524</t>
  </si>
  <si>
    <t>ORD-01052</t>
  </si>
  <si>
    <t>ORD-01595</t>
  </si>
  <si>
    <t>ORD-01611</t>
  </si>
  <si>
    <t>ORD-01702</t>
  </si>
  <si>
    <t>ORD-01468</t>
  </si>
  <si>
    <t>ORD-02121</t>
  </si>
  <si>
    <t>ORD-01433</t>
  </si>
  <si>
    <t>ORD-01254</t>
  </si>
  <si>
    <t>ORD-01768</t>
  </si>
  <si>
    <t>ORD-01048</t>
  </si>
  <si>
    <t>ORD-01093</t>
  </si>
  <si>
    <t>ORD-01138</t>
  </si>
  <si>
    <t>ORD-02149</t>
  </si>
  <si>
    <t>ORD-01892</t>
  </si>
  <si>
    <t>ORD-02453</t>
  </si>
  <si>
    <t>ORD-01969</t>
  </si>
  <si>
    <t>ORD-02443</t>
  </si>
  <si>
    <t>ORD-01471</t>
  </si>
  <si>
    <t>ORD-01114</t>
  </si>
  <si>
    <t>ORD-02295</t>
  </si>
  <si>
    <t>ORD-01731</t>
  </si>
  <si>
    <t>ORD-02347</t>
  </si>
  <si>
    <t>ORD-02383</t>
  </si>
  <si>
    <t>ORD-02221</t>
  </si>
  <si>
    <t>ORD-02346</t>
  </si>
  <si>
    <t>ORD-01546</t>
  </si>
  <si>
    <t>ORD-01388</t>
  </si>
  <si>
    <t>ORD-01252</t>
  </si>
  <si>
    <t>ORD-02408</t>
  </si>
  <si>
    <t>ORD-01706</t>
  </si>
  <si>
    <t>ORD-02039</t>
  </si>
  <si>
    <t>ORD-01973</t>
  </si>
  <si>
    <t>ORD-02247</t>
  </si>
  <si>
    <t>ORD-01367</t>
  </si>
  <si>
    <t>ORD-02173</t>
  </si>
  <si>
    <t>ORD-01134</t>
  </si>
  <si>
    <t>ORD-02336</t>
  </si>
  <si>
    <t>ORD-01912</t>
  </si>
  <si>
    <t>ORD-01901</t>
  </si>
  <si>
    <t>ORD-02017</t>
  </si>
  <si>
    <t>ORD-02018</t>
  </si>
  <si>
    <t>ORD-01965</t>
  </si>
  <si>
    <t>ORD-01553</t>
  </si>
  <si>
    <t>ORD-02419</t>
  </si>
  <si>
    <t>ORD-01542</t>
  </si>
  <si>
    <t>ORD-01778</t>
  </si>
  <si>
    <t>ORD-02342</t>
  </si>
  <si>
    <t>ORD-01331</t>
  </si>
  <si>
    <t>ORD-02296</t>
  </si>
  <si>
    <t>ORD-02403</t>
  </si>
  <si>
    <t>ORD-02102</t>
  </si>
  <si>
    <t>ORD-01122</t>
  </si>
  <si>
    <t>ORD-02414</t>
  </si>
  <si>
    <t>ORD-01130</t>
  </si>
  <si>
    <t>ORD-01617</t>
  </si>
  <si>
    <t>ORD-01237</t>
  </si>
  <si>
    <t>ORD-01758</t>
  </si>
  <si>
    <t>ORD-01786</t>
  </si>
  <si>
    <t>ORD-01530</t>
  </si>
  <si>
    <t>ORD-01570</t>
  </si>
  <si>
    <t>ORD-01413</t>
  </si>
  <si>
    <t>ORD-01178</t>
  </si>
  <si>
    <t>ORD-01400</t>
  </si>
  <si>
    <t>ORD-01132</t>
  </si>
  <si>
    <t>ORD-01440</t>
  </si>
  <si>
    <t>ORD-01053</t>
  </si>
  <si>
    <t>ORD-01403</t>
  </si>
  <si>
    <t>ORD-01198</t>
  </si>
  <si>
    <t>ORD-02442</t>
  </si>
  <si>
    <t>ORD-01951</t>
  </si>
  <si>
    <t>ORD-01909</t>
  </si>
  <si>
    <t>ORD-02382</t>
  </si>
  <si>
    <t>ORD-01633</t>
  </si>
  <si>
    <t>ORD-01326</t>
  </si>
  <si>
    <t>ORD-01532</t>
  </si>
  <si>
    <t>ORD-01587</t>
  </si>
  <si>
    <t>ORD-02053</t>
  </si>
  <si>
    <t>ORD-01027</t>
  </si>
  <si>
    <t>ORD-01856</t>
  </si>
  <si>
    <t>ORD-02222</t>
  </si>
  <si>
    <t>ORD-01580</t>
  </si>
  <si>
    <t>ORD-02134</t>
  </si>
  <si>
    <t>ORD-01248</t>
  </si>
  <si>
    <t>ORD-01425</t>
  </si>
  <si>
    <t>ORD-01645</t>
  </si>
  <si>
    <t>ORD-02212</t>
  </si>
  <si>
    <t>ORD-01275</t>
  </si>
  <si>
    <t>ORD-01978</t>
  </si>
  <si>
    <t>ORD-01520</t>
  </si>
  <si>
    <t>ORD-01230</t>
  </si>
  <si>
    <t>ORD-01384</t>
  </si>
  <si>
    <t>ORD-02323</t>
  </si>
  <si>
    <t>ORD-01406</t>
  </si>
  <si>
    <t>ORD-02262</t>
  </si>
  <si>
    <t>ORD-01476</t>
  </si>
  <si>
    <t>ORD-01360</t>
  </si>
  <si>
    <t>ORD-01860</t>
  </si>
  <si>
    <t>ORD-01481</t>
  </si>
  <si>
    <t>ORD-01201</t>
  </si>
  <si>
    <t>ORD-01753</t>
  </si>
  <si>
    <t>ORD-01621</t>
  </si>
  <si>
    <t>ORD-01960</t>
  </si>
  <si>
    <t>ORD-01751</t>
  </si>
  <si>
    <t>ORD-01895</t>
  </si>
  <si>
    <t>ORD-02158</t>
  </si>
  <si>
    <t>ORD-02122</t>
  </si>
  <si>
    <t>ORD-01956</t>
  </si>
  <si>
    <t>ORD-01596</t>
  </si>
  <si>
    <t>ORD-01921</t>
  </si>
  <si>
    <t>ORD-02479</t>
  </si>
  <si>
    <t>ORD-01103</t>
  </si>
  <si>
    <t>ORD-01558</t>
  </si>
  <si>
    <t>ORD-02472</t>
  </si>
  <si>
    <t>ORD-01615</t>
  </si>
  <si>
    <t>ORD-01422</t>
  </si>
  <si>
    <t>ORD-01647</t>
  </si>
  <si>
    <t>ORD-01836</t>
  </si>
  <si>
    <t>ORD-02193</t>
  </si>
  <si>
    <t>ORD-01849</t>
  </si>
  <si>
    <t>ORD-01102</t>
  </si>
  <si>
    <t>ORD-02177</t>
  </si>
  <si>
    <t>ORD-01814</t>
  </si>
  <si>
    <t>ORD-01292</t>
  </si>
  <si>
    <t>ORD-02380</t>
  </si>
  <si>
    <t>ORD-02320</t>
  </si>
  <si>
    <t>ORD-02061</t>
  </si>
  <si>
    <t>ORD-02086</t>
  </si>
  <si>
    <t>ORD-01610</t>
  </si>
  <si>
    <t>ORD-01567</t>
  </si>
  <si>
    <t>ORD-01182</t>
  </si>
  <si>
    <t>ORD-01807</t>
  </si>
  <si>
    <t>ORD-01708</t>
  </si>
  <si>
    <t>ORD-01725</t>
  </si>
  <si>
    <t>ORD-01675</t>
  </si>
  <si>
    <t>ORD-01975</t>
  </si>
  <si>
    <t>ORD-02416</t>
  </si>
  <si>
    <t>ORD-01437</t>
  </si>
  <si>
    <t>ORD-02139</t>
  </si>
  <si>
    <t>ORD-01638</t>
  </si>
  <si>
    <t>ORD-02242</t>
  </si>
  <si>
    <t>ORD-01421</t>
  </si>
  <si>
    <t>ORD-01804</t>
  </si>
  <si>
    <t>ORD-01467</t>
  </si>
  <si>
    <t>ORD-01677</t>
  </si>
  <si>
    <t>ORD-01128</t>
  </si>
  <si>
    <t>ORD-01923</t>
  </si>
  <si>
    <t>ORD-02368</t>
  </si>
  <si>
    <t>ORD-02151</t>
  </si>
  <si>
    <t>ORD-01110</t>
  </si>
  <si>
    <t>ORD-02502</t>
  </si>
  <si>
    <t>ORD-01380</t>
  </si>
  <si>
    <t>ORD-02110</t>
  </si>
  <si>
    <t>ORD-01839</t>
  </si>
  <si>
    <t>ORD-01196</t>
  </si>
  <si>
    <t>ORD-01215</t>
  </si>
  <si>
    <t>ORD-01357</t>
  </si>
  <si>
    <t>ORD-01222</t>
  </si>
  <si>
    <t>ORD-02105</t>
  </si>
  <si>
    <t>ORD-02081</t>
  </si>
  <si>
    <t>ORD-02285</t>
  </si>
  <si>
    <t>ORD-01560</t>
  </si>
  <si>
    <t>ORD-02293</t>
  </si>
  <si>
    <t>ORD-01961</t>
  </si>
  <si>
    <t>ORD-01224</t>
  </si>
  <si>
    <t>ORD-01038</t>
  </si>
  <si>
    <t>ORD-02106</t>
  </si>
  <si>
    <t>ORD-01687</t>
  </si>
  <si>
    <t>ORD-01655</t>
  </si>
  <si>
    <t>ORD-01802</t>
  </si>
  <si>
    <t>ORD-01650</t>
  </si>
  <si>
    <t>ORD-02246</t>
  </si>
  <si>
    <t>ORD-01462</t>
  </si>
  <si>
    <t>ORD-01004</t>
  </si>
  <si>
    <t>ORD-01534</t>
  </si>
  <si>
    <t>ORD-01850</t>
  </si>
  <si>
    <t>ORD-02089</t>
  </si>
  <si>
    <t>ORD-01117</t>
  </si>
  <si>
    <t>ORD-01682</t>
  </si>
  <si>
    <t>ORD-01512</t>
  </si>
  <si>
    <t>ORD-02062</t>
  </si>
  <si>
    <t>ORD-02468</t>
  </si>
  <si>
    <t>ORD-01155</t>
  </si>
  <si>
    <t>ORD-01015</t>
  </si>
  <si>
    <t>ORD-01922</t>
  </si>
  <si>
    <t>ORD-01681</t>
  </si>
  <si>
    <t>ORD-01332</t>
  </si>
  <si>
    <t>ORD-01149</t>
  </si>
  <si>
    <t>ORD-01632</t>
  </si>
  <si>
    <t>ORD-02499</t>
  </si>
  <si>
    <t>ORD-02156</t>
  </si>
  <si>
    <t>ORD-02127</t>
  </si>
  <si>
    <t>ORD-01704</t>
  </si>
  <si>
    <t>ORD-01966</t>
  </si>
  <si>
    <t>ORD-01792</t>
  </si>
  <si>
    <t>ORD-01011</t>
  </si>
  <si>
    <t>ORD-01399</t>
  </si>
  <si>
    <t>ORD-02421</t>
  </si>
  <si>
    <t>ORD-02385</t>
  </si>
  <si>
    <t>ORD-01448</t>
  </si>
  <si>
    <t>ORD-02251</t>
  </si>
  <si>
    <t>ORD-02209</t>
  </si>
  <si>
    <t>ORD-01487</t>
  </si>
  <si>
    <t>ORD-01494</t>
  </si>
  <si>
    <t>ORD-02082</t>
  </si>
  <si>
    <t>ORD-01777</t>
  </si>
  <si>
    <t>ORD-01204</t>
  </si>
  <si>
    <t>ORD-01990</t>
  </si>
  <si>
    <t>ORD-02133</t>
  </si>
  <si>
    <t>ORD-01795</t>
  </si>
  <si>
    <t>ORD-01439</t>
  </si>
  <si>
    <t>ORD-02021</t>
  </si>
  <si>
    <t>ORD-01733</t>
  </si>
  <si>
    <t>ORD-02164</t>
  </si>
  <si>
    <t>ORD-01266</t>
  </si>
  <si>
    <t>ORD-02454</t>
  </si>
  <si>
    <t>ORD-01220</t>
  </si>
  <si>
    <t>ORD-01538</t>
  </si>
  <si>
    <t>ORD-01430</t>
  </si>
  <si>
    <t>ORD-02288</t>
  </si>
  <si>
    <t>ORD-01306</t>
  </si>
  <si>
    <t>ORD-02427</t>
  </si>
  <si>
    <t>ORD-01993</t>
  </si>
  <si>
    <t>ORD-01281</t>
  </si>
  <si>
    <t>ORD-01071</t>
  </si>
  <si>
    <t>ORD-01146</t>
  </si>
  <si>
    <t>ORD-01806</t>
  </si>
  <si>
    <t>ORD-01181</t>
  </si>
  <si>
    <t>ORD-01651</t>
  </si>
  <si>
    <t>ORD-01002</t>
  </si>
  <si>
    <t>ORD-01983</t>
  </si>
  <si>
    <t>ORD-01434</t>
  </si>
  <si>
    <t>ORD-01024</t>
  </si>
  <si>
    <t>ORD-02420</t>
  </si>
  <si>
    <t>ORD-02424</t>
  </si>
  <si>
    <t>ORD-02476</t>
  </si>
  <si>
    <t>ORD-01829</t>
  </si>
  <si>
    <t>ORD-01441</t>
  </si>
  <si>
    <t>ORD-01371</t>
  </si>
  <si>
    <t>ORD-01064</t>
  </si>
  <si>
    <t>ORD-01991</t>
  </si>
  <si>
    <t>ORD-01616</t>
  </si>
  <si>
    <t>ORD-02270</t>
  </si>
  <si>
    <t>ORD-01582</t>
  </si>
  <si>
    <t>ORD-02322</t>
  </si>
  <si>
    <t>ORD-01219</t>
  </si>
  <si>
    <t>ORD-02308</t>
  </si>
  <si>
    <t>ORD-01150</t>
  </si>
  <si>
    <t>ORD-02092</t>
  </si>
  <si>
    <t>ORD-01160</t>
  </si>
  <si>
    <t>ORD-01559</t>
  </si>
  <si>
    <t>ORD-01040</t>
  </si>
  <si>
    <t>ORD-01846</t>
  </si>
  <si>
    <t>ORD-02292</t>
  </si>
  <si>
    <t>ORD-02277</t>
  </si>
  <si>
    <t>ORD-02302</t>
  </si>
  <si>
    <t>ORD-01928</t>
  </si>
  <si>
    <t>ORD-02063</t>
  </si>
  <si>
    <t>ORD-01498</t>
  </si>
  <si>
    <t>ORD-01619</t>
  </si>
  <si>
    <t>ORD-02306</t>
  </si>
  <si>
    <t>ORD-01325</t>
  </si>
  <si>
    <t>ORD-01968</t>
  </si>
  <si>
    <t>ORD-01337</t>
  </si>
  <si>
    <t>ORD-01412</t>
  </si>
  <si>
    <t>ORD-02219</t>
  </si>
  <si>
    <t>ORD-01444</t>
  </si>
  <si>
    <t>ORD-02481</t>
  </si>
  <si>
    <t>ORD-02064</t>
  </si>
  <si>
    <t>ORD-02359</t>
  </si>
  <si>
    <t>ORD-01185</t>
  </si>
  <si>
    <t>ORD-01953</t>
  </si>
  <si>
    <t>ORD-02248</t>
  </si>
  <si>
    <t>ORD-01477</t>
  </si>
  <si>
    <t>ORD-02188</t>
  </si>
  <si>
    <t>ORD-01994</t>
  </si>
  <si>
    <t>ORD-01998</t>
  </si>
  <si>
    <t>ORD-01478</t>
  </si>
  <si>
    <t>ORD-01358</t>
  </si>
  <si>
    <t>ORD-01899</t>
  </si>
  <si>
    <t>ORD-02147</t>
  </si>
  <si>
    <t>ORD-02448</t>
  </si>
  <si>
    <t>ORD-01398</t>
  </si>
  <si>
    <t>ORD-02409</t>
  </si>
  <si>
    <t>ORD-01075</t>
  </si>
  <si>
    <t>ORD-02457</t>
  </si>
  <si>
    <t>ORD-01957</t>
  </si>
  <si>
    <t>ORD-01163</t>
  </si>
  <si>
    <t>ORD-02231</t>
  </si>
  <si>
    <t>ORD-02124</t>
  </si>
  <si>
    <t>ORD-01108</t>
  </si>
  <si>
    <t>ORD-01159</t>
  </si>
  <si>
    <t>ORD-02327</t>
  </si>
  <si>
    <t>ORD-02450</t>
  </si>
  <si>
    <t>ORD-01717</t>
  </si>
  <si>
    <t>ORD-01251</t>
  </si>
  <si>
    <t>ORD-01759</t>
  </si>
  <si>
    <t>ORD-01059</t>
  </si>
  <si>
    <t>ORD-01660</t>
  </si>
  <si>
    <t>ORD-02235</t>
  </si>
  <si>
    <t>ORD-02185</t>
  </si>
  <si>
    <t>ORD-02482</t>
  </si>
  <si>
    <t>ORD-01029</t>
  </si>
  <si>
    <t>ORD-01461</t>
  </si>
  <si>
    <t>ORD-01519</t>
  </si>
  <si>
    <t>ORD-02325</t>
  </si>
  <si>
    <t>ORD-01903</t>
  </si>
  <si>
    <t>ORD-01086</t>
  </si>
  <si>
    <t>ORD-02490</t>
  </si>
  <si>
    <t>ORD-01845</t>
  </si>
  <si>
    <t>ORD-01640</t>
  </si>
  <si>
    <t>ORD-02271</t>
  </si>
  <si>
    <t>ORD-01376</t>
  </si>
  <si>
    <t>ORD-02260</t>
  </si>
  <si>
    <t>ORD-01929</t>
  </si>
  <si>
    <t>ORD-01697</t>
  </si>
  <si>
    <t>ORD-01635</t>
  </si>
  <si>
    <t>ORD-01419</t>
  </si>
  <si>
    <t>ORD-02187</t>
  </si>
  <si>
    <t>ORD-02069</t>
  </si>
  <si>
    <t>ORD-01838</t>
  </si>
  <si>
    <t>ORD-01872</t>
  </si>
  <si>
    <t>ORD-02191</t>
  </si>
  <si>
    <t>ORD-01583</t>
  </si>
  <si>
    <t>ORD-01127</t>
  </si>
  <si>
    <t>ORD-01144</t>
  </si>
  <si>
    <t>ORD-02503</t>
  </si>
  <si>
    <t>ORD-01453</t>
  </si>
  <si>
    <t>ORD-01782</t>
  </si>
  <si>
    <t>ORD-01263</t>
  </si>
  <si>
    <t>ORD-01169</t>
  </si>
  <si>
    <t>ORD-02345</t>
  </si>
  <si>
    <t>ORD-02100</t>
  </si>
  <si>
    <t>ORD-01791</t>
  </si>
  <si>
    <t>ORD-01728</t>
  </si>
  <si>
    <t>ORD-01184</t>
  </si>
  <si>
    <t>ORD-02184</t>
  </si>
  <si>
    <t>ORD-02272</t>
  </si>
  <si>
    <t>ORD-02118</t>
  </si>
  <si>
    <t>ORD-01591</t>
  </si>
  <si>
    <t>ORD-02047</t>
  </si>
  <si>
    <t>ORD-01070</t>
  </si>
  <si>
    <t>ORD-01905</t>
  </si>
  <si>
    <t>ORD-02130</t>
  </si>
  <si>
    <t>ORD-02198</t>
  </si>
  <si>
    <t>ORD-02024</t>
  </si>
  <si>
    <t>ORD-02026</t>
  </si>
  <si>
    <t>ORD-01097</t>
  </si>
  <si>
    <t>ORD-02489</t>
  </si>
  <si>
    <t>ORD-02440</t>
  </si>
  <si>
    <t>ORD-01801</t>
  </si>
  <si>
    <t>ORD-01817</t>
  </si>
  <si>
    <t>ORD-02505</t>
  </si>
  <si>
    <t>ORD-01942</t>
  </si>
  <si>
    <t>ORD-02107</t>
  </si>
  <si>
    <t>ORD-01147</t>
  </si>
  <si>
    <t>ORD-01016</t>
  </si>
  <si>
    <t>ORD-02224</t>
  </si>
  <si>
    <t>ORD-01926</t>
  </si>
  <si>
    <t>ORD-02294</t>
  </si>
  <si>
    <t>ORD-01643</t>
  </si>
  <si>
    <t>ORD-01581</t>
  </si>
  <si>
    <t>ORD-02135</t>
  </si>
  <si>
    <t>ORD-01077</t>
  </si>
  <si>
    <t>ORD-02312</t>
  </si>
  <si>
    <t>ORD-01626</t>
  </si>
  <si>
    <t>ORD-01214</t>
  </si>
  <si>
    <t>ORD-01245</t>
  </si>
  <si>
    <t>ORD-01397</t>
  </si>
  <si>
    <t>ORD-01700</t>
  </si>
  <si>
    <t>ORD-01793</t>
  </si>
  <si>
    <t>ORD-01730</t>
  </si>
  <si>
    <t>ORD-01041</t>
  </si>
  <si>
    <t>ORD-01442</t>
  </si>
  <si>
    <t>ORD-01639</t>
  </si>
  <si>
    <t>ORD-01369</t>
  </si>
  <si>
    <t>ORD-02261</t>
  </si>
  <si>
    <t>ORD-02163</t>
  </si>
  <si>
    <t>ORD-01135</t>
  </si>
  <si>
    <t>ORD-01805</t>
  </si>
  <si>
    <t>ORD-02305</t>
  </si>
  <si>
    <t>ORD-01350</t>
  </si>
  <si>
    <t>ORD-01891</t>
  </si>
  <si>
    <t>ORD-01536</t>
  </si>
  <si>
    <t>ORD-01668</t>
  </si>
  <si>
    <t>ORD-02410</t>
  </si>
  <si>
    <t>ORD-01747</t>
  </si>
  <si>
    <t>ORD-02501</t>
  </si>
  <si>
    <t>ORD-01514</t>
  </si>
  <si>
    <t>ORD-01165</t>
  </si>
  <si>
    <t>ORD-01898</t>
  </si>
  <si>
    <t>ORD-02098</t>
  </si>
  <si>
    <t>ORD-01145</t>
  </si>
  <si>
    <t>ORD-01670</t>
  </si>
  <si>
    <t>ORD-01698</t>
  </si>
  <si>
    <t>ORD-01918</t>
  </si>
  <si>
    <t>ORD-02291</t>
  </si>
  <si>
    <t>ORD-01736</t>
  </si>
  <si>
    <t>ORD-02078</t>
  </si>
  <si>
    <t>ORD-01641</t>
  </si>
  <si>
    <t>ORD-02470</t>
  </si>
  <si>
    <t>ORD-02475</t>
  </si>
  <si>
    <t>ORD-01699</t>
  </si>
  <si>
    <t>ORD-01156</t>
  </si>
  <si>
    <t>ORD-01166</t>
  </si>
  <si>
    <t>ORD-01298</t>
  </si>
  <si>
    <t>ORD-01039</t>
  </si>
  <si>
    <t>ORD-02445</t>
  </si>
  <si>
    <t>ORD-01094</t>
  </si>
  <si>
    <t>ORD-01601</t>
  </si>
  <si>
    <t>ORD-02022</t>
  </si>
  <si>
    <t>ORD-01392</t>
  </si>
  <si>
    <t>ORD-01816</t>
  </si>
  <si>
    <t>ORD-01602</t>
  </si>
  <si>
    <t>ORD-02220</t>
  </si>
  <si>
    <t>ORD-02335</t>
  </si>
  <si>
    <t>ORD-01794</t>
  </si>
  <si>
    <t>ORD-01827</t>
  </si>
  <si>
    <t>ORD-01515</t>
  </si>
  <si>
    <t>ORD-01104</t>
  </si>
  <si>
    <t>ORD-01516</t>
  </si>
  <si>
    <t>ORD-01760</t>
  </si>
  <si>
    <t>ORD-02358</t>
  </si>
  <si>
    <t>ORD-02257</t>
  </si>
  <si>
    <t>ORD-01340</t>
  </si>
  <si>
    <t>ORD-01100</t>
  </si>
  <si>
    <t>ORD-02043</t>
  </si>
  <si>
    <t>ORD-01720</t>
  </si>
  <si>
    <t>ORD-01133</t>
  </si>
  <si>
    <t>ORD-02150</t>
  </si>
  <si>
    <t>ORD-01744</t>
  </si>
  <si>
    <t>ORD-01401</t>
  </si>
  <si>
    <t>ORD-01939</t>
  </si>
  <si>
    <t>ORD-01944</t>
  </si>
  <si>
    <t>ORD-02199</t>
  </si>
  <si>
    <t>ORD-01513</t>
  </si>
  <si>
    <t>ORD-01408</t>
  </si>
  <si>
    <t>ORD-02056</t>
  </si>
  <si>
    <t>ORD-01770</t>
  </si>
  <si>
    <t>ORD-01366</t>
  </si>
  <si>
    <t>ORD-01009</t>
  </si>
  <si>
    <t>ORD-01962</t>
  </si>
  <si>
    <t>ORD-01096</t>
  </si>
  <si>
    <t>ORD-01323</t>
  </si>
  <si>
    <t>ORD-02174</t>
  </si>
  <si>
    <t>ORD-01496</t>
  </si>
  <si>
    <t>ORD-02255</t>
  </si>
  <si>
    <t>ORD-02159</t>
  </si>
  <si>
    <t>ORD-01046</t>
  </si>
  <si>
    <t>ORD-01579</t>
  </si>
  <si>
    <t>ORD-01584</t>
  </si>
  <si>
    <t>ORD-01088</t>
  </si>
  <si>
    <t>ORD-01276</t>
  </si>
  <si>
    <t>ORD-02384</t>
  </si>
  <si>
    <t>ORD-01034</t>
  </si>
  <si>
    <t>ORD-01952</t>
  </si>
  <si>
    <t>ORD-02115</t>
  </si>
  <si>
    <t>ORD-02417</t>
  </si>
  <si>
    <t>ORD-01565</t>
  </si>
  <si>
    <t>ORD-01193</t>
  </si>
  <si>
    <t>ORD-02256</t>
  </si>
  <si>
    <t>ORD-02225</t>
  </si>
  <si>
    <t>ORD-01775</t>
  </si>
  <si>
    <t>ORD-01012</t>
  </si>
  <si>
    <t>ORD-01612</t>
  </si>
  <si>
    <t>ORD-02338</t>
  </si>
  <si>
    <t>ORD-01067</t>
  </si>
  <si>
    <t>ORD-01555</t>
  </si>
  <si>
    <t>ORD-01167</t>
  </si>
  <si>
    <t>ORD-01289</t>
  </si>
  <si>
    <t>ORD-01246</t>
  </si>
  <si>
    <t>ORD-01344</t>
  </si>
  <si>
    <t>ORD-01867</t>
  </si>
  <si>
    <t>ORD-01798</t>
  </si>
  <si>
    <t>ORD-02143</t>
  </si>
  <si>
    <t>ORD-02146</t>
  </si>
  <si>
    <t>ORD-02001</t>
  </si>
  <si>
    <t>ORD-02425</t>
  </si>
  <si>
    <t>ORD-01112</t>
  </si>
  <si>
    <t>ORD-01277</t>
  </si>
  <si>
    <t>ORD-01200</t>
  </si>
  <si>
    <t>ORD-02422</t>
  </si>
  <si>
    <t>ORD-01663</t>
  </si>
  <si>
    <t>ORD-01381</t>
  </si>
  <si>
    <t>ORD-01823</t>
  </si>
  <si>
    <t>ORD-01056</t>
  </si>
  <si>
    <t>ORD-02340</t>
  </si>
  <si>
    <t>ORD-02204</t>
  </si>
  <si>
    <t>ORD-02201</t>
  </si>
  <si>
    <t>ORD-01658</t>
  </si>
  <si>
    <t>ORD-01669</t>
  </si>
  <si>
    <t>ORD-01321</t>
  </si>
  <si>
    <t>ORD-01489</t>
  </si>
  <si>
    <t>ORD-01480</t>
  </si>
  <si>
    <t>ORD-01710</t>
  </si>
  <si>
    <t>ORD-02281</t>
  </si>
  <si>
    <t>ORD-01080</t>
  </si>
  <si>
    <t>ORD-01862</t>
  </si>
  <si>
    <t>ORD-01620</t>
  </si>
  <si>
    <t>ORD-02273</t>
  </si>
  <si>
    <t>ORD-02000</t>
  </si>
  <si>
    <t>ORD-01764</t>
  </si>
  <si>
    <t>ORD-02394</t>
  </si>
  <si>
    <t>ORD-01189</t>
  </si>
  <si>
    <t>ORD-01402</t>
  </si>
  <si>
    <t>ORD-01058</t>
  </si>
  <si>
    <t>ORD-01634</t>
  </si>
  <si>
    <t>ORD-01411</t>
  </si>
  <si>
    <t>ORD-01217</t>
  </si>
  <si>
    <t>ORD-01761</t>
  </si>
  <si>
    <t>ORD-01129</t>
  </si>
  <si>
    <t>ORD-01974</t>
  </si>
  <si>
    <t>ORD-02002</t>
  </si>
  <si>
    <t>ORD-02241</t>
  </si>
  <si>
    <t>ORD-01535</t>
  </si>
  <si>
    <t>ORD-01095</t>
  </si>
  <si>
    <t>ORD-01997</t>
  </si>
  <si>
    <t>ORD-01279</t>
  </si>
  <si>
    <t>ORD-01322</t>
  </si>
  <si>
    <t>ORD-02030</t>
  </si>
  <si>
    <t>ORD-01466</t>
  </si>
  <si>
    <t>ORD-01627</t>
  </si>
  <si>
    <t>ORD-01529</t>
  </si>
  <si>
    <t>ORD-01931</t>
  </si>
  <si>
    <t>ORD-01868</t>
  </si>
  <si>
    <t>ORD-01812</t>
  </si>
  <si>
    <t>ORD-01023</t>
  </si>
  <si>
    <t>ORD-01329</t>
  </si>
  <si>
    <t>ORD-02031</t>
  </si>
  <si>
    <t>ORD-01356</t>
  </si>
  <si>
    <t>ORD-01066</t>
  </si>
  <si>
    <t>ORD-02083</t>
  </si>
  <si>
    <t>ORD-01320</t>
  </si>
  <si>
    <t>ORD-01228</t>
  </si>
  <si>
    <t>ORD-02142</t>
  </si>
  <si>
    <t>ORD-02405</t>
  </si>
  <si>
    <t>ORD-02391</t>
  </si>
  <si>
    <t>ORD-01691</t>
  </si>
  <si>
    <t>ORD-01843</t>
  </si>
  <si>
    <t>ORD-02179</t>
  </si>
  <si>
    <t>ORD-01614</t>
  </si>
  <si>
    <t>ORD-01287</t>
  </si>
  <si>
    <t>ORD-01963</t>
  </si>
  <si>
    <t>ORD-01374</t>
  </si>
  <si>
    <t>ORD-01307</t>
  </si>
  <si>
    <t>ORD-01853</t>
  </si>
  <si>
    <t>ORD-01026</t>
  </si>
  <si>
    <t>ORD-01158</t>
  </si>
  <si>
    <t>ORD-01502</t>
  </si>
  <si>
    <t>ORD-01162</t>
  </si>
  <si>
    <t>ORD-01290</t>
  </si>
  <si>
    <t>ORD-01749</t>
  </si>
  <si>
    <t>ORD-02132</t>
  </si>
  <si>
    <t>ORD-01062</t>
  </si>
  <si>
    <t>ORD-01324</t>
  </si>
  <si>
    <t>ORD-01977</t>
  </si>
  <si>
    <t>ORD-01152</t>
  </si>
  <si>
    <t>ORD-02205</t>
  </si>
  <si>
    <t>ORD-01111</t>
  </si>
  <si>
    <t>ORD-02396</t>
  </si>
  <si>
    <t>ORD-01870</t>
  </si>
  <si>
    <t>ORD-01054</t>
  </si>
  <si>
    <t>ORD-02218</t>
  </si>
  <si>
    <t>ORD-02229</t>
  </si>
  <si>
    <t>ORD-02356</t>
  </si>
  <si>
    <t>ORD-01283</t>
  </si>
  <si>
    <t>ORD-02190</t>
  </si>
  <si>
    <t>ORD-02161</t>
  </si>
  <si>
    <t>ORD-01432</t>
  </si>
  <si>
    <t>ORD-01497</t>
  </si>
  <si>
    <t>ORD-01863</t>
  </si>
  <si>
    <t>ORD-01296</t>
  </si>
  <si>
    <t>ORD-01943</t>
  </si>
  <si>
    <t>ORD-02279</t>
  </si>
  <si>
    <t>ORD-02200</t>
  </si>
  <si>
    <t>ORD-01740</t>
  </si>
  <si>
    <t>ORD-01716</t>
  </si>
  <si>
    <t>ORD-01123</t>
  </si>
  <si>
    <t>ORD-02162</t>
  </si>
  <si>
    <t>ORD-02282</t>
  </si>
  <si>
    <t>ORD-02480</t>
  </si>
  <si>
    <t>ORD-01743</t>
  </si>
  <si>
    <t>ORD-01036</t>
  </si>
  <si>
    <t>ORD-01417</t>
  </si>
  <si>
    <t>ORD-01006</t>
  </si>
  <si>
    <t>ORD-02400</t>
  </si>
  <si>
    <t>ORD-01482</t>
  </si>
  <si>
    <t>ORD-02389</t>
  </si>
  <si>
    <t>ORD-02274</t>
  </si>
  <si>
    <t>ORD-02080</t>
  </si>
  <si>
    <t>ORD-01864</t>
  </si>
  <si>
    <t>ORD-02210</t>
  </si>
  <si>
    <t>ORD-02166</t>
  </si>
  <si>
    <t>ORD-01472</t>
  </si>
  <si>
    <t>ORD-02099</t>
  </si>
  <si>
    <t>ORD-02337</t>
  </si>
  <si>
    <t>ORD-02009</t>
  </si>
  <si>
    <t>ORD-02094</t>
  </si>
  <si>
    <t>ORD-02104</t>
  </si>
  <si>
    <t>ORD-02019</t>
  </si>
  <si>
    <t>ORD-01858</t>
  </si>
  <si>
    <t>ORD-01785</t>
  </si>
  <si>
    <t>ORD-01504</t>
  </si>
  <si>
    <t>ORD-01284</t>
  </si>
  <si>
    <t>ORD-01683</t>
  </si>
  <si>
    <t>ORD-01848</t>
  </si>
  <si>
    <t>ORD-01986</t>
  </si>
  <si>
    <t>ORD-01869</t>
  </si>
  <si>
    <t>ORD-02013</t>
  </si>
  <si>
    <t>ORD-01654</t>
  </si>
  <si>
    <t>ORD-01723</t>
  </si>
  <si>
    <t>ORD-01789</t>
  </si>
  <si>
    <t>ORD-02428</t>
  </si>
  <si>
    <t>ORD-02366</t>
  </si>
  <si>
    <t>ORD-01662</t>
  </si>
  <si>
    <t>ORD-01186</t>
  </si>
  <si>
    <t>ORD-01297</t>
  </si>
  <si>
    <t>ORD-01571</t>
  </si>
  <si>
    <t>ORD-01876</t>
  </si>
  <si>
    <t>ORD-01232</t>
  </si>
  <si>
    <t>ORD-01980</t>
  </si>
  <si>
    <t>ORD-01915</t>
  </si>
  <si>
    <t>ORD-02329</t>
  </si>
  <si>
    <t>ORD-01303</t>
  </si>
  <si>
    <t>ORD-02430</t>
  </si>
  <si>
    <t>ORD-01301</t>
  </si>
  <si>
    <t>ORD-02469</t>
  </si>
  <si>
    <t>ORD-01005</t>
  </si>
  <si>
    <t>ORD-02157</t>
  </si>
  <si>
    <t>ORD-01544</t>
  </si>
  <si>
    <t>ORD-02287</t>
  </si>
  <si>
    <t>ORD-02023</t>
  </si>
  <si>
    <t>ORD-01556</t>
  </si>
  <si>
    <t>ORD-01213</t>
  </si>
  <si>
    <t>ORD-01714</t>
  </si>
  <si>
    <t>ORD-02168</t>
  </si>
  <si>
    <t>ORD-02372</t>
  </si>
  <si>
    <t>ORD-01308</t>
  </si>
  <si>
    <t>ORD-01871</t>
  </si>
  <si>
    <t>ORD-02245</t>
  </si>
  <si>
    <t>ORD-01686</t>
  </si>
  <si>
    <t>ORD-02087</t>
  </si>
  <si>
    <t>ORD-01878</t>
  </si>
  <si>
    <t>ORD-01365</t>
  </si>
  <si>
    <t>ORD-01310</t>
  </si>
  <si>
    <t>ORD-01089</t>
  </si>
  <si>
    <t>ORD-01174</t>
  </si>
  <si>
    <t>ORD-02401</t>
  </si>
  <si>
    <t>ORD-01243</t>
  </si>
  <si>
    <t>ORD-01684</t>
  </si>
  <si>
    <t>ORD-01157</t>
  </si>
  <si>
    <t>ORD-01732</t>
  </si>
  <si>
    <t>ORD-02237</t>
  </si>
  <si>
    <t>ORD-01209</t>
  </si>
  <si>
    <t>ORD-02175</t>
  </si>
  <si>
    <t>ORD-02215</t>
  </si>
  <si>
    <t>ORD-01348</t>
  </si>
  <si>
    <t>ORD-02008</t>
  </si>
  <si>
    <t>ORD-01231</t>
  </si>
  <si>
    <t>ORD-01788</t>
  </si>
  <si>
    <t>ORD-01463</t>
  </si>
  <si>
    <t>ORD-01588</t>
  </si>
  <si>
    <t>ORD-01724</t>
  </si>
  <si>
    <t>ORD-01302</t>
  </si>
  <si>
    <t>ORD-01790</t>
  </si>
  <si>
    <t>ORD-02441</t>
  </si>
  <si>
    <t>ORD-01465</t>
  </si>
  <si>
    <t>ORD-01050</t>
  </si>
  <si>
    <t>ORD-01460</t>
  </si>
  <si>
    <t>ORD-02357</t>
  </si>
  <si>
    <t>ORD-01291</t>
  </si>
  <si>
    <t>ORD-01851</t>
  </si>
  <si>
    <t>ORD-02491</t>
  </si>
  <si>
    <t>ORD-02183</t>
  </si>
  <si>
    <t>ORD-01608</t>
  </si>
  <si>
    <t>ORD-02116</t>
  </si>
  <si>
    <t>ORD-01211</t>
  </si>
  <si>
    <t>ORD-01092</t>
  </si>
  <si>
    <t>ORD-02236</t>
  </si>
  <si>
    <t>ORD-01253</t>
  </si>
  <si>
    <t>ORD-02189</t>
  </si>
  <si>
    <t>ORD-01548</t>
  </si>
  <si>
    <t>ORD-02114</t>
  </si>
  <si>
    <t>ORD-01115</t>
  </si>
  <si>
    <t>ORD-01500</t>
  </si>
  <si>
    <t>ORD-01317</t>
  </si>
  <si>
    <t>ORD-01981</t>
  </si>
  <si>
    <t>ORD-01680</t>
  </si>
  <si>
    <t>ORD-01630</t>
  </si>
  <si>
    <t>ORD-01335</t>
  </si>
  <si>
    <t>ORD-01910</t>
  </si>
  <si>
    <t>ORD-02153</t>
  </si>
  <si>
    <t>ORD-02500</t>
  </si>
  <si>
    <t>ORD-01286</t>
  </si>
  <si>
    <t>ORD-01415</t>
  </si>
  <si>
    <t>ORD-01175</t>
  </si>
  <si>
    <t>ORD-01694</t>
  </si>
  <si>
    <t>ORD-02111</t>
  </si>
  <si>
    <t>ORD-02267</t>
  </si>
  <si>
    <t>ORD-01020</t>
  </si>
  <si>
    <t>ORD-02214</t>
  </si>
  <si>
    <t>ORD-01293</t>
  </si>
  <si>
    <t>ORD-01549</t>
  </si>
  <si>
    <t>ORD-01172</t>
  </si>
  <si>
    <t>ORD-01509</t>
  </si>
  <si>
    <t>ORD-02466</t>
  </si>
  <si>
    <t>ORD-02367</t>
  </si>
  <si>
    <t>ORD-02406</t>
  </si>
  <si>
    <t>ORD-02437</t>
  </si>
  <si>
    <t>ORD-01043</t>
  </si>
  <si>
    <t>ORD-02331</t>
  </si>
  <si>
    <t>ORD-01774</t>
  </si>
  <si>
    <t>ORD-01205</t>
  </si>
  <si>
    <t>ORD-01025</t>
  </si>
  <si>
    <t>ORD-01282</t>
  </si>
  <si>
    <t>ORD-02079</t>
  </si>
  <si>
    <t>ORD-01206</t>
  </si>
  <si>
    <t>ORD-01825</t>
  </si>
  <si>
    <t>ORD-01932</t>
  </si>
  <si>
    <t>ORD-01503</t>
  </si>
  <si>
    <t>ORD-02460</t>
  </si>
  <si>
    <t>ORD-01148</t>
  </si>
  <si>
    <t>ORD-01294</t>
  </si>
  <si>
    <t>ORD-01143</t>
  </si>
  <si>
    <t>ORD-01385</t>
  </si>
  <si>
    <t>ORD-01808</t>
  </si>
  <si>
    <t>ORD-01364</t>
  </si>
  <si>
    <t>ORD-01334</t>
  </si>
  <si>
    <t>ORD-01636</t>
  </si>
  <si>
    <t>ORD-02498</t>
  </si>
  <si>
    <t>ORD-01370</t>
  </si>
  <si>
    <t>ORD-02005</t>
  </si>
  <si>
    <t>ORD-02167</t>
  </si>
  <si>
    <t>ORD-02473</t>
  </si>
  <si>
    <t>ORD-01361</t>
  </si>
  <si>
    <t>ORD-02415</t>
  </si>
  <si>
    <t>ORD-01941</t>
  </si>
  <si>
    <t>ORD-02474</t>
  </si>
  <si>
    <t>ORD-02016</t>
  </si>
  <si>
    <t>ORD-02444</t>
  </si>
  <si>
    <t>ORD-02299</t>
  </si>
  <si>
    <t>ORD-01755</t>
  </si>
  <si>
    <t>ORD-01889</t>
  </si>
  <si>
    <t>ORD-01475</t>
  </si>
  <si>
    <t>ORD-01914</t>
  </si>
  <si>
    <t>ORD-01810</t>
  </si>
  <si>
    <t>ORD-02192</t>
  </si>
  <si>
    <t>ORD-01418</t>
  </si>
  <si>
    <t>ORD-01551</t>
  </si>
  <si>
    <t>ORD-02278</t>
  </si>
  <si>
    <t>ORD-02311</t>
  </si>
  <si>
    <t>ORD-01906</t>
  </si>
  <si>
    <t>ORD-01423</t>
  </si>
  <si>
    <t>ORD-02129</t>
  </si>
  <si>
    <t>ORD-02238</t>
  </si>
  <si>
    <t>ORD-01528</t>
  </si>
  <si>
    <t>ORD-01783</t>
  </si>
  <si>
    <t>ORD-02388</t>
  </si>
  <si>
    <t>ORD-02195</t>
  </si>
  <si>
    <t>ORD-02101</t>
  </si>
  <si>
    <t>ORD-01033</t>
  </si>
  <si>
    <t>ORD-01525</t>
  </si>
  <si>
    <t>ORD-01362</t>
  </si>
  <si>
    <t>ORD-01573</t>
  </si>
  <si>
    <t>ORD-01450</t>
  </si>
  <si>
    <t>ORD-01729</t>
  </si>
  <si>
    <t>ORD-01022</t>
  </si>
  <si>
    <t>ORD-01118</t>
  </si>
  <si>
    <t>ORD-02286</t>
  </si>
  <si>
    <t>ORD-01604</t>
  </si>
  <si>
    <t>ORD-02253</t>
  </si>
  <si>
    <t>ORD-01837</t>
  </si>
  <si>
    <t>ORD-01274</t>
  </si>
  <si>
    <t>ORD-01541</t>
  </si>
  <si>
    <t>ORD-02125</t>
  </si>
  <si>
    <t>ORD-01171</t>
  </si>
  <si>
    <t>ORD-01665</t>
  </si>
  <si>
    <t>ORD-01756</t>
  </si>
  <si>
    <t>ORD-02240</t>
  </si>
  <si>
    <t>ORD-02360</t>
  </si>
  <si>
    <t>ORD-01003</t>
  </si>
  <si>
    <t>ORD-01238</t>
  </si>
  <si>
    <t>ORD-02095</t>
  </si>
  <si>
    <t>ORD-02392</t>
  </si>
  <si>
    <t>ORD-01510</t>
  </si>
  <si>
    <t>ORD-02439</t>
  </si>
  <si>
    <t>ORD-01554</t>
  </si>
  <si>
    <t>ORD-01273</t>
  </si>
  <si>
    <t>ORD-01569</t>
  </si>
  <si>
    <t>ORD-01304</t>
  </si>
  <si>
    <t>ORD-01081</t>
  </si>
  <si>
    <t>ORD-01598</t>
  </si>
  <si>
    <t>ORD-02395</t>
  </si>
  <si>
    <t>ORD-02369</t>
  </si>
  <si>
    <t>ORD-02343</t>
  </si>
  <si>
    <t>ORD-01459</t>
  </si>
  <si>
    <t>ORD-01351</t>
  </si>
  <si>
    <t>ORD-01244</t>
  </si>
  <si>
    <t>ORD-02404</t>
  </si>
  <si>
    <t>ORD-01550</t>
  </si>
  <si>
    <t>ORD-01607</t>
  </si>
  <si>
    <t>ORD-01452</t>
  </si>
  <si>
    <t>ORD-01622</t>
  </si>
  <si>
    <t>ORD-01531</t>
  </si>
  <si>
    <t>ORD-02452</t>
  </si>
  <si>
    <t>ORD-02350</t>
  </si>
  <si>
    <t>ORD-01933</t>
  </si>
  <si>
    <t>ORD-02051</t>
  </si>
  <si>
    <t>ORD-01019</t>
  </si>
  <si>
    <t>ORD-02213</t>
  </si>
  <si>
    <t>ORD-01447</t>
  </si>
  <si>
    <t>ORD-02172</t>
  </si>
  <si>
    <t>ORD-01328</t>
  </si>
  <si>
    <t>ORD-01008</t>
  </si>
  <si>
    <t>ORD-01377</t>
  </si>
  <si>
    <t>ORD-01424</t>
  </si>
  <si>
    <t>ORD-01557</t>
  </si>
  <si>
    <t>ORD-02244</t>
  </si>
  <si>
    <t>ORD-01821</t>
  </si>
  <si>
    <t>ORD-01800</t>
  </si>
  <si>
    <t>ORD-02152</t>
  </si>
  <si>
    <t>ORD-01028</t>
  </si>
  <si>
    <t>ORD-02044</t>
  </si>
  <si>
    <t>ORD-01897</t>
  </si>
  <si>
    <t>ORD-01339</t>
  </si>
  <si>
    <t>ORD-02376</t>
  </si>
  <si>
    <t>ORD-02052</t>
  </si>
  <si>
    <t>ORD-02091</t>
  </si>
  <si>
    <t>ORD-02014</t>
  </si>
  <si>
    <t>ORD-01815</t>
  </si>
  <si>
    <t>ORD-01390</t>
  </si>
  <si>
    <t>ORD-01125</t>
  </si>
  <si>
    <t>ORD-02160</t>
  </si>
  <si>
    <t>ORD-01594</t>
  </si>
  <si>
    <t>ORD-01265</t>
  </si>
  <si>
    <t>ORD-01562</t>
  </si>
  <si>
    <t>ORD-02228</t>
  </si>
  <si>
    <t>ORD-01342</t>
  </si>
  <si>
    <t>ORD-01045</t>
  </si>
  <si>
    <t>ORD-02032</t>
  </si>
  <si>
    <t>ORD-02073</t>
  </si>
  <si>
    <t>ORD-01859</t>
  </si>
  <si>
    <t>ORD-01989</t>
  </si>
  <si>
    <t>ORD-01139</t>
  </si>
  <si>
    <t>ORD-01894</t>
  </si>
  <si>
    <t>ORD-01241</t>
  </si>
  <si>
    <t>ORD-02386</t>
  </si>
  <si>
    <t>ORD-01919</t>
  </si>
  <si>
    <t>ORD-01750</t>
  </si>
  <si>
    <t>ORD-01712</t>
  </si>
  <si>
    <t>ORD-02148</t>
  </si>
  <si>
    <t>ORD-01518</t>
  </si>
  <si>
    <t>ORD-02128</t>
  </si>
  <si>
    <t>ORD-02432</t>
  </si>
  <si>
    <t>ORD-01393</t>
  </si>
  <si>
    <t>ORD-01262</t>
  </si>
  <si>
    <t>ORD-01090</t>
  </si>
  <si>
    <t>ORD-01315</t>
  </si>
  <si>
    <t>ORD-02093</t>
  </si>
  <si>
    <t>ORD-01414</t>
  </si>
  <si>
    <t>ORD-01972</t>
  </si>
  <si>
    <t>ORD-01618</t>
  </si>
  <si>
    <t>ORD-01703</t>
  </si>
  <si>
    <t>ORD-02268</t>
  </si>
  <si>
    <t>ORD-02120</t>
  </si>
  <si>
    <t>ORD-01154</t>
  </si>
  <si>
    <t>ORD-01203</t>
  </si>
  <si>
    <t>ORD-01913</t>
  </si>
  <si>
    <t>ORD-01396</t>
  </si>
  <si>
    <t>ORD-01391</t>
  </si>
  <si>
    <t>ORD-02341</t>
  </si>
  <si>
    <t>ORD-02202</t>
  </si>
  <si>
    <t>ORD-01085</t>
  </si>
  <si>
    <t>ORD-02467</t>
  </si>
  <si>
    <t>ORD-02233</t>
  </si>
  <si>
    <t>ORD-02290</t>
  </si>
  <si>
    <t>ORD-01268</t>
  </si>
  <si>
    <t>ORD-01218</t>
  </si>
  <si>
    <t>ORD-01179</t>
  </si>
  <si>
    <t>ORD-01787</t>
  </si>
  <si>
    <t>ORD-02197</t>
  </si>
  <si>
    <t>ORD-01431</t>
  </si>
  <si>
    <t>ORD-01566</t>
  </si>
  <si>
    <t>ORD-02332</t>
  </si>
  <si>
    <t>ORD-01488</t>
  </si>
  <si>
    <t>ORD-01762</t>
  </si>
  <si>
    <t>ORD-02239</t>
  </si>
  <si>
    <t>ORD-02084</t>
  </si>
  <si>
    <t>ORD-02207</t>
  </si>
  <si>
    <t>ORD-01741</t>
  </si>
  <si>
    <t>ORD-01739</t>
  </si>
  <si>
    <t>ORD-01679</t>
  </si>
  <si>
    <t>ORD-01267</t>
  </si>
  <si>
    <t>ORD-02131</t>
  </si>
  <si>
    <t>ORD-02399</t>
  </si>
  <si>
    <t>ORD-02371</t>
  </si>
  <si>
    <t>ORD-01199</t>
  </si>
  <si>
    <t>ORD-01229</t>
  </si>
  <si>
    <t>ORD-02438</t>
  </si>
  <si>
    <t>ORD-01685</t>
  </si>
  <si>
    <t>ORD-02435</t>
  </si>
  <si>
    <t>ORD-02007</t>
  </si>
  <si>
    <t>ORD-01517</t>
  </si>
  <si>
    <t>ORD-01379</t>
  </si>
  <si>
    <t>ORD-01883</t>
  </si>
  <si>
    <t>ORD-01207</t>
  </si>
  <si>
    <t>ORD-02243</t>
  </si>
  <si>
    <t>ORD-01574</t>
  </si>
  <si>
    <t>ORD-01967</t>
  </si>
  <si>
    <t>ORD-01585</t>
  </si>
  <si>
    <t>ORD-01435</t>
  </si>
  <si>
    <t>ORD-01659</t>
  </si>
  <si>
    <t>ORD-02353</t>
  </si>
  <si>
    <t>ORD-01084</t>
  </si>
  <si>
    <t>ORD-01373</t>
  </si>
  <si>
    <t>ORD-01098</t>
  </si>
  <si>
    <t>ORD-01656</t>
  </si>
  <si>
    <t>ORD-01506</t>
  </si>
  <si>
    <t>ORD-01857</t>
  </si>
  <si>
    <t>ORD-01719</t>
  </si>
  <si>
    <t>ORD-01575</t>
  </si>
  <si>
    <t>ORD-01745</t>
  </si>
  <si>
    <t>ORD-01552</t>
  </si>
  <si>
    <t>ORD-01226</t>
  </si>
  <si>
    <t>ORD-01624</t>
  </si>
  <si>
    <t>ORD-01106</t>
  </si>
  <si>
    <t>ORD-02319</t>
  </si>
  <si>
    <t>ORD-01875</t>
  </si>
  <si>
    <t>ORD-02045</t>
  </si>
  <si>
    <t>ORD-01126</t>
  </si>
  <si>
    <t>ORD-01982</t>
  </si>
  <si>
    <t>ORD-01873</t>
  </si>
  <si>
    <t>ORD-01689</t>
  </si>
  <si>
    <t>ORD-01455</t>
  </si>
  <si>
    <t>ORD-01474</t>
  </si>
  <si>
    <t>ORD-02298</t>
  </si>
  <si>
    <t>ORD-02434</t>
  </si>
  <si>
    <t>ORD-01628</t>
  </si>
  <si>
    <t>ORD-02076</t>
  </si>
  <si>
    <t>ORD-01835</t>
  </si>
  <si>
    <t>ORD-01779</t>
  </si>
  <si>
    <t>ORD-01105</t>
  </si>
  <si>
    <t>ORD-01187</t>
  </si>
  <si>
    <t>ORD-01409</t>
  </si>
  <si>
    <t>ORD-02263</t>
  </si>
  <si>
    <t>ORD-01037</t>
  </si>
  <si>
    <t>ORD-01874</t>
  </si>
  <si>
    <t>ORD-01300</t>
  </si>
  <si>
    <t>ORD-01394</t>
  </si>
  <si>
    <t>ORD-01561</t>
  </si>
  <si>
    <t>ORD-01079</t>
  </si>
  <si>
    <t>ORD-01822</t>
  </si>
  <si>
    <t>ORD-01271</t>
  </si>
  <si>
    <t>ORD-01247</t>
  </si>
  <si>
    <t>ORD-01470</t>
  </si>
  <si>
    <t>ORD-01305</t>
  </si>
  <si>
    <t>ORD-02300</t>
  </si>
  <si>
    <t>ORD-02289</t>
  </si>
  <si>
    <t>ORD-02211</t>
  </si>
  <si>
    <t>ORD-01387</t>
  </si>
  <si>
    <t>ORD-01372</t>
  </si>
  <si>
    <t>ORD-02252</t>
  </si>
  <si>
    <t>ORD-02029</t>
  </si>
  <si>
    <t>ORD-02485</t>
  </si>
  <si>
    <t>ORD-01212</t>
  </si>
  <si>
    <t>ORD-02447</t>
  </si>
  <si>
    <t>ORD-01971</t>
  </si>
  <si>
    <t>ORD-01407</t>
  </si>
  <si>
    <t>ORD-02495</t>
  </si>
  <si>
    <t>ORD-02365</t>
  </si>
  <si>
    <t>ORD-01507</t>
  </si>
  <si>
    <t>ORD-02436</t>
  </si>
  <si>
    <t>ORD-01540</t>
  </si>
  <si>
    <t>ORD-01236</t>
  </si>
  <si>
    <t>ORD-01576</t>
  </si>
  <si>
    <t>ORD-01511</t>
  </si>
  <si>
    <t>ORD-01383</t>
  </si>
  <si>
    <t>ORD-02048</t>
  </si>
  <si>
    <t>ORD-01313</t>
  </si>
  <si>
    <t>ORD-02265</t>
  </si>
  <si>
    <t>ORD-01508</t>
  </si>
  <si>
    <t>ORD-01879</t>
  </si>
  <si>
    <t>ORD-01170</t>
  </si>
  <si>
    <t>ORD-01996</t>
  </si>
  <si>
    <t>ORD-01578</t>
  </si>
  <si>
    <t>ORD-01593</t>
  </si>
  <si>
    <t>ORD-01984</t>
  </si>
  <si>
    <t>ORD-01890</t>
  </si>
  <si>
    <t>ORD-01017</t>
  </si>
  <si>
    <t>ORD-02223</t>
  </si>
  <si>
    <t>ORD-01880</t>
  </si>
  <si>
    <t>ORD-01701</t>
  </si>
  <si>
    <t>ORD-02390</t>
  </si>
  <si>
    <t>ORD-01107</t>
  </si>
  <si>
    <t>ORD-01485</t>
  </si>
  <si>
    <t>ORD-02402</t>
  </si>
  <si>
    <t>ORD-02025</t>
  </si>
  <si>
    <t>ORD-01705</t>
  </si>
  <si>
    <t>ORD-01319</t>
  </si>
  <si>
    <t>ORD-01259</t>
  </si>
  <si>
    <t>ORD-01044</t>
  </si>
  <si>
    <t>ORD-01221</t>
  </si>
  <si>
    <t>ORD-01225</t>
  </si>
  <si>
    <t>ORD-01270</t>
  </si>
  <si>
    <t>ORD-01797</t>
  </si>
  <si>
    <t>ORD-02487</t>
  </si>
  <si>
    <t>ORD-02028</t>
  </si>
  <si>
    <t>ORD-01819</t>
  </si>
  <si>
    <t>ORD-01666</t>
  </si>
  <si>
    <t>ORD-01261</t>
  </si>
  <si>
    <t>ORD-02463</t>
  </si>
  <si>
    <t>Row Labels</t>
  </si>
  <si>
    <t>Grand Total</t>
  </si>
  <si>
    <t>Column Labels</t>
  </si>
  <si>
    <t>Sum of Quantity</t>
  </si>
  <si>
    <t>Sum of Revenue</t>
  </si>
  <si>
    <t>Year_month</t>
  </si>
  <si>
    <t>Unit Price</t>
  </si>
  <si>
    <t>Order Size</t>
  </si>
  <si>
    <t>High Value Orders</t>
  </si>
  <si>
    <t>Week</t>
  </si>
  <si>
    <t>Large</t>
  </si>
  <si>
    <t>Medium</t>
  </si>
  <si>
    <t>Small</t>
  </si>
  <si>
    <t>Formula1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</si>
  <si>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</si>
  <si>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</si>
  <si>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</si>
  <si>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</si>
  <si>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</si>
  <si>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</si>
  <si>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</si>
  <si>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</si>
  <si>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</si>
  <si>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</si>
  <si>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</si>
  <si>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</si>
  <si>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</si>
  <si>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</si>
  <si>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</si>
  <si>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</si>
  <si>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</si>
  <si>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</si>
  <si>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</si>
  <si>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</si>
  <si>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</si>
  <si>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</si>
  <si>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</si>
  <si>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</si>
  <si>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Count of High Value Orders</t>
  </si>
  <si>
    <t>Weekday</t>
  </si>
  <si>
    <t>Weekend</t>
  </si>
  <si>
    <t>Standard</t>
  </si>
  <si>
    <t>VIP</t>
  </si>
  <si>
    <t>Total</t>
  </si>
  <si>
    <t>Average</t>
  </si>
  <si>
    <t>Median</t>
  </si>
  <si>
    <t>Minimum</t>
  </si>
  <si>
    <t>Maximum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</si>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</sst>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" fontId="0" fillId="0" borderId="0" xfId="0" applyNumberFormat="1"/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[sales_data_dashboard.xlsx]Tables!PivotTable6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Tables!$B$3:$B$4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Tables!$A$5:$A$8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Tables!$B$5:$B$8</c:f>
              <c:numCache>
                <c:formatCode>#,##0.00</c:formatCode>
                <c:ptCount val="3"/>
                <c:pt idx="2">
                  <c:v>9037248.5999999996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B-47C7-A308-C3991F32D4B3}"/>
            </c:ext>
          </c:extLst>
        </c:ser>
        <c:ser>
          <c:idx val="1"/>
          <c:order val="1"/>
          <c:tx>
            <c:strRef>
              <c:f>Tables!$C$3:$C$4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Tables!$A$5:$A$8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Tables!$C$5:$C$8</c:f>
              <c:numCache>
                <c:formatCode>#,##0.00</c:formatCode>
                <c:ptCount val="3"/>
                <c:pt idx="1">
                  <c:v>1392352.1999999995</c:v>
                </c:pt>
                <c:pt idx="2">
                  <c:v>2411662.8399999989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B-47C7-A308-C3991F32D4B3}"/>
            </c:ext>
          </c:extLst>
        </c:ser>
        <c:ser>
          <c:idx val="2"/>
          <c:order val="2"/>
          <c:tx>
            <c:strRef>
              <c:f>Tables!$D$3:$D$4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Tables!$A$5:$A$8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Tables!$D$5:$D$8</c:f>
              <c:numCache>
                <c:formatCode>#,##0.00</c:formatCode>
                <c:ptCount val="3"/>
                <c:pt idx="0">
                  <c:v>391312.59999999957</c:v>
                </c:pt>
                <c:pt idx="1">
                  <c:v>255444.04000000004</c:v>
                </c:pt>
                <c:pt idx="2">
                  <c:v>155242.98000000004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2B-47C7-A308-C3991F32D4B3}"/>
            </c:ext>
          </c:extLst>
        </c:ser>
        <c:ser>
          <c:idx val="3"/>
          <c:order val="3"/>
          <c:tx>
            <c:strRef>
              <c:f>Tables!$E$3:$E$4</c:f>
              <c:strCache>
                <c:ptCount val="1"/>
                <c:pt idx="0">
                  <c:v>Formula1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Tables!$A$5:$A$8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Tables!$E$5:$E$8</c:f>
              <c:numCache>
                <c:formatCode>#,##0.00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4E2B-47C7-A308-C3991F32D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5941727"/>
        <c:axId val="900700191"/>
        <c:axId val="0"/>
      </c:bar3DChart>
      <c:catAx>
        <c:axId val="100594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00191"/>
        <c:crosses val="autoZero"/>
        <c:auto val="1"/>
        <c:lblAlgn val="ctr"/>
        <c:lblOffset val="100"/>
        <c:noMultiLvlLbl val="0"/>
      </c:catAx>
      <c:valAx>
        <c:axId val="90070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94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[sales_data_dashboard.xlsx]Tables!PivotTable7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09519014315192"/>
          <c:y val="0.21923032944700166"/>
          <c:w val="0.66349597809099126"/>
          <c:h val="0.530760881993889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Tables!$A$13:$A$15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Tables!$B$13:$B$15</c:f>
              <c:numCache>
                <c:formatCode>#,##0.00</c:formatCode>
                <c:ptCount val="2"/>
                <c:pt idx="0">
                  <c:v>10019224.440000016</c:v>
                </c:pt>
                <c:pt idx="1">
                  <c:v>3624038.8200000003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22-480B-B782-E797A4F83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5589407"/>
        <c:axId val="977364703"/>
      </c:barChart>
      <c:catAx>
        <c:axId val="108558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64703"/>
        <c:crosses val="autoZero"/>
        <c:auto val="1"/>
        <c:lblAlgn val="ctr"/>
        <c:lblOffset val="100"/>
        <c:noMultiLvlLbl val="0"/>
      </c:catAx>
      <c:valAx>
        <c:axId val="97736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8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[sales_data_dashboard.xlsx]Tables!PivotTable9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Tables!$H$4:$H$6</c:f>
              <c:strCache>
                <c:ptCount val="2"/>
                <c:pt idx="0">
                  <c:v>Standard</c:v>
                </c:pt>
                <c:pt idx="1">
                  <c:v>VIP</c:v>
                </c:pt>
              </c:strCache>
            </c:strRef>
          </c:cat>
          <c:val>
            <c:numRef>
              <c:f>Tables!$I$4:$I$6</c:f>
              <c:numCache>
                <c:formatCode>#,##0.00</c:formatCode>
                <c:ptCount val="2"/>
                <c:pt idx="0">
                  <c:v>8127722.2799999956</c:v>
                </c:pt>
                <c:pt idx="1">
                  <c:v>5515540.9800000014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7-4305-9EA0-07EC54454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614927"/>
        <c:axId val="977355103"/>
      </c:barChart>
      <c:catAx>
        <c:axId val="108561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55103"/>
        <c:crosses val="autoZero"/>
        <c:auto val="1"/>
        <c:lblAlgn val="ctr"/>
        <c:lblOffset val="100"/>
        <c:noMultiLvlLbl val="0"/>
      </c:catAx>
      <c:valAx>
        <c:axId val="97735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1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[sales_data_dashboard.xlsx]Tables!PivotTable10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Tables!$E$21:$E$22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Tables!$D$23:$D$26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Tables!$E$23:$E$26</c:f>
              <c:numCache>
                <c:formatCode>0</c:formatCode>
                <c:ptCount val="3"/>
                <c:pt idx="0">
                  <c:v>1343</c:v>
                </c:pt>
                <c:pt idx="1">
                  <c:v>908</c:v>
                </c:pt>
                <c:pt idx="2">
                  <c:v>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6-4FB4-811A-CBFBBFAF5226}"/>
            </c:ext>
          </c:extLst>
        </c:ser>
        <c:ser>
          <c:idx val="1"/>
          <c:order val="1"/>
          <c:tx>
            <c:strRef>
              <c:f>Tables!$F$21:$F$22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Tables!$D$23:$D$26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Tables!$F$23:$F$26</c:f>
              <c:numCache>
                <c:formatCode>0</c:formatCode>
                <c:ptCount val="3"/>
                <c:pt idx="0">
                  <c:v>1454</c:v>
                </c:pt>
                <c:pt idx="1">
                  <c:v>643</c:v>
                </c:pt>
                <c:pt idx="2">
                  <c:v>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6-4FB4-811A-CBFBBFAF5226}"/>
            </c:ext>
          </c:extLst>
        </c:ser>
        <c:ser>
          <c:idx val="2"/>
          <c:order val="2"/>
          <c:tx>
            <c:strRef>
              <c:f>Tables!$G$21:$G$22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Tables!$D$23:$D$26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Tables!$G$23:$G$26</c:f>
              <c:numCache>
                <c:formatCode>0</c:formatCode>
                <c:ptCount val="3"/>
                <c:pt idx="0">
                  <c:v>1812</c:v>
                </c:pt>
                <c:pt idx="1">
                  <c:v>806</c:v>
                </c:pt>
                <c:pt idx="2">
                  <c:v>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46-4FB4-811A-CBFBBFAF5226}"/>
            </c:ext>
          </c:extLst>
        </c:ser>
        <c:ser>
          <c:idx val="3"/>
          <c:order val="3"/>
          <c:tx>
            <c:strRef>
              <c:f>Tables!$H$21:$H$22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Tables!$D$23:$D$26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Tables!$H$23:$H$26</c:f>
              <c:numCache>
                <c:formatCode>0</c:formatCode>
                <c:ptCount val="3"/>
                <c:pt idx="0">
                  <c:v>1642</c:v>
                </c:pt>
                <c:pt idx="1">
                  <c:v>665</c:v>
                </c:pt>
                <c:pt idx="2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46-4FB4-811A-CBFBBFAF5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0191119"/>
        <c:axId val="977373343"/>
      </c:barChart>
      <c:catAx>
        <c:axId val="108019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73343"/>
        <c:crosses val="autoZero"/>
        <c:auto val="1"/>
        <c:lblAlgn val="ctr"/>
        <c:lblOffset val="100"/>
        <c:noMultiLvlLbl val="0"/>
      </c:catAx>
      <c:valAx>
        <c:axId val="9773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19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[sales_data_dashboard.xlsx]Tables!PivotTable11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473259025925859E-2"/>
          <c:y val="0.25602303626775308"/>
          <c:w val="0.72753716183067452"/>
          <c:h val="0.66011708264362656"/>
        </c:manualLayout>
      </c:layout>
      <c:areaChart>
        <c:grouping val="standard"/>
        <c:varyColors val="0"/>
        <c:ser>
          <c:idx val="0"/>
          <c:order val="0"/>
          <c:tx>
            <c:strRef>
              <c:f>Tables!$E$12:$E$13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Tables!$D$14:$D$17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Tables!$E$14:$E$17</c:f>
              <c:numCache>
                <c:formatCode>General</c:formatCode>
                <c:ptCount val="3"/>
                <c:pt idx="0">
                  <c:v>186</c:v>
                </c:pt>
                <c:pt idx="1">
                  <c:v>245</c:v>
                </c:pt>
                <c:pt idx="2">
                  <c:v>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6-4A10-B53F-3A5D0C0A7620}"/>
            </c:ext>
          </c:extLst>
        </c:ser>
        <c:ser>
          <c:idx val="1"/>
          <c:order val="1"/>
          <c:tx>
            <c:strRef>
              <c:f>Tables!$F$12:$F$13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Tables!$D$14:$D$17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Tables!$F$14:$F$17</c:f>
              <c:numCache>
                <c:formatCode>General</c:formatCode>
                <c:ptCount val="3"/>
                <c:pt idx="0">
                  <c:v>89</c:v>
                </c:pt>
                <c:pt idx="1">
                  <c:v>103</c:v>
                </c:pt>
                <c:pt idx="2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6-4A10-B53F-3A5D0C0A7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73407"/>
        <c:axId val="977376703"/>
      </c:areaChart>
      <c:catAx>
        <c:axId val="1090973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76703"/>
        <c:crosses val="autoZero"/>
        <c:auto val="1"/>
        <c:lblAlgn val="ctr"/>
        <c:lblOffset val="100"/>
        <c:noMultiLvlLbl val="0"/>
      </c:catAx>
      <c:valAx>
        <c:axId val="97737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73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[sales_data_dashboard.xlsx]Tables!PivotTable12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Tables!$B$19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Tables!$A$20:$A$44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Tables!$B$20:$B$44</c:f>
              <c:numCache>
                <c:formatCode>#,##0.00</c:formatCode>
                <c:ptCount val="24"/>
                <c:pt idx="0">
                  <c:v>580446.72999999986</c:v>
                </c:pt>
                <c:pt idx="1">
                  <c:v>506251.48999999993</c:v>
                </c:pt>
                <c:pt idx="2">
                  <c:v>523589.61</c:v>
                </c:pt>
                <c:pt idx="3">
                  <c:v>421703.06</c:v>
                </c:pt>
                <c:pt idx="4">
                  <c:v>546820.00999999989</c:v>
                </c:pt>
                <c:pt idx="5">
                  <c:v>605649.98</c:v>
                </c:pt>
                <c:pt idx="6">
                  <c:v>511926.46000000008</c:v>
                </c:pt>
                <c:pt idx="7">
                  <c:v>457660.81</c:v>
                </c:pt>
                <c:pt idx="8">
                  <c:v>495722.25999999995</c:v>
                </c:pt>
                <c:pt idx="9">
                  <c:v>539724.15</c:v>
                </c:pt>
                <c:pt idx="10">
                  <c:v>475748.64</c:v>
                </c:pt>
                <c:pt idx="11">
                  <c:v>481114.10999999993</c:v>
                </c:pt>
                <c:pt idx="12">
                  <c:v>462414.78</c:v>
                </c:pt>
                <c:pt idx="13">
                  <c:v>742981.47</c:v>
                </c:pt>
                <c:pt idx="14">
                  <c:v>704845.31999999972</c:v>
                </c:pt>
                <c:pt idx="15">
                  <c:v>662612.53999999992</c:v>
                </c:pt>
                <c:pt idx="16">
                  <c:v>615190.08000000019</c:v>
                </c:pt>
                <c:pt idx="17">
                  <c:v>494026.59</c:v>
                </c:pt>
                <c:pt idx="18">
                  <c:v>690526.87000000023</c:v>
                </c:pt>
                <c:pt idx="19">
                  <c:v>609663.32999999973</c:v>
                </c:pt>
                <c:pt idx="20">
                  <c:v>398249.66999999993</c:v>
                </c:pt>
                <c:pt idx="21">
                  <c:v>846139.82999999984</c:v>
                </c:pt>
                <c:pt idx="22">
                  <c:v>586554.05999999994</c:v>
                </c:pt>
                <c:pt idx="23">
                  <c:v>683701.4099999998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BA-4538-AC2B-E1B2B16D4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7054879"/>
        <c:axId val="977353663"/>
      </c:lineChart>
      <c:catAx>
        <c:axId val="122705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53663"/>
        <c:crosses val="autoZero"/>
        <c:auto val="1"/>
        <c:lblAlgn val="ctr"/>
        <c:lblOffset val="100"/>
        <c:noMultiLvlLbl val="0"/>
      </c:catAx>
      <c:valAx>
        <c:axId val="97735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5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497719</xdr:colOff>
      <xdr:row>10</xdr:row>
      <xdr:rowOff>111881</xdr:rowOff>
    </xdr:from>
    <xdr:to>
      <xdr:col>8</xdr:col>
      <xdr:colOff>192919</xdr:colOff>
      <xdr:row>25</xdr:row>
      <xdr:rowOff>92831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40853-ECA4-446E-8A91-950D52F2C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354878</xdr:colOff>
      <xdr:row>27</xdr:row>
      <xdr:rowOff>167043</xdr:rowOff>
    </xdr:from>
    <xdr:to>
      <xdr:col>8</xdr:col>
      <xdr:colOff>50078</xdr:colOff>
      <xdr:row>42</xdr:row>
      <xdr:rowOff>147991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3FDBC9-704F-497F-A926-279EE9F31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16094</xdr:colOff>
      <xdr:row>10</xdr:row>
      <xdr:rowOff>52185</xdr:rowOff>
    </xdr:from>
    <xdr:to>
      <xdr:col>16</xdr:col>
      <xdr:colOff>286481</xdr:colOff>
      <xdr:row>25</xdr:row>
      <xdr:rowOff>30063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819C4A-963D-44E9-876C-7C916C4C5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40480</xdr:colOff>
      <xdr:row>27</xdr:row>
      <xdr:rowOff>86813</xdr:rowOff>
    </xdr:from>
    <xdr:to>
      <xdr:col>16</xdr:col>
      <xdr:colOff>310867</xdr:colOff>
      <xdr:row>42</xdr:row>
      <xdr:rowOff>64690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A2B9BE-B9B4-4272-99D6-6B4C7F1AF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123096</xdr:colOff>
      <xdr:row>16</xdr:row>
      <xdr:rowOff>92461</xdr:rowOff>
    </xdr:from>
    <xdr:to>
      <xdr:col>24</xdr:col>
      <xdr:colOff>393858</xdr:colOff>
      <xdr:row>31</xdr:row>
      <xdr:rowOff>70338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16584F-CF5D-4742-8D5A-49D115EED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592392</xdr:colOff>
      <xdr:row>33</xdr:row>
      <xdr:rowOff>10309</xdr:rowOff>
    </xdr:from>
    <xdr:to>
      <xdr:col>25</xdr:col>
      <xdr:colOff>285506</xdr:colOff>
      <xdr:row>47</xdr:row>
      <xdr:rowOff>166355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036045-6DDB-406E-9FB7-4DEDA276B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303811</xdr:colOff>
      <xdr:row>1</xdr:row>
      <xdr:rowOff>91776</xdr:rowOff>
    </xdr:from>
    <xdr:to>
      <xdr:col>18</xdr:col>
      <xdr:colOff>299277</xdr:colOff>
      <xdr:row>8</xdr:row>
      <xdr:rowOff>169966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9" name="OrderDate">
              <a:extLst>
                <a:ext uri="{FF2B5EF4-FFF2-40B4-BE49-F238E27FC236}">
                  <a16:creationId xmlns:a16="http://schemas.microsoft.com/office/drawing/2014/main" id="{EB458433-AB35-4152-AA4B-465275AB98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09411" y="278043"/>
              <a:ext cx="4465866" cy="13820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16</xdr:col>
      <xdr:colOff>590902</xdr:colOff>
      <xdr:row>10</xdr:row>
      <xdr:rowOff>141110</xdr:rowOff>
    </xdr:from>
    <xdr:to>
      <xdr:col>22</xdr:col>
      <xdr:colOff>476250</xdr:colOff>
      <xdr:row>15</xdr:row>
      <xdr:rowOff>61735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E6F98C-6CFB-1272-73B5-0246A8BBF7ED}"/>
            </a:ext>
          </a:extLst>
        </xdr:cNvPr>
        <xdr:cNvSpPr txBox="1"/>
      </xdr:nvSpPr>
      <xdr:spPr>
        <a:xfrm>
          <a:off x="10327569" y="1993193"/>
          <a:ext cx="4030487" cy="846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600">
              <a:solidFill>
                <a:schemeClr val="accent1">
                  <a:lumMod val="75000"/>
                </a:schemeClr>
              </a:solidFill>
              <a:latin typeface="Arial Black" panose="020B0A04020102020204" pitchFamily="34" charset="0"/>
            </a:rPr>
            <a:t>Summary Stats</a:t>
          </a:r>
        </a:p>
      </xdr:txBody>
    </xdr:sp>
    <xdr:clientData/>
  </xdr:twoCellAnchor>
  <xdr:oneCellAnchor>
    <xdr:from>
      <xdr:col>1</xdr:col>
      <xdr:colOff>45358</xdr:colOff>
      <xdr:row>2</xdr:row>
      <xdr:rowOff>151191</xdr:rowOff>
    </xdr:from>
    <xdr:ext cx="5881310" cy="96039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C77FA6A-D039-C395-5334-2DF44083A12A}"/>
            </a:ext>
          </a:extLst>
        </xdr:cNvPr>
        <xdr:cNvSpPr txBox="1"/>
      </xdr:nvSpPr>
      <xdr:spPr>
        <a:xfrm>
          <a:off x="650120" y="514048"/>
          <a:ext cx="5881310" cy="960391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4800">
              <a:solidFill>
                <a:schemeClr val="accent1">
                  <a:lumMod val="75000"/>
                </a:schemeClr>
              </a:solidFill>
              <a:latin typeface="Arial Black" panose="020B0A04020102020204" pitchFamily="34" charset="0"/>
            </a:rPr>
            <a:t>Sales 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08.680171643522" createdVersion="8" refreshedVersion="8" minRefreshableVersion="3" recordCount="1525" xr:uid="{89050298-E370-4A31-A823-E5B6C8DD7EB0}">
  <cacheSource type="worksheet">
    <worksheetSource ref="A1:M1526" sheet="sales_data"/>
  </cacheSource>
  <cacheFields count="13">
    <cacheField name="OrderID" numFmtId="0">
      <sharedItems/>
    </cacheField>
    <cacheField name="OrderDate" numFmtId="14">
      <sharedItems containsSemiMixedTypes="0" containsNonDate="0" containsDate="1" containsString="0" minDate="2023-01-02T00:00:00" maxDate="2024-12-31T00:00:00" count="635">
        <d v="2024-08-18T00:00:00"/>
        <d v="2023-10-23T00:00:00"/>
        <d v="2023-08-29T00:00:00"/>
        <d v="2023-01-08T00:00:00"/>
        <d v="2024-11-04T00:00:00"/>
        <d v="2024-04-10T00:00:00"/>
        <d v="2023-08-22T00:00:00"/>
        <d v="2023-12-19T00:00:00"/>
        <d v="2023-04-25T00:00:00"/>
        <d v="2024-12-11T00:00:00"/>
        <d v="2024-12-06T00:00:00"/>
        <d v="2024-07-11T00:00:00"/>
        <d v="2024-08-07T00:00:00"/>
        <d v="2024-08-29T00:00:00"/>
        <d v="2024-03-08T00:00:00"/>
        <d v="2023-11-26T00:00:00"/>
        <d v="2023-06-21T00:00:00"/>
        <d v="2023-07-30T00:00:00"/>
        <d v="2023-09-01T00:00:00"/>
        <d v="2024-04-09T00:00:00"/>
        <d v="2024-03-15T00:00:00"/>
        <d v="2024-08-03T00:00:00"/>
        <d v="2024-05-21T00:00:00"/>
        <d v="2024-02-08T00:00:00"/>
        <d v="2024-10-01T00:00:00"/>
        <d v="2024-07-19T00:00:00"/>
        <d v="2023-03-30T00:00:00"/>
        <d v="2023-06-29T00:00:00"/>
        <d v="2024-04-02T00:00:00"/>
        <d v="2023-10-17T00:00:00"/>
        <d v="2024-04-20T00:00:00"/>
        <d v="2024-08-15T00:00:00"/>
        <d v="2023-11-14T00:00:00"/>
        <d v="2023-09-07T00:00:00"/>
        <d v="2024-06-01T00:00:00"/>
        <d v="2024-07-15T00:00:00"/>
        <d v="2024-12-20T00:00:00"/>
        <d v="2024-10-10T00:00:00"/>
        <d v="2024-02-25T00:00:00"/>
        <d v="2023-01-25T00:00:00"/>
        <d v="2024-08-02T00:00:00"/>
        <d v="2023-07-26T00:00:00"/>
        <d v="2023-02-04T00:00:00"/>
        <d v="2023-01-24T00:00:00"/>
        <d v="2023-07-14T00:00:00"/>
        <d v="2023-10-14T00:00:00"/>
        <d v="2023-11-30T00:00:00"/>
        <d v="2024-03-23T00:00:00"/>
        <d v="2023-11-12T00:00:00"/>
        <d v="2023-03-23T00:00:00"/>
        <d v="2023-05-07T00:00:00"/>
        <d v="2024-02-09T00:00:00"/>
        <d v="2024-05-01T00:00:00"/>
        <d v="2023-03-11T00:00:00"/>
        <d v="2023-03-08T00:00:00"/>
        <d v="2024-04-26T00:00:00"/>
        <d v="2024-08-08T00:00:00"/>
        <d v="2024-11-20T00:00:00"/>
        <d v="2024-07-13T00:00:00"/>
        <d v="2023-01-23T00:00:00"/>
        <d v="2023-01-11T00:00:00"/>
        <d v="2024-10-12T00:00:00"/>
        <d v="2023-12-27T00:00:00"/>
        <d v="2024-11-18T00:00:00"/>
        <d v="2023-11-18T00:00:00"/>
        <d v="2024-02-11T00:00:00"/>
        <d v="2024-10-16T00:00:00"/>
        <d v="2023-01-17T00:00:00"/>
        <d v="2023-04-07T00:00:00"/>
        <d v="2023-10-10T00:00:00"/>
        <d v="2024-05-19T00:00:00"/>
        <d v="2024-07-23T00:00:00"/>
        <d v="2024-09-18T00:00:00"/>
        <d v="2024-06-20T00:00:00"/>
        <d v="2023-03-04T00:00:00"/>
        <d v="2024-03-24T00:00:00"/>
        <d v="2024-10-11T00:00:00"/>
        <d v="2023-07-12T00:00:00"/>
        <d v="2023-06-06T00:00:00"/>
        <d v="2024-08-01T00:00:00"/>
        <d v="2023-02-17T00:00:00"/>
        <d v="2023-03-18T00:00:00"/>
        <d v="2024-12-13T00:00:00"/>
        <d v="2024-03-05T00:00:00"/>
        <d v="2023-09-26T00:00:00"/>
        <d v="2024-12-14T00:00:00"/>
        <d v="2024-02-20T00:00:00"/>
        <d v="2024-11-15T00:00:00"/>
        <d v="2024-10-09T00:00:00"/>
        <d v="2023-07-24T00:00:00"/>
        <d v="2023-06-11T00:00:00"/>
        <d v="2024-01-18T00:00:00"/>
        <d v="2023-11-19T00:00:00"/>
        <d v="2024-05-05T00:00:00"/>
        <d v="2023-11-03T00:00:00"/>
        <d v="2023-03-06T00:00:00"/>
        <d v="2023-06-12T00:00:00"/>
        <d v="2023-01-31T00:00:00"/>
        <d v="2023-06-23T00:00:00"/>
        <d v="2023-09-21T00:00:00"/>
        <d v="2024-12-19T00:00:00"/>
        <d v="2023-03-20T00:00:00"/>
        <d v="2024-01-20T00:00:00"/>
        <d v="2023-07-07T00:00:00"/>
        <d v="2023-02-12T00:00:00"/>
        <d v="2024-05-28T00:00:00"/>
        <d v="2023-04-20T00:00:00"/>
        <d v="2024-02-10T00:00:00"/>
        <d v="2024-04-04T00:00:00"/>
        <d v="2024-09-16T00:00:00"/>
        <d v="2024-04-15T00:00:00"/>
        <d v="2023-12-22T00:00:00"/>
        <d v="2023-09-24T00:00:00"/>
        <d v="2024-07-02T00:00:00"/>
        <d v="2023-08-17T00:00:00"/>
        <d v="2024-02-18T00:00:00"/>
        <d v="2023-09-25T00:00:00"/>
        <d v="2023-10-28T00:00:00"/>
        <d v="2023-04-09T00:00:00"/>
        <d v="2023-05-12T00:00:00"/>
        <d v="2024-02-24T00:00:00"/>
        <d v="2024-02-04T00:00:00"/>
        <d v="2024-07-10T00:00:00"/>
        <d v="2024-12-30T00:00:00"/>
        <d v="2024-12-07T00:00:00"/>
        <d v="2023-02-26T00:00:00"/>
        <d v="2024-08-11T00:00:00"/>
        <d v="2023-07-08T00:00:00"/>
        <d v="2023-10-21T00:00:00"/>
        <d v="2023-02-24T00:00:00"/>
        <d v="2024-07-06T00:00:00"/>
        <d v="2024-08-12T00:00:00"/>
        <d v="2024-04-25T00:00:00"/>
        <d v="2023-09-16T00:00:00"/>
        <d v="2024-03-18T00:00:00"/>
        <d v="2024-09-27T00:00:00"/>
        <d v="2023-02-01T00:00:00"/>
        <d v="2023-09-08T00:00:00"/>
        <d v="2023-11-29T00:00:00"/>
        <d v="2024-11-22T00:00:00"/>
        <d v="2023-05-01T00:00:00"/>
        <d v="2024-10-27T00:00:00"/>
        <d v="2023-08-26T00:00:00"/>
        <d v="2023-03-19T00:00:00"/>
        <d v="2024-03-11T00:00:00"/>
        <d v="2024-06-04T00:00:00"/>
        <d v="2024-08-21T00:00:00"/>
        <d v="2024-06-30T00:00:00"/>
        <d v="2023-09-06T00:00:00"/>
        <d v="2023-06-16T00:00:00"/>
        <d v="2023-01-04T00:00:00"/>
        <d v="2024-01-17T00:00:00"/>
        <d v="2023-01-07T00:00:00"/>
        <d v="2023-12-31T00:00:00"/>
        <d v="2024-09-25T00:00:00"/>
        <d v="2024-07-22T00:00:00"/>
        <d v="2023-02-23T00:00:00"/>
        <d v="2023-02-03T00:00:00"/>
        <d v="2023-01-27T00:00:00"/>
        <d v="2023-07-31T00:00:00"/>
        <d v="2023-10-15T00:00:00"/>
        <d v="2023-03-05T00:00:00"/>
        <d v="2024-09-21T00:00:00"/>
        <d v="2024-04-13T00:00:00"/>
        <d v="2024-09-15T00:00:00"/>
        <d v="2024-12-24T00:00:00"/>
        <d v="2023-04-15T00:00:00"/>
        <d v="2023-05-19T00:00:00"/>
        <d v="2024-05-11T00:00:00"/>
        <d v="2023-10-25T00:00:00"/>
        <d v="2023-02-10T00:00:00"/>
        <d v="2023-09-23T00:00:00"/>
        <d v="2023-12-12T00:00:00"/>
        <d v="2024-10-28T00:00:00"/>
        <d v="2024-04-16T00:00:00"/>
        <d v="2023-11-06T00:00:00"/>
        <d v="2023-01-15T00:00:00"/>
        <d v="2024-11-07T00:00:00"/>
        <d v="2024-01-05T00:00:00"/>
        <d v="2023-09-27T00:00:00"/>
        <d v="2023-05-17T00:00:00"/>
        <d v="2023-01-16T00:00:00"/>
        <d v="2023-09-13T00:00:00"/>
        <d v="2023-12-06T00:00:00"/>
        <d v="2024-01-22T00:00:00"/>
        <d v="2023-04-18T00:00:00"/>
        <d v="2024-06-18T00:00:00"/>
        <d v="2023-03-24T00:00:00"/>
        <d v="2023-05-31T00:00:00"/>
        <d v="2023-04-03T00:00:00"/>
        <d v="2024-05-23T00:00:00"/>
        <d v="2024-10-08T00:00:00"/>
        <d v="2023-12-28T00:00:00"/>
        <d v="2023-12-20T00:00:00"/>
        <d v="2024-04-29T00:00:00"/>
        <d v="2024-06-22T00:00:00"/>
        <d v="2024-10-02T00:00:00"/>
        <d v="2024-11-09T00:00:00"/>
        <d v="2023-10-02T00:00:00"/>
        <d v="2024-09-12T00:00:00"/>
        <d v="2024-05-24T00:00:00"/>
        <d v="2024-05-12T00:00:00"/>
        <d v="2023-05-22T00:00:00"/>
        <d v="2023-01-10T00:00:00"/>
        <d v="2023-05-11T00:00:00"/>
        <d v="2023-02-20T00:00:00"/>
        <d v="2023-06-20T00:00:00"/>
        <d v="2023-05-08T00:00:00"/>
        <d v="2024-03-16T00:00:00"/>
        <d v="2024-09-30T00:00:00"/>
        <d v="2024-10-19T00:00:00"/>
        <d v="2024-12-03T00:00:00"/>
        <d v="2023-11-02T00:00:00"/>
        <d v="2024-04-01T00:00:00"/>
        <d v="2024-11-24T00:00:00"/>
        <d v="2023-02-02T00:00:00"/>
        <d v="2024-11-01T00:00:00"/>
        <d v="2024-02-23T00:00:00"/>
        <d v="2023-06-08T00:00:00"/>
        <d v="2023-12-24T00:00:00"/>
        <d v="2024-05-31T00:00:00"/>
        <d v="2024-06-24T00:00:00"/>
        <d v="2023-06-02T00:00:00"/>
        <d v="2023-11-05T00:00:00"/>
        <d v="2024-08-31T00:00:00"/>
        <d v="2023-11-13T00:00:00"/>
        <d v="2023-12-23T00:00:00"/>
        <d v="2024-07-30T00:00:00"/>
        <d v="2024-07-17T00:00:00"/>
        <d v="2023-03-07T00:00:00"/>
        <d v="2023-07-02T00:00:00"/>
        <d v="2024-07-03T00:00:00"/>
        <d v="2023-08-20T00:00:00"/>
        <d v="2023-10-29T00:00:00"/>
        <d v="2023-01-28T00:00:00"/>
        <d v="2024-04-08T00:00:00"/>
        <d v="2024-02-28T00:00:00"/>
        <d v="2023-02-21T00:00:00"/>
        <d v="2023-03-16T00:00:00"/>
        <d v="2023-04-27T00:00:00"/>
        <d v="2024-07-29T00:00:00"/>
        <d v="2023-08-04T00:00:00"/>
        <d v="2024-07-20T00:00:00"/>
        <d v="2024-09-20T00:00:00"/>
        <d v="2023-09-22T00:00:00"/>
        <d v="2023-04-29T00:00:00"/>
        <d v="2023-02-11T00:00:00"/>
        <d v="2023-06-28T00:00:00"/>
        <d v="2023-10-07T00:00:00"/>
        <d v="2024-05-22T00:00:00"/>
        <d v="2023-09-04T00:00:00"/>
        <d v="2024-01-09T00:00:00"/>
        <d v="2023-02-09T00:00:00"/>
        <d v="2023-05-02T00:00:00"/>
        <d v="2023-03-09T00:00:00"/>
        <d v="2023-05-20T00:00:00"/>
        <d v="2024-10-13T00:00:00"/>
        <d v="2023-06-30T00:00:00"/>
        <d v="2024-06-27T00:00:00"/>
        <d v="2023-10-12T00:00:00"/>
        <d v="2024-08-13T00:00:00"/>
        <d v="2024-10-31T00:00:00"/>
        <d v="2024-02-26T00:00:00"/>
        <d v="2024-04-18T00:00:00"/>
        <d v="2024-12-02T00:00:00"/>
        <d v="2023-11-04T00:00:00"/>
        <d v="2024-02-07T00:00:00"/>
        <d v="2024-04-06T00:00:00"/>
        <d v="2023-03-01T00:00:00"/>
        <d v="2023-02-13T00:00:00"/>
        <d v="2023-05-30T00:00:00"/>
        <d v="2024-10-30T00:00:00"/>
        <d v="2024-07-27T00:00:00"/>
        <d v="2023-06-27T00:00:00"/>
        <d v="2024-07-07T00:00:00"/>
        <d v="2023-07-18T00:00:00"/>
        <d v="2023-05-03T00:00:00"/>
        <d v="2023-01-20T00:00:00"/>
        <d v="2024-10-24T00:00:00"/>
        <d v="2023-10-20T00:00:00"/>
        <d v="2023-09-10T00:00:00"/>
        <d v="2023-06-10T00:00:00"/>
        <d v="2023-10-22T00:00:00"/>
        <d v="2024-03-01T00:00:00"/>
        <d v="2023-05-16T00:00:00"/>
        <d v="2024-01-01T00:00:00"/>
        <d v="2024-01-14T00:00:00"/>
        <d v="2023-11-17T00:00:00"/>
        <d v="2023-08-27T00:00:00"/>
        <d v="2024-07-21T00:00:00"/>
        <d v="2024-03-31T00:00:00"/>
        <d v="2024-07-18T00:00:00"/>
        <d v="2023-10-24T00:00:00"/>
        <d v="2024-05-08T00:00:00"/>
        <d v="2024-01-02T00:00:00"/>
        <d v="2023-03-03T00:00:00"/>
        <d v="2023-06-05T00:00:00"/>
        <d v="2023-10-19T00:00:00"/>
        <d v="2023-05-25T00:00:00"/>
        <d v="2024-01-07T00:00:00"/>
        <d v="2024-06-10T00:00:00"/>
        <d v="2024-12-04T00:00:00"/>
        <d v="2024-12-26T00:00:00"/>
        <d v="2024-11-14T00:00:00"/>
        <d v="2023-07-04T00:00:00"/>
        <d v="2024-07-28T00:00:00"/>
        <d v="2024-04-07T00:00:00"/>
        <d v="2023-11-27T00:00:00"/>
        <d v="2023-02-16T00:00:00"/>
        <d v="2024-10-21T00:00:00"/>
        <d v="2023-12-18T00:00:00"/>
        <d v="2024-04-30T00:00:00"/>
        <d v="2023-10-26T00:00:00"/>
        <d v="2024-01-29T00:00:00"/>
        <d v="2024-02-19T00:00:00"/>
        <d v="2024-05-07T00:00:00"/>
        <d v="2024-02-13T00:00:00"/>
        <d v="2023-06-09T00:00:00"/>
        <d v="2023-04-06T00:00:00"/>
        <d v="2023-04-10T00:00:00"/>
        <d v="2023-04-12T00:00:00"/>
        <d v="2023-01-03T00:00:00"/>
        <d v="2023-10-01T00:00:00"/>
        <d v="2024-02-05T00:00:00"/>
        <d v="2023-12-16T00:00:00"/>
        <d v="2024-10-29T00:00:00"/>
        <d v="2024-06-08T00:00:00"/>
        <d v="2023-11-07T00:00:00"/>
        <d v="2024-03-14T00:00:00"/>
        <d v="2024-10-25T00:00:00"/>
        <d v="2024-04-05T00:00:00"/>
        <d v="2024-07-31T00:00:00"/>
        <d v="2024-08-09T00:00:00"/>
        <d v="2024-03-03T00:00:00"/>
        <d v="2023-05-10T00:00:00"/>
        <d v="2023-08-05T00:00:00"/>
        <d v="2024-01-12T00:00:00"/>
        <d v="2023-03-13T00:00:00"/>
        <d v="2024-11-17T00:00:00"/>
        <d v="2023-11-23T00:00:00"/>
        <d v="2023-06-07T00:00:00"/>
        <d v="2024-05-17T00:00:00"/>
        <d v="2024-11-21T00:00:00"/>
        <d v="2023-04-08T00:00:00"/>
        <d v="2023-09-03T00:00:00"/>
        <d v="2024-10-18T00:00:00"/>
        <d v="2024-10-20T00:00:00"/>
        <d v="2024-02-22T00:00:00"/>
        <d v="2024-08-05T00:00:00"/>
        <d v="2023-05-13T00:00:00"/>
        <d v="2024-12-05T00:00:00"/>
        <d v="2023-10-27T00:00:00"/>
        <d v="2024-06-15T00:00:00"/>
        <d v="2023-07-17T00:00:00"/>
        <d v="2024-03-28T00:00:00"/>
        <d v="2024-01-08T00:00:00"/>
        <d v="2024-01-03T00:00:00"/>
        <d v="2024-12-21T00:00:00"/>
        <d v="2024-01-04T00:00:00"/>
        <d v="2023-08-07T00:00:00"/>
        <d v="2024-10-26T00:00:00"/>
        <d v="2024-09-04T00:00:00"/>
        <d v="2024-10-07T00:00:00"/>
        <d v="2024-09-24T00:00:00"/>
        <d v="2024-06-11T00:00:00"/>
        <d v="2024-12-08T00:00:00"/>
        <d v="2023-08-16T00:00:00"/>
        <d v="2023-08-08T00:00:00"/>
        <d v="2024-08-14T00:00:00"/>
        <d v="2024-06-19T00:00:00"/>
        <d v="2024-03-20T00:00:00"/>
        <d v="2024-01-13T00:00:00"/>
        <d v="2024-04-17T00:00:00"/>
        <d v="2023-07-06T00:00:00"/>
        <d v="2023-12-10T00:00:00"/>
        <d v="2023-06-22T00:00:00"/>
        <d v="2024-05-18T00:00:00"/>
        <d v="2023-11-24T00:00:00"/>
        <d v="2023-12-15T00:00:00"/>
        <d v="2023-08-31T00:00:00"/>
        <d v="2024-06-26T00:00:00"/>
        <d v="2023-06-19T00:00:00"/>
        <d v="2024-01-26T00:00:00"/>
        <d v="2024-12-25T00:00:00"/>
        <d v="2023-08-09T00:00:00"/>
        <d v="2023-01-02T00:00:00"/>
        <d v="2024-04-21T00:00:00"/>
        <d v="2023-12-02T00:00:00"/>
        <d v="2024-05-06T00:00:00"/>
        <d v="2024-04-19T00:00:00"/>
        <d v="2023-08-30T00:00:00"/>
        <d v="2023-04-23T00:00:00"/>
        <d v="2023-07-05T00:00:00"/>
        <d v="2024-12-22T00:00:00"/>
        <d v="2023-12-11T00:00:00"/>
        <d v="2023-05-26T00:00:00"/>
        <d v="2024-07-12T00:00:00"/>
        <d v="2023-10-13T00:00:00"/>
        <d v="2024-05-26T00:00:00"/>
        <d v="2024-02-27T00:00:00"/>
        <d v="2024-08-24T00:00:00"/>
        <d v="2024-09-08T00:00:00"/>
        <d v="2024-11-23T00:00:00"/>
        <d v="2024-02-29T00:00:00"/>
        <d v="2024-05-16T00:00:00"/>
        <d v="2024-04-14T00:00:00"/>
        <d v="2024-05-27T00:00:00"/>
        <d v="2024-02-02T00:00:00"/>
        <d v="2024-09-01T00:00:00"/>
        <d v="2024-02-03T00:00:00"/>
        <d v="2024-03-09T00:00:00"/>
        <d v="2024-10-17T00:00:00"/>
        <d v="2024-04-12T00:00:00"/>
        <d v="2023-08-06T00:00:00"/>
        <d v="2023-06-01T00:00:00"/>
        <d v="2024-06-28T00:00:00"/>
        <d v="2024-03-06T00:00:00"/>
        <d v="2024-12-29T00:00:00"/>
        <d v="2023-11-15T00:00:00"/>
        <d v="2023-03-27T00:00:00"/>
        <d v="2023-01-12T00:00:00"/>
        <d v="2024-02-06T00:00:00"/>
        <d v="2023-06-14T00:00:00"/>
        <d v="2023-04-21T00:00:00"/>
        <d v="2023-01-30T00:00:00"/>
        <d v="2023-07-16T00:00:00"/>
        <d v="2023-11-16T00:00:00"/>
        <d v="2023-05-14T00:00:00"/>
        <d v="2024-01-21T00:00:00"/>
        <d v="2024-09-06T00:00:00"/>
        <d v="2023-10-18T00:00:00"/>
        <d v="2023-01-05T00:00:00"/>
        <d v="2024-08-06T00:00:00"/>
        <d v="2024-03-29T00:00:00"/>
        <d v="2024-11-03T00:00:00"/>
        <d v="2023-03-21T00:00:00"/>
        <d v="2024-05-10T00:00:00"/>
        <d v="2023-09-11T00:00:00"/>
        <d v="2023-11-25T00:00:00"/>
        <d v="2023-06-25T00:00:00"/>
        <d v="2024-11-29T00:00:00"/>
        <d v="2024-05-02T00:00:00"/>
        <d v="2024-08-20T00:00:00"/>
        <d v="2024-06-25T00:00:00"/>
        <d v="2023-08-14T00:00:00"/>
        <d v="2023-05-27T00:00:00"/>
        <d v="2024-03-13T00:00:00"/>
        <d v="2024-03-02T00:00:00"/>
        <d v="2023-09-29T00:00:00"/>
        <d v="2024-04-28T00:00:00"/>
        <d v="2024-02-12T00:00:00"/>
        <d v="2023-04-14T00:00:00"/>
        <d v="2024-11-05T00:00:00"/>
        <d v="2023-11-28T00:00:00"/>
        <d v="2024-11-11T00:00:00"/>
        <d v="2024-12-15T00:00:00"/>
        <d v="2024-11-30T00:00:00"/>
        <d v="2024-06-09T00:00:00"/>
        <d v="2024-08-28T00:00:00"/>
        <d v="2024-11-28T00:00:00"/>
        <d v="2023-11-08T00:00:00"/>
        <d v="2024-11-10T00:00:00"/>
        <d v="2023-12-03T00:00:00"/>
        <d v="2023-09-12T00:00:00"/>
        <d v="2023-03-29T00:00:00"/>
        <d v="2023-11-20T00:00:00"/>
        <d v="2024-10-04T00:00:00"/>
        <d v="2023-07-20T00:00:00"/>
        <d v="2024-05-14T00:00:00"/>
        <d v="2023-01-13T00:00:00"/>
        <d v="2024-08-04T00:00:00"/>
        <d v="2024-03-27T00:00:00"/>
        <d v="2024-07-14T00:00:00"/>
        <d v="2023-01-26T00:00:00"/>
        <d v="2023-06-17T00:00:00"/>
        <d v="2023-02-15T00:00:00"/>
        <d v="2023-09-18T00:00:00"/>
        <d v="2024-10-03T00:00:00"/>
        <d v="2023-12-05T00:00:00"/>
        <d v="2024-09-23T00:00:00"/>
        <d v="2023-10-04T00:00:00"/>
        <d v="2024-11-06T00:00:00"/>
        <d v="2023-08-13T00:00:00"/>
        <d v="2023-04-01T00:00:00"/>
        <d v="2023-09-15T00:00:00"/>
        <d v="2023-10-30T00:00:00"/>
        <d v="2024-07-08T00:00:00"/>
        <d v="2023-12-29T00:00:00"/>
        <d v="2024-11-19T00:00:00"/>
        <d v="2023-07-23T00:00:00"/>
        <d v="2024-05-20T00:00:00"/>
        <d v="2024-10-15T00:00:00"/>
        <d v="2024-10-06T00:00:00"/>
        <d v="2023-02-06T00:00:00"/>
        <d v="2023-12-14T00:00:00"/>
        <d v="2023-08-18T00:00:00"/>
        <d v="2023-07-29T00:00:00"/>
        <d v="2024-11-27T00:00:00"/>
        <d v="2024-07-25T00:00:00"/>
        <d v="2023-04-13T00:00:00"/>
        <d v="2023-06-18T00:00:00"/>
        <d v="2023-02-25T00:00:00"/>
        <d v="2023-06-04T00:00:00"/>
        <d v="2023-04-26T00:00:00"/>
        <d v="2024-09-17T00:00:00"/>
        <d v="2023-05-21T00:00:00"/>
        <d v="2023-02-28T00:00:00"/>
        <d v="2023-04-30T00:00:00"/>
        <d v="2024-05-25T00:00:00"/>
        <d v="2023-04-19T00:00:00"/>
        <d v="2024-10-23T00:00:00"/>
        <d v="2023-01-21T00:00:00"/>
        <d v="2024-07-09T00:00:00"/>
        <d v="2024-11-08T00:00:00"/>
        <d v="2024-02-15T00:00:00"/>
        <d v="2024-01-24T00:00:00"/>
        <d v="2023-06-24T00:00:00"/>
        <d v="2023-09-19T00:00:00"/>
        <d v="2023-12-08T00:00:00"/>
        <d v="2024-11-16T00:00:00"/>
        <d v="2024-03-17T00:00:00"/>
        <d v="2023-09-30T00:00:00"/>
        <d v="2024-11-02T00:00:00"/>
        <d v="2024-06-13T00:00:00"/>
        <d v="2023-03-28T00:00:00"/>
        <d v="2024-12-23T00:00:00"/>
        <d v="2024-07-26T00:00:00"/>
        <d v="2023-07-19T00:00:00"/>
        <d v="2024-08-17T00:00:00"/>
        <d v="2024-09-03T00:00:00"/>
        <d v="2024-04-27T00:00:00"/>
        <d v="2023-02-08T00:00:00"/>
        <d v="2024-07-24T00:00:00"/>
        <d v="2023-07-10T00:00:00"/>
        <d v="2024-02-17T00:00:00"/>
        <d v="2023-05-18T00:00:00"/>
        <d v="2023-12-13T00:00:00"/>
        <d v="2023-07-28T00:00:00"/>
        <d v="2023-04-24T00:00:00"/>
        <d v="2023-04-17T00:00:00"/>
        <d v="2023-12-26T00:00:00"/>
        <d v="2024-02-21T00:00:00"/>
        <d v="2024-09-10T00:00:00"/>
        <d v="2024-08-22T00:00:00"/>
        <d v="2023-01-22T00:00:00"/>
        <d v="2023-04-22T00:00:00"/>
        <d v="2024-03-21T00:00:00"/>
        <d v="2024-06-17T00:00:00"/>
        <d v="2023-08-19T00:00:00"/>
        <d v="2023-12-04T00:00:00"/>
        <d v="2024-07-16T00:00:00"/>
        <d v="2024-09-11T00:00:00"/>
        <d v="2023-02-22T00:00:00"/>
        <d v="2023-09-14T00:00:00"/>
        <d v="2023-12-09T00:00:00"/>
        <d v="2023-10-31T00:00:00"/>
        <d v="2024-07-04T00:00:00"/>
        <d v="2023-11-01T00:00:00"/>
        <d v="2024-06-07T00:00:00"/>
        <d v="2024-08-10T00:00:00"/>
        <d v="2024-06-14T00:00:00"/>
        <d v="2023-08-28T00:00:00"/>
        <d v="2024-04-24T00:00:00"/>
        <d v="2023-08-15T00:00:00"/>
        <d v="2023-10-05T00:00:00"/>
        <d v="2024-03-10T00:00:00"/>
        <d v="2023-04-05T00:00:00"/>
        <d v="2023-12-17T00:00:00"/>
        <d v="2023-10-03T00:00:00"/>
        <d v="2024-08-16T00:00:00"/>
        <d v="2024-09-02T00:00:00"/>
        <d v="2024-01-28T00:00:00"/>
        <d v="2023-05-29T00:00:00"/>
        <d v="2023-02-14T00:00:00"/>
        <d v="2023-09-28T00:00:00"/>
        <d v="2023-06-03T00:00:00"/>
        <d v="2024-08-30T00:00:00"/>
        <d v="2023-05-24T00:00:00"/>
        <d v="2023-05-28T00:00:00"/>
        <d v="2024-11-25T00:00:00"/>
        <d v="2024-01-11T00:00:00"/>
        <d v="2024-04-23T00:00:00"/>
        <d v="2024-01-25T00:00:00"/>
        <d v="2024-09-29T00:00:00"/>
        <d v="2024-06-12T00:00:00"/>
        <d v="2024-10-22T00:00:00"/>
        <d v="2024-08-19T00:00:00"/>
        <d v="2024-12-18T00:00:00"/>
        <d v="2023-09-05T00:00:00"/>
        <d v="2023-03-10T00:00:00"/>
        <d v="2023-05-06T00:00:00"/>
        <d v="2023-07-01T00:00:00"/>
        <d v="2024-09-13T00:00:00"/>
        <d v="2024-09-26T00:00:00"/>
        <d v="2023-03-22T00:00:00"/>
        <d v="2024-06-23T00:00:00"/>
        <d v="2023-03-17T00:00:00"/>
        <d v="2023-07-13T00:00:00"/>
        <d v="2023-02-05T00:00:00"/>
        <d v="2024-12-27T00:00:00"/>
        <d v="2024-11-13T00:00:00"/>
        <d v="2023-02-27T00:00:00"/>
        <d v="2024-01-06T00:00:00"/>
        <d v="2023-10-06T00:00:00"/>
        <d v="2024-05-13T00:00:00"/>
        <d v="2024-02-16T00:00:00"/>
        <d v="2024-03-30T00:00:00"/>
        <d v="2023-08-11T00:00:00"/>
        <d v="2023-03-15T00:00:00"/>
        <d v="2023-09-17T00:00:00"/>
        <d v="2024-08-23T00:00:00"/>
        <d v="2023-10-08T00:00:00"/>
        <d v="2024-04-03T00:00:00"/>
        <d v="2024-12-01T00:00:00"/>
        <d v="2024-02-14T00:00:00"/>
        <d v="2024-06-03T00:00:00"/>
        <d v="2024-04-22T00:00:00"/>
        <d v="2024-06-21T00:00:00"/>
        <d v="2024-01-19T00:00:00"/>
        <d v="2023-03-25T00:00:00"/>
        <d v="2024-09-07T00:00:00"/>
        <d v="2024-10-14T00:00:00"/>
        <d v="2024-03-19T00:00:00"/>
        <d v="2023-05-04T00:00:00"/>
        <d v="2024-10-05T00:00:00"/>
        <d v="2023-10-11T00:00:00"/>
        <d v="2024-09-05T00:00:00"/>
        <d v="2023-12-01T00:00:00"/>
        <d v="2024-05-29T00:00:00"/>
        <d v="2023-06-13T00:00:00"/>
        <d v="2024-03-04T00:00:00"/>
        <d v="2023-05-05T00:00:00"/>
        <d v="2024-01-15T00:00:00"/>
        <d v="2023-11-09T00:00:00"/>
        <d v="2023-07-11T00:00:00"/>
      </sharedItems>
    </cacheField>
    <cacheField name="CustomerName" numFmtId="0">
      <sharedItems/>
    </cacheField>
    <cacheField name="Region" numFmtId="0">
      <sharedItems count="4">
        <s v="South"/>
        <s v="North"/>
        <s v="West"/>
        <s v="East"/>
      </sharedItems>
    </cacheField>
    <cacheField name="ProductCategory" numFmtId="0">
      <sharedItems count="4">
        <s v="Furniture"/>
        <s v="Office Supplies"/>
        <s v="Electronics"/>
        <s v="Formula1" f="1"/>
      </sharedItems>
    </cacheField>
    <cacheField name="Revenue" numFmtId="4">
      <sharedItems containsSemiMixedTypes="0" containsString="0" containsNumber="1" minValue="0" maxValue="44972.31"/>
    </cacheField>
    <cacheField name="Quantity" numFmtId="1">
      <sharedItems containsSemiMixedTypes="0" containsString="0" containsNumber="1" containsInteger="1" minValue="0" maxValue="30"/>
    </cacheField>
    <cacheField name="Status" numFmtId="0">
      <sharedItems count="3">
        <s v="Returned"/>
        <s v="Active"/>
        <s v="Cancelled"/>
      </sharedItems>
    </cacheField>
    <cacheField name="Year_month" numFmtId="0">
      <sharedItems count="24">
        <s v="2024-08"/>
        <s v="2023-10"/>
        <s v="2023-08"/>
        <s v="2023-01"/>
        <s v="2024-11"/>
        <s v="2024-04"/>
        <s v="2023-12"/>
        <s v="2023-04"/>
        <s v="2024-12"/>
        <s v="2024-07"/>
        <s v="2024-03"/>
        <s v="2023-11"/>
        <s v="2023-06"/>
        <s v="2023-07"/>
        <s v="2023-09"/>
        <s v="2024-05"/>
        <s v="2024-02"/>
        <s v="2024-10"/>
        <s v="2023-03"/>
        <s v="2024-06"/>
        <s v="2023-02"/>
        <s v="2023-05"/>
        <s v="2024-09"/>
        <s v="2024-01"/>
      </sharedItems>
    </cacheField>
    <cacheField name="Unit Price" numFmtId="4">
      <sharedItems containsSemiMixedTypes="0" containsString="0" containsNumber="1" minValue="0" maxValue="44731.18" count="1251">
        <n v="0"/>
        <n v="985.27"/>
        <n v="44.972000000000001"/>
        <n v="3.5628571428571427"/>
        <n v="158.70142857142858"/>
        <n v="2242.4271428571428"/>
        <n v="265.62692307692311"/>
        <n v="118.15636363636364"/>
        <n v="10356.23"/>
        <n v="294.70499999999998"/>
        <n v="3913.3433333333337"/>
        <n v="688.1"/>
        <n v="14604.764999999999"/>
        <n v="12665.996666666666"/>
        <n v="12.54"/>
        <n v="390.58833333333337"/>
        <n v="215.18"/>
        <n v="155.35545454545456"/>
        <n v="11594.47"/>
        <n v="6405.5"/>
        <n v="3164.835"/>
        <n v="6714.7924999999996"/>
        <n v="23504.85"/>
        <n v="2836.1366666666668"/>
        <n v="10943.807500000001"/>
        <n v="13145.67"/>
        <n v="218.513125"/>
        <n v="28.852380952380951"/>
        <n v="21.17761904761905"/>
        <n v="1842.6271428571429"/>
        <n v="15665.23"/>
        <n v="955.57"/>
        <n v="3058.28"/>
        <n v="204.60999999999999"/>
        <n v="1885.87"/>
        <n v="3119.81"/>
        <n v="2531.0499999999997"/>
        <n v="1040.07"/>
        <n v="3691.46"/>
        <n v="12299.426666666666"/>
        <n v="5761.54"/>
        <n v="8222.1450000000004"/>
        <n v="7312.2950000000001"/>
        <n v="5798.87"/>
        <n v="660.03599999999994"/>
        <n v="5149.68"/>
        <n v="162.43714285714285"/>
        <n v="145.92444444444445"/>
        <n v="543.48333333333335"/>
        <n v="2012.1285714285714"/>
        <n v="2156.7150000000001"/>
        <n v="52.04"/>
        <n v="129.55666666666667"/>
        <n v="2571.312857142857"/>
        <n v="145.715"/>
        <n v="1345.47"/>
        <n v="634.84500000000003"/>
        <n v="90.355000000000004"/>
        <n v="999.92000000000007"/>
        <n v="138.43687499999999"/>
        <n v="30207.24"/>
        <n v="50.863793103448273"/>
        <n v="26.055000000000003"/>
        <n v="478.36"/>
        <n v="68.847499999999997"/>
        <n v="65.890555555555551"/>
        <n v="78.696666666666673"/>
        <n v="2622.16"/>
        <n v="209.86500000000001"/>
        <n v="39.429411764705883"/>
        <n v="2186.06"/>
        <n v="5945.59"/>
        <n v="161.94058823529411"/>
        <n v="101.08928571428571"/>
        <n v="8637.4033333333336"/>
        <n v="207.49555555555557"/>
        <n v="3424.05"/>
        <n v="304.4842857142857"/>
        <n v="194.7525"/>
        <n v="28.393928571428571"/>
        <n v="1994.8612499999999"/>
        <n v="10126.64"/>
        <n v="10862.28"/>
        <n v="182.19624999999999"/>
        <n v="4185.8779999999997"/>
        <n v="1349.2033333333334"/>
        <n v="8.4983333333333331"/>
        <n v="2587.4324999999999"/>
        <n v="7413.54"/>
        <n v="1469.04"/>
        <n v="5501.1766666666663"/>
        <n v="301.11444444444447"/>
        <n v="94.938000000000002"/>
        <n v="2572.7820000000002"/>
        <n v="7165.0899999999992"/>
        <n v="4244.26"/>
        <n v="869.88"/>
        <n v="338.952"/>
        <n v="896.16399999999999"/>
        <n v="13924.57"/>
        <n v="18949.23"/>
        <n v="190"/>
        <n v="110.202"/>
        <n v="3437.2839999999997"/>
        <n v="19173.060000000001"/>
        <n v="839.53000000000009"/>
        <n v="3052.46"/>
        <n v="85.220454545454544"/>
        <n v="160.38249999999999"/>
        <n v="10975.066666666666"/>
        <n v="10072.486666666666"/>
        <n v="194.81636363636363"/>
        <n v="388.09428571428572"/>
        <n v="38.624615384615382"/>
        <n v="2186.35"/>
        <n v="22.86090909090909"/>
        <n v="15.6944"/>
        <n v="14131.52"/>
        <n v="39.022222222222219"/>
        <n v="84.768333333333331"/>
        <n v="2092.7566666666667"/>
        <n v="17745.169999999998"/>
        <n v="159.30705882352939"/>
        <n v="5242.74"/>
        <n v="871.98749999999995"/>
        <n v="5251.17"/>
        <n v="526.27499999999998"/>
        <n v="16836.52"/>
        <n v="108.97842105263159"/>
        <n v="2085.184285714286"/>
        <n v="7303.4949999999999"/>
        <n v="1288.6979999999999"/>
        <n v="2909.2466666666664"/>
        <n v="19527.419999999998"/>
        <n v="24387.02"/>
        <n v="6462.0239999999994"/>
        <n v="33.733333333333334"/>
        <n v="51.916296296296295"/>
        <n v="12588.663333333332"/>
        <n v="17.437272727272727"/>
        <n v="2266.3583333333331"/>
        <n v="35767.03"/>
        <n v="282.505"/>
        <n v="11859.67"/>
        <n v="1894.105"/>
        <n v="1177.0157142857145"/>
        <n v="707.67"/>
        <n v="205.24444444444444"/>
        <n v="8217.7625000000007"/>
        <n v="102.4012"/>
        <n v="407.41800000000001"/>
        <n v="36124.400000000001"/>
        <n v="7232.9633333333331"/>
        <n v="5293.0474999999997"/>
        <n v="325.3125"/>
        <n v="3571.5549999999998"/>
        <n v="1140.4083333333333"/>
        <n v="4362.0874999999996"/>
        <n v="20321.935000000001"/>
        <n v="26827.3"/>
        <n v="2402.585"/>
        <n v="13295.64"/>
        <n v="6736.9674999999997"/>
        <n v="62.667777777777779"/>
        <n v="1275.5340000000001"/>
        <n v="900.33624999999995"/>
        <n v="967.28750000000002"/>
        <n v="3773.14"/>
        <n v="17003.34"/>
        <n v="16745.23"/>
        <n v="3970.49"/>
        <n v="8604.5249999999996"/>
        <n v="7204.8975"/>
        <n v="1835.13"/>
        <n v="103.98529411764706"/>
        <n v="841.21"/>
        <n v="9035.1849999999995"/>
        <n v="5352.15"/>
        <n v="48.715555555555554"/>
        <n v="209.215"/>
        <n v="62.146666666666668"/>
        <n v="13041.97"/>
        <n v="1794.7349999999999"/>
        <n v="172.50105263157894"/>
        <n v="8960.7659999999996"/>
        <n v="1856.6799999999998"/>
        <n v="9.8173333333333321"/>
        <n v="3676.11"/>
        <n v="14176.946666666665"/>
        <n v="1922.3642857142856"/>
        <n v="145.74529411764706"/>
        <n v="704.64499999999998"/>
        <n v="2662.2033333333334"/>
        <n v="99.032307692307697"/>
        <n v="58.237142857142864"/>
        <n v="191.58909090909091"/>
        <n v="2066.5574999999999"/>
        <n v="14326.6"/>
        <n v="2938.5374999999999"/>
        <n v="4020.603333333333"/>
        <n v="376.65714285714284"/>
        <n v="11894.61"/>
        <n v="2305.88"/>
        <n v="6969.62"/>
        <n v="2823.92"/>
        <n v="13561.525"/>
        <n v="6122.7759999999998"/>
        <n v="44731.18"/>
        <n v="6107.54"/>
        <n v="72.26111111111112"/>
        <n v="7313.05"/>
        <n v="1238.17"/>
        <n v="16.824642857142855"/>
        <n v="7382.6220000000003"/>
        <n v="67.969615384615381"/>
        <n v="1174.3928571428571"/>
        <n v="96.631923076923073"/>
        <n v="469.65750000000003"/>
        <n v="8996.7450000000008"/>
        <n v="7623.19"/>
        <n v="115.5396551724138"/>
        <n v="543.45749999999998"/>
        <n v="202.81461538461539"/>
        <n v="1363.2280000000001"/>
        <n v="678.21"/>
        <n v="3857.4349999999999"/>
        <n v="12388.59"/>
        <n v="299.03666666666669"/>
        <n v="325.75875000000002"/>
        <n v="153.31090909090909"/>
        <n v="70.606363636363639"/>
        <n v="78.053600000000003"/>
        <n v="595.99749999999995"/>
        <n v="34.535999999999994"/>
        <n v="114.23464285714286"/>
        <n v="205.61333333333334"/>
        <n v="4451.8325000000004"/>
        <n v="4875.9766666666665"/>
        <n v="30537.84"/>
        <n v="9998.49"/>
        <n v="261.91125"/>
        <n v="12895.19"/>
        <n v="7868.8850000000002"/>
        <n v="758.47249999999997"/>
        <n v="30421.74"/>
        <n v="10213.246666666668"/>
        <n v="7076.1580000000004"/>
        <n v="77.755172413793105"/>
        <n v="4776.2550000000001"/>
        <n v="1893.3812499999999"/>
        <n v="646.32000000000005"/>
        <n v="8691.5300000000007"/>
        <n v="16931.88"/>
        <n v="4087.56"/>
        <n v="827.32500000000005"/>
        <n v="3827.24"/>
        <n v="5181.54"/>
        <n v="503.09"/>
        <n v="165.81846153846152"/>
        <n v="67.711249999999993"/>
        <n v="624.95666666666659"/>
        <n v="22439.65"/>
        <n v="208.98545454545456"/>
        <n v="23.096"/>
        <n v="210.16076923076923"/>
        <n v="114.41818181818181"/>
        <n v="1993.8080000000002"/>
        <n v="114.92117647058824"/>
        <n v="2398.9349999999999"/>
        <n v="11965.29"/>
        <n v="99.460434782608701"/>
        <n v="9526.42"/>
        <n v="4884.8666666666668"/>
        <n v="5057.6400000000003"/>
        <n v="3870.96"/>
        <n v="205.55866666666668"/>
        <n v="63.19464285714286"/>
        <n v="18107.830000000002"/>
        <n v="1278.8700000000001"/>
        <n v="2012.0683333333334"/>
        <n v="3580.1550000000002"/>
        <n v="1044.3979999999999"/>
        <n v="144.14666666666668"/>
        <n v="8858.1350000000002"/>
        <n v="279.66727272727275"/>
        <n v="17261.82"/>
        <n v="13501.353333333333"/>
        <n v="4772.6400000000003"/>
        <n v="6776.7433333333329"/>
        <n v="2495.3200000000002"/>
        <n v="1802.3919999999998"/>
        <n v="1090.99"/>
        <n v="11076.112499999999"/>
        <n v="74.626428571428576"/>
        <n v="21.814583333333331"/>
        <n v="1813.8050000000001"/>
        <n v="789.78599999999994"/>
        <n v="4600.55"/>
        <n v="1114.6812500000001"/>
        <n v="8.6137499999999996"/>
        <n v="5195.0725000000002"/>
        <n v="1048.058"/>
        <n v="1664.6849999999999"/>
        <n v="225.84899999999999"/>
        <n v="7506.8450000000003"/>
        <n v="1819.2983333333334"/>
        <n v="159.28157894736842"/>
        <n v="205.09529411764706"/>
        <n v="19093.03"/>
        <n v="5995.23"/>
        <n v="174.65166666666667"/>
        <n v="42.475555555555552"/>
        <n v="37.265238095238097"/>
        <n v="4409.29"/>
        <n v="2880.71"/>
        <n v="957.08249999999998"/>
        <n v="1954.50875"/>
        <n v="2543.8516666666669"/>
        <n v="90.895555555555546"/>
        <n v="1616.61"/>
        <n v="76.773200000000003"/>
        <n v="1594.6333333333332"/>
        <n v="62.18724137931035"/>
        <n v="34.52428571428571"/>
        <n v="51.915999999999997"/>
        <n v="5574.0866666666661"/>
        <n v="30486.18"/>
        <n v="5938.3850000000002"/>
        <n v="2929.1950000000002"/>
        <n v="171.64875000000001"/>
        <n v="1457.8425"/>
        <n v="197.05571428571429"/>
        <n v="7574.9"/>
        <n v="183.00874999999999"/>
        <n v="599.34500000000003"/>
        <n v="42.741578947368424"/>
        <n v="61.53263157894736"/>
        <n v="205.28941176470587"/>
        <n v="2175.9"/>
        <n v="1935.5650000000001"/>
        <n v="7913.04"/>
        <n v="1225.0928571428572"/>
        <n v="41.9375"/>
        <n v="611.94500000000005"/>
        <n v="678.59"/>
        <n v="8280.3349999999991"/>
        <n v="27.598000000000003"/>
        <n v="45.07692307692308"/>
        <n v="144.28749999999999"/>
        <n v="142.31782608695653"/>
        <n v="619.60500000000002"/>
        <n v="7279.6259999999993"/>
        <n v="36992.94"/>
        <n v="143.27222222222224"/>
        <n v="1102.5962500000001"/>
        <n v="616.17250000000001"/>
        <n v="1996.4762499999999"/>
        <n v="1202.96"/>
        <n v="1263.1579999999999"/>
        <n v="542.96400000000006"/>
        <n v="14246.75"/>
        <n v="870.41875000000005"/>
        <n v="98.811363636363637"/>
        <n v="65.328571428571436"/>
        <n v="64.435625000000002"/>
        <n v="1869.12"/>
        <n v="50.458461538461542"/>
        <n v="3332.665"/>
        <n v="128.91499999999999"/>
        <n v="1161.585"/>
        <n v="65.154761904761898"/>
        <n v="129.24799999999999"/>
        <n v="825.9666666666667"/>
        <n v="3864.2950000000001"/>
        <n v="3208.6966666666667"/>
        <n v="243.66384615384615"/>
        <n v="58.112631578947372"/>
        <n v="15370.67"/>
        <n v="4167.808"/>
        <n v="181.50066666666669"/>
        <n v="15.482068965517241"/>
        <n v="12903.933333333334"/>
        <n v="11818.063333333334"/>
        <n v="1591.5725"/>
        <n v="200.29999999999998"/>
        <n v="12076.286666666667"/>
        <n v="7509.4940000000006"/>
        <n v="107.78523809523809"/>
        <n v="3204.0625"/>
        <n v="2854.1383333333338"/>
        <n v="1192.47"/>
        <n v="159.80937499999999"/>
        <n v="156.815"/>
        <n v="130.79846153846154"/>
        <n v="9090.3333333333339"/>
        <n v="687.28666666666675"/>
        <n v="20511.990000000002"/>
        <n v="227.83846153846156"/>
        <n v="590.1583333333333"/>
        <n v="1362.31"/>
        <n v="8158.56"/>
        <n v="1979.8225"/>
        <n v="3507.6550000000002"/>
        <n v="86.38035714285715"/>
        <n v="12217.39"/>
        <n v="2047.0775000000001"/>
        <n v="8873.5479999999989"/>
        <n v="1327.0866666666668"/>
        <n v="2356.6516666666666"/>
        <n v="163.822"/>
        <n v="13674.22"/>
        <n v="129.52409090909092"/>
        <n v="2855.7766666666666"/>
        <n v="14475.11"/>
        <n v="10758.716666666667"/>
        <n v="10479.460000000001"/>
        <n v="138.03055555555557"/>
        <n v="31527.49"/>
        <n v="13781.795"/>
        <n v="3305.0650000000001"/>
        <n v="7961.44"/>
        <n v="528.1925"/>
        <n v="10866.97"/>
        <n v="101.1332"/>
        <n v="7609.4000000000005"/>
        <n v="824.48"/>
        <n v="16721.88"/>
        <n v="3479.5"/>
        <n v="2082.7199999999998"/>
        <n v="78.7"/>
        <n v="2119.6037500000002"/>
        <n v="390.73250000000002"/>
        <n v="960.90333333333331"/>
        <n v="15314.97"/>
        <n v="64.777999999999992"/>
        <n v="9059.5450000000001"/>
        <n v="7261.7233333333324"/>
        <n v="929.32199999999989"/>
        <n v="105.89882352941176"/>
        <n v="1308.7785714285715"/>
        <n v="54.036666666666662"/>
        <n v="7619.835"/>
        <n v="56.153333333333336"/>
        <n v="2596.3175000000001"/>
        <n v="3455.99"/>
        <n v="3030.3833333333332"/>
        <n v="2122.1242857142856"/>
        <n v="111.03666666666666"/>
        <n v="15485.22"/>
        <n v="595.59"/>
        <n v="16177.46"/>
        <n v="2194.5659999999998"/>
        <n v="16279.16"/>
        <n v="14765.34"/>
        <n v="902.12142857142862"/>
        <n v="10329.695"/>
        <n v="56.339374999999997"/>
        <n v="108.91944444444444"/>
        <n v="2181.5349999999999"/>
        <n v="1071.0775000000001"/>
        <n v="3619.62"/>
        <n v="21.431666666666668"/>
        <n v="21.353103448275863"/>
        <n v="984.46"/>
        <n v="1772.6975"/>
        <n v="480.65499999999997"/>
        <n v="474.0157142857143"/>
        <n v="14700.12"/>
        <n v="2137.732857142857"/>
        <n v="176.03055555555557"/>
        <n v="5.9525000000000006"/>
        <n v="15259.25"/>
        <n v="2881.91"/>
        <n v="4383.3933333333334"/>
        <n v="16288.28"/>
        <n v="667.08749999999998"/>
        <n v="3854.06"/>
        <n v="2781.9949999999999"/>
        <n v="3600.3133333333335"/>
        <n v="49.567142857142862"/>
        <n v="2985.69"/>
        <n v="19697.96"/>
        <n v="2125.5250000000001"/>
        <n v="1382.5914285714284"/>
        <n v="2267.806"/>
        <n v="228.96666666666667"/>
        <n v="46.226666666666667"/>
        <n v="17904.650000000001"/>
        <n v="151.65687500000001"/>
        <n v="2.4434782608695653"/>
        <n v="1948.3050000000001"/>
        <n v="8236.65"/>
        <n v="3221.2599999999998"/>
        <n v="5529.3366666666661"/>
        <n v="13076.913333333332"/>
        <n v="4261.1120000000001"/>
        <n v="56.586428571428577"/>
        <n v="72.219642857142858"/>
        <n v="9223.3050000000003"/>
        <n v="315.54000000000002"/>
        <n v="703.44333333333327"/>
        <n v="96.11"/>
        <n v="2221.1179999999999"/>
        <n v="3774.5066666666667"/>
        <n v="6743.4025000000001"/>
        <n v="202.39500000000001"/>
        <n v="171.465"/>
        <n v="3083.7"/>
        <n v="77.741428571428585"/>
        <n v="5126.04"/>
        <n v="7705.44"/>
        <n v="106.42384615384616"/>
        <n v="1568.1212499999999"/>
        <n v="363.30111111111114"/>
        <n v="7449.9033333333327"/>
        <n v="105.06153846153846"/>
        <n v="275.24571428571431"/>
        <n v="1564.7933333333333"/>
        <n v="155.7590909090909"/>
        <n v="846.81999999999994"/>
        <n v="777.63285714285723"/>
        <n v="10007.9125"/>
        <n v="4285.6099999999997"/>
        <n v="5658.74"/>
        <n v="1672.74"/>
        <n v="4630.2049999999999"/>
        <n v="8069.8"/>
        <n v="1240.376"/>
        <n v="1253.43"/>
        <n v="1406.43"/>
        <n v="6300.22"/>
        <n v="7873.9025000000001"/>
        <n v="87.018461538461537"/>
        <n v="5096.4639999999999"/>
        <n v="6127.1125000000002"/>
        <n v="1713.8080000000002"/>
        <n v="2183.692"/>
        <n v="208.54846153846154"/>
        <n v="10138.540000000001"/>
        <n v="315.84666666666664"/>
        <n v="527.23249999999996"/>
        <n v="40349.769999999997"/>
        <n v="1670.46"/>
        <n v="2421.06"/>
        <n v="360.11399999999998"/>
        <n v="357.73500000000001"/>
        <n v="5989.373333333333"/>
        <n v="10371.272499999999"/>
        <n v="26796.87"/>
        <n v="8996.6200000000008"/>
        <n v="28177.360000000001"/>
        <n v="668.61374999999998"/>
        <n v="306.83499999999998"/>
        <n v="1175.4087500000001"/>
        <n v="419.86500000000001"/>
        <n v="33.323888888888888"/>
        <n v="232.22399999999999"/>
        <n v="5610.1533333333327"/>
        <n v="137.91"/>
        <n v="6900.0360000000001"/>
        <n v="16785.650000000001"/>
        <n v="48.74235294117647"/>
        <n v="30.200833333333335"/>
        <n v="9445.5"/>
        <n v="12.281111111111111"/>
        <n v="3687.5766666666664"/>
        <n v="79.561250000000001"/>
        <n v="3603.7950000000001"/>
        <n v="123.73"/>
        <n v="4848.3"/>
        <n v="12093.035"/>
        <n v="4284.4975000000004"/>
        <n v="10849.844999999999"/>
        <n v="134.6970588235294"/>
        <n v="13056.11"/>
        <n v="1235.80375"/>
        <n v="2005.5975000000001"/>
        <n v="1155.992857142857"/>
        <n v="1851.8866666666665"/>
        <n v="446.08833333333337"/>
        <n v="622.78"/>
        <n v="13530.266666666668"/>
        <n v="1927.27"/>
        <n v="18.911851851851853"/>
        <n v="559.0383333333333"/>
        <n v="819.22249999999997"/>
        <n v="77.408749999999998"/>
        <n v="2847.2733333333331"/>
        <n v="58.174999999999997"/>
        <n v="5590.4350000000004"/>
        <n v="2229.7779999999998"/>
        <n v="9577.7950000000001"/>
        <n v="7128.0474999999997"/>
        <n v="3630.0075000000002"/>
        <n v="992.43799999999987"/>
        <n v="4570.1233333333339"/>
        <n v="42254.75"/>
        <n v="132.20624999999998"/>
        <n v="48.698235294117644"/>
        <n v="203.05909090909091"/>
        <n v="1276.018"/>
        <n v="202.40333333333334"/>
        <n v="2.1350000000000002"/>
        <n v="10039.793333333333"/>
        <n v="1058.52"/>
        <n v="1143.8166666666666"/>
        <n v="145.19499999999999"/>
        <n v="1938.5233333333333"/>
        <n v="21371.595000000001"/>
        <n v="98.605333333333334"/>
        <n v="36.889130434782608"/>
        <n v="86.516800000000003"/>
        <n v="297.80250000000001"/>
        <n v="2165.5614285714287"/>
        <n v="2062.5133333333333"/>
        <n v="99.816428571428574"/>
        <n v="7175.4366666666674"/>
        <n v="11836.220000000001"/>
        <n v="9565.7733333333326"/>
        <n v="163.91692307692307"/>
        <n v="2261.7399999999998"/>
        <n v="189.52294117647057"/>
        <n v="5974.5466666666662"/>
        <n v="3167.3199999999997"/>
        <n v="11.377931034482758"/>
        <n v="396.2128571428571"/>
        <n v="5282.0733333333328"/>
        <n v="8269.2450000000008"/>
        <n v="934.23"/>
        <n v="5824.5999999999995"/>
        <n v="667.09249999999997"/>
        <n v="13887.67"/>
        <n v="51.544545454545457"/>
        <n v="8296.8449999999993"/>
        <n v="2113.79"/>
        <n v="101.58"/>
        <n v="2913.4866666666662"/>
        <n v="1926.9283333333333"/>
        <n v="2580.1819999999998"/>
        <n v="10389.32"/>
        <n v="1719.0033333333333"/>
        <n v="6399.5133333333333"/>
        <n v="4.4220833333333331"/>
        <n v="1365.52"/>
        <n v="1186.4849999999999"/>
        <n v="484.15249999999997"/>
        <n v="7223.384"/>
        <n v="2763.7900000000004"/>
        <n v="3566.47"/>
        <n v="762.37249999999995"/>
        <n v="918.47500000000002"/>
        <n v="1238.9360000000001"/>
        <n v="1697.4114285714284"/>
        <n v="227.988"/>
        <n v="108.08125"/>
        <n v="1095.1300000000001"/>
        <n v="46.554782608695653"/>
        <n v="6099.5933333333332"/>
        <n v="22.80826086956522"/>
        <n v="30165.21"/>
        <n v="1078.7280000000001"/>
        <n v="1622.2375"/>
        <n v="939.38750000000005"/>
        <n v="37.382307692307691"/>
        <n v="3937.89"/>
        <n v="22674.04"/>
        <n v="219.98999999999998"/>
        <n v="58.255652173913049"/>
        <n v="277.99727272727273"/>
        <n v="63.091000000000001"/>
        <n v="100.37"/>
        <n v="4322.22"/>
        <n v="4632.9966666666669"/>
        <n v="3905.6325000000002"/>
        <n v="569.06166666666661"/>
        <n v="946.70666666666659"/>
        <n v="394.47399999999999"/>
        <n v="116.12"/>
        <n v="3245.91"/>
        <n v="120.80071428571429"/>
        <n v="17222.37"/>
        <n v="33099.74"/>
        <n v="19486.834999999999"/>
        <n v="1170.3871428571426"/>
        <n v="1364.7940000000001"/>
        <n v="233.92000000000002"/>
        <n v="1724.4133333333332"/>
        <n v="188.99875"/>
        <n v="4805.8549999999996"/>
        <n v="130.70470588235295"/>
        <n v="64.545600000000007"/>
        <n v="2693.2560000000003"/>
        <n v="8363.5324999999993"/>
        <n v="4319.5924999999997"/>
        <n v="9587.81"/>
        <n v="109.71227272727273"/>
        <n v="522.04499999999996"/>
        <n v="12.556999999999999"/>
        <n v="4304.8"/>
        <n v="15013.405000000001"/>
        <n v="190.54999999999998"/>
        <n v="22440.9"/>
        <n v="646.53800000000001"/>
        <n v="36.690000000000005"/>
        <n v="2505.9266666666667"/>
        <n v="7057.2075000000004"/>
        <n v="942.83749999999998"/>
        <n v="2476.8939999999998"/>
        <n v="50.741999999999997"/>
        <n v="100.02962962962964"/>
        <n v="8165.94"/>
        <n v="544.77833333333331"/>
        <n v="7965.1220000000003"/>
        <n v="10592.06"/>
        <n v="33.662666666666667"/>
        <n v="10441.43"/>
        <n v="322.59666666666664"/>
        <n v="2000.97"/>
        <n v="6301.9449999999997"/>
        <n v="1819.3057142857142"/>
        <n v="545.09199999999998"/>
        <n v="58.540357142857147"/>
        <n v="1791.402"/>
        <n v="597.50600000000009"/>
        <n v="1505.915"/>
        <n v="4136.6899999999996"/>
        <n v="256.14916666666664"/>
        <n v="566.2883333333333"/>
        <n v="77.433599999999998"/>
        <n v="1826.0757142857144"/>
        <n v="91.186666666666667"/>
        <n v="5163.6975000000002"/>
        <n v="148.45500000000001"/>
        <n v="1145.03"/>
        <n v="744.27142857142849"/>
        <n v="4226.59"/>
        <n v="5417.1366666666663"/>
        <n v="2059.8337499999998"/>
        <n v="5279.9539999999997"/>
        <n v="1498.8"/>
        <n v="8536.75"/>
        <n v="1457.75"/>
        <n v="11760.463333333333"/>
        <n v="3559.8779999999997"/>
        <n v="1670.8475000000001"/>
        <n v="5979.2780000000002"/>
        <n v="8890.8420000000006"/>
        <n v="451.38000000000005"/>
        <n v="1006.4366666666666"/>
        <n v="8350.4050000000007"/>
        <n v="35.941052631578948"/>
        <n v="164.89615384615385"/>
        <n v="1871.722857142857"/>
        <n v="37518.31"/>
        <n v="36.885172413793107"/>
        <n v="228.69499999999999"/>
        <n v="10920.54"/>
        <n v="21928.22"/>
        <n v="89.508888888888876"/>
        <n v="682.32875000000001"/>
        <n v="45.168095238095233"/>
        <n v="88.707000000000008"/>
        <n v="656.524"/>
        <n v="9955.33"/>
        <n v="677.9375"/>
        <n v="3105.9324999999999"/>
        <n v="146.28857142857143"/>
        <n v="4400.3950000000004"/>
        <n v="117.545"/>
        <n v="229.17416666666668"/>
        <n v="42079.38"/>
        <n v="155.02733333333333"/>
        <n v="701.25333333333344"/>
        <n v="9196.7099999999991"/>
        <n v="16375.61"/>
        <n v="8566.5499999999993"/>
        <n v="10.196206896551724"/>
        <n v="1629.9349999999999"/>
        <n v="674.39833333333331"/>
        <n v="2857.6933333333332"/>
        <n v="3917.62"/>
        <n v="5895.3050000000003"/>
        <n v="780.38250000000005"/>
        <n v="34.257272727272728"/>
        <n v="6104.32"/>
        <n v="5882.7640000000001"/>
        <n v="6629.6466666666665"/>
        <n v="6476.67"/>
        <n v="32411.66"/>
        <n v="15218.48"/>
        <n v="180.13823529411764"/>
        <n v="4354.0339999999997"/>
        <n v="2333.3916666666669"/>
        <n v="40838.9"/>
        <n v="342.83"/>
        <n v="360.27500000000003"/>
        <n v="115.93157894736841"/>
        <n v="119.01375"/>
        <n v="125.75333333333334"/>
        <n v="7785.62"/>
        <n v="148.82941176470587"/>
        <n v="6457.8474999999999"/>
        <n v="53.194074074074074"/>
        <n v="363.22"/>
        <n v="13882.613333333333"/>
        <n v="1274.9425000000001"/>
        <n v="19.440333333333335"/>
        <n v="99.401333333333326"/>
        <n v="7556.5533333333333"/>
        <n v="1748.32"/>
        <n v="6142.1850000000004"/>
        <n v="11403.756666666666"/>
        <n v="2117.14"/>
        <n v="110.2625"/>
        <n v="1528.242"/>
        <n v="8053.2849999999999"/>
        <n v="67.015000000000001"/>
        <n v="777.12625000000003"/>
        <n v="63.052"/>
        <n v="3580.982"/>
        <n v="1690.1949999999999"/>
        <n v="15.104642857142858"/>
        <n v="114.30136363636365"/>
        <n v="2407.69"/>
        <n v="70.188000000000002"/>
        <n v="687.61666666666667"/>
        <n v="5399.0349999999999"/>
        <n v="179.50125"/>
        <n v="83.401578947368421"/>
        <n v="5556.6475"/>
        <n v="352.25"/>
        <n v="14815.8"/>
        <n v="112.08800000000001"/>
        <n v="380.98200000000003"/>
        <n v="8351.3780000000006"/>
        <n v="3147.4839999999999"/>
        <n v="10894.66"/>
        <n v="3436.4"/>
        <n v="65.643666666666661"/>
        <n v="107.45666666666666"/>
        <n v="1506.9375"/>
        <n v="383.59000000000003"/>
        <n v="36415.31"/>
        <n v="1325.1528571428571"/>
        <n v="6271.6500000000005"/>
        <n v="205.804"/>
        <n v="1776.4666666666665"/>
        <n v="12412.839999999998"/>
        <n v="92.967272727272729"/>
        <n v="4909.95"/>
        <n v="1615.61"/>
        <n v="104.32875"/>
        <n v="58.176000000000002"/>
        <n v="156.38050000000001"/>
        <n v="1264.017142857143"/>
        <n v="333.82333333333332"/>
        <n v="91.361923076923077"/>
        <n v="2999.53"/>
        <n v="218.56357142857141"/>
        <n v="11243.077499999999"/>
        <n v="5588.7019999999993"/>
        <n v="4707.5749999999998"/>
        <n v="75.898076923076914"/>
        <n v="139.59285714285713"/>
        <n v="15818.35"/>
        <n v="21782.035"/>
        <n v="15137.36"/>
        <n v="59.424166666666672"/>
        <n v="183.47666666666666"/>
        <n v="3043.0725000000002"/>
        <n v="20257.775000000001"/>
        <n v="511.15800000000002"/>
        <n v="3117.9349999999999"/>
        <n v="4378.083333333333"/>
        <n v="1467.43625"/>
        <n v="33.252105263157894"/>
        <n v="1713.14625"/>
        <n v="413.33"/>
        <n v="2336.5833333333335"/>
        <n v="1644.4024999999999"/>
        <n v="148.85384615384615"/>
        <n v="9561.2549999999992"/>
        <n v="37890.239999999998"/>
        <n v="7166.03"/>
        <n v="661.22"/>
        <n v="4329.55"/>
        <n v="80.183461538461543"/>
        <n v="375.99200000000002"/>
        <n v="2086.7600000000002"/>
        <n v="965.98285714285714"/>
        <n v="20872.71"/>
        <n v="7277.2924999999996"/>
        <n v="10.198620689655172"/>
        <n v="1863.7574999999999"/>
        <n v="2.5303571428571425"/>
        <n v="201.48500000000001"/>
        <n v="114.09142857142857"/>
        <n v="108.39068965517241"/>
        <n v="25411.91"/>
        <n v="149.76333333333332"/>
        <n v="3901.8724999999999"/>
        <n v="1924.4837500000001"/>
        <n v="692.6"/>
        <n v="22.727692307692305"/>
        <n v="2113.7800000000002"/>
        <n v="95.355200000000011"/>
        <n v="5937.22"/>
        <n v="8387.14"/>
        <n v="2948.38"/>
        <n v="182.47352941176473"/>
        <n v="40.493000000000002"/>
        <n v="96.414400000000001"/>
        <n v="10978.973333333333"/>
        <n v="36946.769999999997"/>
        <n v="224.92642857142854"/>
        <n v="38.203703703703702"/>
        <n v="5065.22"/>
        <n v="7.3939285714285718"/>
        <n v="1687.9449999999999"/>
        <n v="1100.79"/>
        <n v="7280"/>
        <n v="2643.6733333333336"/>
        <n v="3976.1424999999999"/>
        <n v="11946.356666666667"/>
        <n v="4083.42"/>
        <n v="4374.1400000000003"/>
        <n v="635.25800000000004"/>
        <n v="3007.1925000000001"/>
        <n v="9151.3799999999992"/>
        <n v="3530.85"/>
        <n v="14369.606666666667"/>
        <n v="21884.845000000001"/>
        <n v="119.40899999999999"/>
        <n v="3375.1875"/>
        <n v="4720.3433333333332"/>
        <n v="7411.66"/>
        <n v="2195.42"/>
        <n v="9919.9699999999993"/>
        <n v="708.46249999999998"/>
        <n v="896.15625"/>
        <n v="11589.410000000002"/>
        <n v="111.28434782608696"/>
        <n v="2382.605"/>
        <n v="88.164482758620693"/>
        <n v="2346.2224999999999"/>
        <n v="2236.6350000000002"/>
        <n v="151.0481818181818"/>
        <n v="13442.926666666666"/>
        <n v="315.86500000000001"/>
        <n v="2183.1174999999998"/>
        <n v="687.11"/>
        <n v="11437.45"/>
        <n v="125.89583333333333"/>
        <n v="368.7"/>
        <n v="1076.3575000000001"/>
        <n v="81.330500000000001"/>
        <n v="91.622105263157891"/>
        <n v="572.24"/>
        <n v="127.04428571428571"/>
        <n v="16324.46"/>
        <n v="75.327083333333334"/>
        <n v="9572.6650000000009"/>
        <n v="2344.08"/>
        <n v="51.685833333333335"/>
        <n v="1076.8240000000001"/>
        <n v="1309.9616666666668"/>
        <n v="7243.6880000000001"/>
        <n v="648.60500000000002"/>
        <n v="9632.2166666666672"/>
        <n v="763.86"/>
        <n v="2561.89"/>
        <n v="1110.7950000000001"/>
        <n v="1645.0240000000001"/>
        <n v="1946.2819999999999"/>
        <n v="2437.29"/>
        <n v="5036.09"/>
        <n v="1075.4180000000001"/>
        <n v="6894.8399999999992"/>
        <n v="433.5"/>
        <n v="26.81607142857143"/>
        <n v="7201.626666666667"/>
        <n v="5.3272413793103448"/>
        <n v="16.434615384615384"/>
        <n v="162"/>
        <n v="7352.2150000000001"/>
        <n v="24.196874999999999"/>
        <n v="68.326538461538462"/>
        <n v="8005.7749999999996"/>
        <n v="4564.6679999999997"/>
        <n v="14208.253333333334"/>
        <n v="30.36"/>
        <n v="29.183181818181819"/>
        <n v="6107.9250000000002"/>
        <n v="192.69615384615386"/>
        <n v="3167.7020000000002"/>
        <n v="181.82090909090908"/>
        <n v="4368.4049999999997"/>
        <n v="1505"/>
        <n v="2663.8980000000001"/>
        <n v="538.42600000000004"/>
        <n v="47.469523809523807"/>
        <n v="7719.42"/>
        <n v="34.142857142857146"/>
        <n v="3012.1950000000002"/>
        <n v="6775.2049999999999"/>
        <n v="567.5533333333334"/>
        <n v="6469.71"/>
        <n v="1618.8128571428572"/>
        <n v="8515.8580000000002"/>
        <n v="1438.42"/>
        <n v="178.63285714285715"/>
        <n v="2767.23"/>
        <n v="61.842222222222226"/>
        <n v="58.217826086956521"/>
        <n v="57.686666666666667"/>
        <n v="20079.805"/>
        <n v="99.009565217391298"/>
        <n v="18.189599999999999"/>
        <n v="4050.4650000000001"/>
        <n v="280.34399999999999"/>
        <n v="2473.625"/>
        <n v="2265.6999999999998"/>
        <n v="5670.0325000000003"/>
        <n v="285.17142857142858"/>
        <n v="6342.1"/>
        <n v="2.1021428571428573"/>
        <n v="42.486785714285716"/>
        <n v="17.794827586206896"/>
        <n v="19973.91"/>
        <n v="1540.2857142857142"/>
        <n v="192.62799999999999"/>
        <n v="396.46499999999997"/>
        <n v="14516.75"/>
        <n v="12894.75"/>
        <n v="68.477999999999994"/>
        <n v="369.68624999999997"/>
        <n v="9789.9950000000008"/>
        <n v="2039.83"/>
        <n v="7182.4119999999994"/>
        <n v="126.614"/>
        <n v="249.63333333333333"/>
        <n v="7.4717391304347824"/>
        <n v="15359.775"/>
        <n v="8663.4950000000008"/>
        <n v="346.56100000000004"/>
        <n v="284.96666666666664"/>
        <n v="4998.93"/>
        <n v="53.12047619047619"/>
        <n v="7820.94"/>
        <n v="86.541153846153847"/>
        <n v="190.04875000000001"/>
        <n v="1270.1814285714286"/>
        <n v="50.841904761904765"/>
        <n v="3261.53"/>
        <n v="105.42366666666666"/>
        <n v="127.33888888888889"/>
        <n v="1988.4371428571428"/>
        <n v="1833.5233333333333"/>
        <n v="9192.873333333333"/>
        <n v="1716.7279999999998"/>
        <n v="7745.38"/>
        <n v="15.224444444444446"/>
        <n v="1551.7637500000001"/>
        <n v="91.57736842105264"/>
        <n v="32023.73"/>
        <n v="3754.3825000000002"/>
        <n v="3083.31"/>
        <n v="10.226666666666667"/>
        <n v="173.15727272727273"/>
        <n v="44.912173913043482"/>
        <n v="740.77666666666664"/>
        <n v="12630.529999999999"/>
        <n v="28.01"/>
        <n v="3167.7439999999997"/>
        <n v="4819.4033333333327"/>
        <n v="100.74913043478261"/>
        <n v="3611.28"/>
        <n v="8170.7974999999997"/>
        <n v="7887.57"/>
        <n v="2783.5839999999998"/>
        <n v="11159.8125"/>
        <n v="13.180454545454547"/>
        <n v="14058.88"/>
        <n v="8650.0650000000005"/>
        <n v="11787.46"/>
        <n v="61.711176470588228"/>
        <n v="6642.76"/>
        <n v="21488.21"/>
        <n v="74.565600000000003"/>
        <n v="3629.94"/>
        <n v="211.916"/>
        <n v="11384.905000000001"/>
        <n v="78.063684210526318"/>
        <n v="839.14"/>
        <n v="9.7641176470588249"/>
        <n v="1680.1849999999999"/>
        <n v="3342.1950000000002"/>
        <n v="2166.4560000000001"/>
        <n v="2933.6949999999997"/>
        <n v="4082.18"/>
        <n v="1029.2049999999999"/>
        <n v="206.50571428571428"/>
        <n v="123.10142857142857"/>
        <n v="4912.6880000000001"/>
        <n v="17.73"/>
        <n v="33705.14"/>
        <n v="14.263076923076921"/>
        <n v="283.80599999999998"/>
        <n v="4412.5825000000004"/>
        <n v="490.65666666666669"/>
        <n v="2571.4759999999997"/>
        <n v="80.340384615384608"/>
        <n v="3913.105"/>
        <n v="142.87583333333333"/>
        <n v="545.19285714285718"/>
        <n v="2235.5628571428574"/>
        <n v="3255.3759999999997"/>
        <n v="98.439642857142857"/>
        <n v="8303.3233333333337"/>
        <n v="66.345172413793108"/>
        <n v="442.45"/>
        <n v="536.98"/>
        <n v="16311.73"/>
        <n v="11057.525"/>
        <n v="6139.7674999999999"/>
        <n v="73.893333333333331"/>
        <n v="1430.5"/>
        <n v="5003.1724999999997"/>
        <n v="1054.75"/>
        <n v="98.166363636363627"/>
        <n v="378.53000000000003"/>
        <n v="219.84200000000001"/>
        <n v="718.96"/>
        <n v="2849.03"/>
        <n v="113.41600000000001"/>
        <n v="17788.16"/>
        <n v="7454.22"/>
        <n v="4641.3533333333335"/>
        <n v="1289.00125"/>
        <n v="2583.1019999999999"/>
        <n v="2763.538"/>
        <n v="4008.42"/>
        <n v="181.95888888888891"/>
        <n v="79.137600000000006"/>
        <n v="2758.4479999999999"/>
        <n v="1871.0014285714285"/>
        <n v="503.89166666666665"/>
        <n v="8.295789473684211"/>
        <n v="101.06384615384614"/>
        <n v="2823.84"/>
        <n v="4096.2475000000004"/>
        <n v="89.343666666666664"/>
        <n v="827.30000000000007"/>
        <n v="17187.009999999998"/>
        <n v="1192.82"/>
        <n v="2344.2799999999997"/>
        <n v="443.71600000000001"/>
        <n v="1880.4133333333332"/>
        <n v="5723.4350000000004"/>
        <n v="254.15799999999999"/>
        <n v="6107.77"/>
        <n v="8307.02"/>
        <n v="3442.8440000000001"/>
        <n v="7084.7"/>
        <n v="4668.42"/>
        <n v="168.19066666666669"/>
        <n v="2456.625"/>
        <n v="513.1"/>
        <n v="1831.3371428571429"/>
        <n v="14957.82"/>
        <n v="137.17384615384614"/>
        <n v="112.39833333333334"/>
        <n v="7679.0179999999991"/>
        <n v="7591.246000000001"/>
        <n v="1256.7733333333333"/>
        <n v="110.45615384615385"/>
        <n v="1379.896"/>
        <n v="14.372758620689655"/>
        <n v="2866.8620000000001"/>
        <n v="3018.7"/>
        <n v="102.221"/>
        <n v="1392.502"/>
        <n v="159.85000000000002"/>
        <n v="13263.94"/>
        <n v="4379.0825000000004"/>
        <n v="152.83800000000002"/>
        <n v="1542.1949999999999"/>
        <n v="5300.78"/>
        <n v="149.77000000000001"/>
        <n v="32.155625000000001"/>
        <n v="480.98400000000004"/>
        <n v="135.89500000000001"/>
        <n v="4674.7700000000004"/>
        <n v="8232.69"/>
        <n v="1613.6875"/>
        <n v="2484.7414285714285"/>
        <n v="129.48750000000001"/>
        <n v="5424.413333333333"/>
        <n v="1481.105"/>
        <n v="6567.62"/>
        <n v="56.752142857142857"/>
        <n v="34.508000000000003"/>
        <n v="153.61714285714285"/>
        <n v="523.38"/>
        <n v="30.581428571428571"/>
        <n v="7187.2049999999999"/>
        <n v="114.88249999999999"/>
        <n v="7479.0660000000007"/>
        <n v="1497.28"/>
        <n v="171.24625"/>
        <n v="3238.7280000000001"/>
        <n v="2378.6325000000002"/>
        <n v="2310.9180000000001"/>
        <n v="972.14250000000004"/>
        <n v="174.41555555555556"/>
        <n v="698.40333333333331"/>
        <n v="3652.38"/>
        <n v="417.46"/>
        <n v="168.83800000000002"/>
        <n v="36.244230769230768"/>
        <n v="10630.873333333333"/>
        <n v="793.84249999999997"/>
        <n v="788.95666666666659"/>
        <n v="2544.5324999999998"/>
        <n v="11513.68"/>
        <n v="583.10666666666668"/>
        <n v="17.124375000000001"/>
        <n v="4327.8559999999998"/>
        <n v="12725.4"/>
        <n v="4254.28"/>
        <n v="108.815"/>
        <n v="16357.07"/>
        <n v="106.4325"/>
        <n v="2396.56"/>
        <n v="2640.17"/>
        <n v="3174.9"/>
        <n v="2990.0633333333335"/>
        <n v="105.44739130434782"/>
        <n v="4988.166666666667"/>
        <n v="780.02750000000003"/>
        <n v="13022.76"/>
        <n v="523.31000000000006"/>
        <n v="29294.26"/>
        <n v="2937.5675000000001"/>
        <n v="4732.0450000000001"/>
        <n v="3691.61"/>
        <n v="8098"/>
        <n v="97.943103448275863"/>
        <n v="2298.1275000000001"/>
        <n v="5053.1540000000005"/>
        <n v="3332.06"/>
      </sharedItems>
    </cacheField>
    <cacheField name="Order Size" numFmtId="0">
      <sharedItems count="3">
        <s v="Small"/>
        <s v="Medium"/>
        <s v="Large"/>
      </sharedItems>
    </cacheField>
    <cacheField name="High Value Orders" numFmtId="0">
      <sharedItems count="2">
        <s v="Standard"/>
        <s v="VIP"/>
      </sharedItems>
    </cacheField>
    <cacheField name="Week" numFmtId="0">
      <sharedItems count="2">
        <s v="Weekend"/>
        <s v="Weekday"/>
      </sharedItems>
    </cacheField>
  </cacheFields>
  <calculatedItems count="1">
    <calculatedItem>
      <pivotArea cacheIndex="1" outline="0" fieldPosition="0">
        <references count="1">
          <reference field="4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591451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5">
  <r>
    <s v="ORD-01255"/>
    <x v="0"/>
    <s v="Gaurav Mishra"/>
    <x v="0"/>
    <x v="0"/>
    <n v="0"/>
    <n v="3"/>
    <x v="0"/>
    <x v="0"/>
    <x v="0"/>
    <x v="0"/>
    <x v="0"/>
    <x v="0"/>
  </r>
  <r>
    <s v="ORD-01314"/>
    <x v="1"/>
    <s v="Aakash Bhat"/>
    <x v="0"/>
    <x v="0"/>
    <n v="5911.62"/>
    <n v="6"/>
    <x v="1"/>
    <x v="1"/>
    <x v="1"/>
    <x v="1"/>
    <x v="0"/>
    <x v="1"/>
  </r>
  <r>
    <s v="ORD-01042"/>
    <x v="2"/>
    <s v="Rajesh Choudhury"/>
    <x v="0"/>
    <x v="1"/>
    <n v="899.44"/>
    <n v="20"/>
    <x v="1"/>
    <x v="2"/>
    <x v="2"/>
    <x v="2"/>
    <x v="0"/>
    <x v="1"/>
  </r>
  <r>
    <s v="ORD-01709"/>
    <x v="3"/>
    <s v="Ajay Rastogi"/>
    <x v="1"/>
    <x v="1"/>
    <n v="74.819999999999993"/>
    <n v="21"/>
    <x v="1"/>
    <x v="3"/>
    <x v="3"/>
    <x v="2"/>
    <x v="0"/>
    <x v="0"/>
  </r>
  <r>
    <s v="ORD-01484"/>
    <x v="4"/>
    <s v="Divya Kaur"/>
    <x v="1"/>
    <x v="1"/>
    <n v="1110.9100000000001"/>
    <n v="7"/>
    <x v="1"/>
    <x v="4"/>
    <x v="4"/>
    <x v="1"/>
    <x v="0"/>
    <x v="1"/>
  </r>
  <r>
    <s v="ORD-01443"/>
    <x v="5"/>
    <s v="Geeta Pandey"/>
    <x v="2"/>
    <x v="2"/>
    <n v="0"/>
    <n v="1"/>
    <x v="2"/>
    <x v="5"/>
    <x v="0"/>
    <x v="0"/>
    <x v="0"/>
    <x v="1"/>
  </r>
  <r>
    <s v="ORD-02004"/>
    <x v="6"/>
    <s v="Sneha Gupta"/>
    <x v="3"/>
    <x v="0"/>
    <n v="15696.99"/>
    <n v="7"/>
    <x v="1"/>
    <x v="2"/>
    <x v="5"/>
    <x v="1"/>
    <x v="0"/>
    <x v="1"/>
  </r>
  <r>
    <s v="ORD-01927"/>
    <x v="7"/>
    <s v="Arjun Reddy"/>
    <x v="0"/>
    <x v="1"/>
    <n v="3453.15"/>
    <n v="13"/>
    <x v="1"/>
    <x v="6"/>
    <x v="6"/>
    <x v="1"/>
    <x v="0"/>
    <x v="1"/>
  </r>
  <r>
    <s v="ORD-01948"/>
    <x v="8"/>
    <s v="Tarun Mukerjee"/>
    <x v="3"/>
    <x v="1"/>
    <n v="2599.44"/>
    <n v="22"/>
    <x v="1"/>
    <x v="7"/>
    <x v="7"/>
    <x v="2"/>
    <x v="0"/>
    <x v="1"/>
  </r>
  <r>
    <s v="ORD-02297"/>
    <x v="9"/>
    <s v="Kavya Nair"/>
    <x v="1"/>
    <x v="2"/>
    <n v="41424.92"/>
    <n v="4"/>
    <x v="1"/>
    <x v="8"/>
    <x v="8"/>
    <x v="0"/>
    <x v="1"/>
    <x v="1"/>
  </r>
  <r>
    <s v="ORD-01563"/>
    <x v="10"/>
    <s v="Arjun Reddy"/>
    <x v="0"/>
    <x v="0"/>
    <n v="1178.82"/>
    <n v="4"/>
    <x v="1"/>
    <x v="8"/>
    <x v="9"/>
    <x v="0"/>
    <x v="0"/>
    <x v="1"/>
  </r>
  <r>
    <s v="ORD-01346"/>
    <x v="11"/>
    <s v="Kiran Nambiar"/>
    <x v="2"/>
    <x v="2"/>
    <n v="11740.03"/>
    <n v="3"/>
    <x v="1"/>
    <x v="9"/>
    <x v="10"/>
    <x v="0"/>
    <x v="0"/>
    <x v="1"/>
  </r>
  <r>
    <s v="ORD-01543"/>
    <x v="12"/>
    <s v="Asha Kulkarni"/>
    <x v="0"/>
    <x v="1"/>
    <n v="3440.5"/>
    <n v="5"/>
    <x v="1"/>
    <x v="0"/>
    <x v="11"/>
    <x v="0"/>
    <x v="0"/>
    <x v="1"/>
  </r>
  <r>
    <s v="ORD-01087"/>
    <x v="13"/>
    <s v="Ajay Rastogi"/>
    <x v="1"/>
    <x v="2"/>
    <n v="29209.53"/>
    <n v="2"/>
    <x v="1"/>
    <x v="0"/>
    <x v="12"/>
    <x v="0"/>
    <x v="1"/>
    <x v="1"/>
  </r>
  <r>
    <s v="ORD-02232"/>
    <x v="14"/>
    <s v="Varun Naik"/>
    <x v="1"/>
    <x v="2"/>
    <n v="37997.99"/>
    <n v="3"/>
    <x v="1"/>
    <x v="10"/>
    <x v="13"/>
    <x v="0"/>
    <x v="1"/>
    <x v="1"/>
  </r>
  <r>
    <s v="ORD-02275"/>
    <x v="15"/>
    <s v="Gaurav Mishra"/>
    <x v="0"/>
    <x v="1"/>
    <n v="0"/>
    <n v="30"/>
    <x v="2"/>
    <x v="11"/>
    <x v="0"/>
    <x v="2"/>
    <x v="0"/>
    <x v="0"/>
  </r>
  <r>
    <s v="ORD-01657"/>
    <x v="16"/>
    <s v="Dev Mathur"/>
    <x v="3"/>
    <x v="1"/>
    <n v="275.88"/>
    <n v="22"/>
    <x v="1"/>
    <x v="12"/>
    <x v="14"/>
    <x v="2"/>
    <x v="0"/>
    <x v="1"/>
  </r>
  <r>
    <s v="ORD-02352"/>
    <x v="17"/>
    <s v="Vivek Chopra"/>
    <x v="2"/>
    <x v="1"/>
    <n v="2343.5300000000002"/>
    <n v="6"/>
    <x v="1"/>
    <x v="13"/>
    <x v="15"/>
    <x v="1"/>
    <x v="0"/>
    <x v="0"/>
  </r>
  <r>
    <s v="ORD-02307"/>
    <x v="18"/>
    <s v="Varun Naik"/>
    <x v="1"/>
    <x v="1"/>
    <n v="3012.52"/>
    <n v="14"/>
    <x v="1"/>
    <x v="14"/>
    <x v="16"/>
    <x v="1"/>
    <x v="0"/>
    <x v="1"/>
  </r>
  <r>
    <s v="ORD-02397"/>
    <x v="19"/>
    <s v="Tara Saxena"/>
    <x v="3"/>
    <x v="1"/>
    <n v="1708.91"/>
    <n v="11"/>
    <x v="1"/>
    <x v="5"/>
    <x v="17"/>
    <x v="1"/>
    <x v="0"/>
    <x v="1"/>
  </r>
  <r>
    <s v="ORD-02504"/>
    <x v="20"/>
    <s v="Nikhil Desai"/>
    <x v="1"/>
    <x v="0"/>
    <n v="0"/>
    <n v="0"/>
    <x v="1"/>
    <x v="10"/>
    <x v="0"/>
    <x v="0"/>
    <x v="0"/>
    <x v="1"/>
  </r>
  <r>
    <s v="ORD-01920"/>
    <x v="21"/>
    <s v="Gaurav Mishra"/>
    <x v="0"/>
    <x v="2"/>
    <n v="0"/>
    <n v="1"/>
    <x v="2"/>
    <x v="0"/>
    <x v="0"/>
    <x v="0"/>
    <x v="0"/>
    <x v="0"/>
  </r>
  <r>
    <s v="ORD-02326"/>
    <x v="22"/>
    <s v="Manish Srivastava"/>
    <x v="3"/>
    <x v="0"/>
    <n v="11594.47"/>
    <n v="1"/>
    <x v="1"/>
    <x v="15"/>
    <x v="18"/>
    <x v="0"/>
    <x v="0"/>
    <x v="1"/>
  </r>
  <r>
    <s v="ORD-02049"/>
    <x v="23"/>
    <s v="Neha Tiwari"/>
    <x v="1"/>
    <x v="1"/>
    <n v="0"/>
    <n v="2"/>
    <x v="2"/>
    <x v="16"/>
    <x v="0"/>
    <x v="0"/>
    <x v="0"/>
    <x v="1"/>
  </r>
  <r>
    <s v="ORD-01946"/>
    <x v="24"/>
    <s v="Rohan Mehta"/>
    <x v="0"/>
    <x v="2"/>
    <n v="6405.5"/>
    <n v="1"/>
    <x v="1"/>
    <x v="17"/>
    <x v="19"/>
    <x v="0"/>
    <x v="0"/>
    <x v="1"/>
  </r>
  <r>
    <s v="ORD-02339"/>
    <x v="25"/>
    <s v="Bhavna Dubey"/>
    <x v="0"/>
    <x v="0"/>
    <n v="6329.67"/>
    <n v="2"/>
    <x v="1"/>
    <x v="9"/>
    <x v="20"/>
    <x v="0"/>
    <x v="0"/>
    <x v="1"/>
  </r>
  <r>
    <s v="ORD-01457"/>
    <x v="26"/>
    <s v="Sneha Gupta"/>
    <x v="3"/>
    <x v="2"/>
    <n v="26859.17"/>
    <n v="4"/>
    <x v="1"/>
    <x v="18"/>
    <x v="21"/>
    <x v="0"/>
    <x v="0"/>
    <x v="1"/>
  </r>
  <r>
    <s v="ORD-02493"/>
    <x v="27"/>
    <s v="Kavya Nair"/>
    <x v="1"/>
    <x v="2"/>
    <n v="23504.85"/>
    <n v="1"/>
    <x v="1"/>
    <x v="12"/>
    <x v="22"/>
    <x v="0"/>
    <x v="0"/>
    <x v="1"/>
  </r>
  <r>
    <s v="ORD-01752"/>
    <x v="28"/>
    <s v="Arjun Reddy"/>
    <x v="0"/>
    <x v="0"/>
    <n v="8508.41"/>
    <n v="3"/>
    <x v="1"/>
    <x v="5"/>
    <x v="23"/>
    <x v="0"/>
    <x v="0"/>
    <x v="1"/>
  </r>
  <r>
    <s v="ORD-01916"/>
    <x v="29"/>
    <s v="Smita Patil"/>
    <x v="3"/>
    <x v="2"/>
    <n v="0"/>
    <n v="4"/>
    <x v="2"/>
    <x v="1"/>
    <x v="0"/>
    <x v="0"/>
    <x v="0"/>
    <x v="1"/>
  </r>
  <r>
    <s v="ORD-01354"/>
    <x v="27"/>
    <s v="Kiran Nambiar"/>
    <x v="2"/>
    <x v="2"/>
    <n v="43775.23"/>
    <n v="4"/>
    <x v="1"/>
    <x v="12"/>
    <x v="24"/>
    <x v="0"/>
    <x v="1"/>
    <x v="1"/>
  </r>
  <r>
    <s v="ORD-01603"/>
    <x v="30"/>
    <s v="Vikram Singh"/>
    <x v="2"/>
    <x v="2"/>
    <n v="39437.01"/>
    <n v="3"/>
    <x v="1"/>
    <x v="5"/>
    <x v="25"/>
    <x v="0"/>
    <x v="1"/>
    <x v="0"/>
  </r>
  <r>
    <s v="ORD-01945"/>
    <x v="31"/>
    <s v="Deepa Pillai"/>
    <x v="3"/>
    <x v="1"/>
    <n v="0"/>
    <n v="26"/>
    <x v="2"/>
    <x v="0"/>
    <x v="0"/>
    <x v="2"/>
    <x v="0"/>
    <x v="1"/>
  </r>
  <r>
    <s v="ORD-01258"/>
    <x v="32"/>
    <s v="Varun Naik"/>
    <x v="1"/>
    <x v="1"/>
    <n v="0"/>
    <n v="2"/>
    <x v="0"/>
    <x v="11"/>
    <x v="0"/>
    <x v="0"/>
    <x v="0"/>
    <x v="1"/>
  </r>
  <r>
    <s v="ORD-01142"/>
    <x v="29"/>
    <s v="Vivek Chopra"/>
    <x v="2"/>
    <x v="1"/>
    <n v="3496.21"/>
    <n v="16"/>
    <x v="1"/>
    <x v="1"/>
    <x v="26"/>
    <x v="2"/>
    <x v="0"/>
    <x v="1"/>
  </r>
  <r>
    <s v="ORD-01695"/>
    <x v="33"/>
    <s v="Priya Patel"/>
    <x v="3"/>
    <x v="1"/>
    <n v="605.9"/>
    <n v="21"/>
    <x v="1"/>
    <x v="14"/>
    <x v="27"/>
    <x v="2"/>
    <x v="0"/>
    <x v="1"/>
  </r>
  <r>
    <s v="ORD-01190"/>
    <x v="34"/>
    <s v="Tarun Mukerjee"/>
    <x v="3"/>
    <x v="1"/>
    <n v="444.73"/>
    <n v="21"/>
    <x v="1"/>
    <x v="19"/>
    <x v="28"/>
    <x v="2"/>
    <x v="0"/>
    <x v="0"/>
  </r>
  <r>
    <s v="ORD-02449"/>
    <x v="35"/>
    <s v="Rajesh Choudhury"/>
    <x v="0"/>
    <x v="0"/>
    <n v="0"/>
    <n v="1"/>
    <x v="2"/>
    <x v="9"/>
    <x v="0"/>
    <x v="0"/>
    <x v="0"/>
    <x v="1"/>
  </r>
  <r>
    <s v="ORD-01930"/>
    <x v="36"/>
    <s v="Nidhi Bhatt"/>
    <x v="0"/>
    <x v="0"/>
    <n v="12898.39"/>
    <n v="7"/>
    <x v="1"/>
    <x v="8"/>
    <x v="29"/>
    <x v="1"/>
    <x v="0"/>
    <x v="1"/>
  </r>
  <r>
    <s v="ORD-01644"/>
    <x v="37"/>
    <s v="Harsh Shah"/>
    <x v="2"/>
    <x v="1"/>
    <n v="0"/>
    <n v="7"/>
    <x v="0"/>
    <x v="17"/>
    <x v="0"/>
    <x v="1"/>
    <x v="0"/>
    <x v="1"/>
  </r>
  <r>
    <s v="ORD-01195"/>
    <x v="38"/>
    <s v="Smita Patil"/>
    <x v="3"/>
    <x v="0"/>
    <n v="15665.23"/>
    <n v="1"/>
    <x v="1"/>
    <x v="16"/>
    <x v="30"/>
    <x v="0"/>
    <x v="0"/>
    <x v="0"/>
  </r>
  <r>
    <s v="ORD-02259"/>
    <x v="39"/>
    <s v="Asha Kulkarni"/>
    <x v="0"/>
    <x v="0"/>
    <n v="1911.14"/>
    <n v="2"/>
    <x v="1"/>
    <x v="3"/>
    <x v="31"/>
    <x v="0"/>
    <x v="0"/>
    <x v="1"/>
  </r>
  <r>
    <s v="ORD-02310"/>
    <x v="40"/>
    <s v="Gaurav Mishra"/>
    <x v="0"/>
    <x v="0"/>
    <n v="6116.56"/>
    <n v="2"/>
    <x v="1"/>
    <x v="0"/>
    <x v="32"/>
    <x v="0"/>
    <x v="0"/>
    <x v="1"/>
  </r>
  <r>
    <s v="ORD-02354"/>
    <x v="41"/>
    <s v="Ananya Sharma"/>
    <x v="1"/>
    <x v="0"/>
    <n v="1432.27"/>
    <n v="7"/>
    <x v="1"/>
    <x v="13"/>
    <x v="33"/>
    <x v="1"/>
    <x v="0"/>
    <x v="1"/>
  </r>
  <r>
    <s v="ORD-02455"/>
    <x v="42"/>
    <s v="Rahul Verma"/>
    <x v="2"/>
    <x v="0"/>
    <n v="5657.61"/>
    <n v="3"/>
    <x v="1"/>
    <x v="20"/>
    <x v="34"/>
    <x v="0"/>
    <x v="0"/>
    <x v="0"/>
  </r>
  <r>
    <s v="ORD-01060"/>
    <x v="39"/>
    <s v="Neha Tiwari"/>
    <x v="1"/>
    <x v="0"/>
    <n v="15599.05"/>
    <n v="5"/>
    <x v="1"/>
    <x v="3"/>
    <x v="35"/>
    <x v="0"/>
    <x v="0"/>
    <x v="1"/>
  </r>
  <r>
    <s v="ORD-02344"/>
    <x v="43"/>
    <s v="Ajay Rastogi"/>
    <x v="1"/>
    <x v="2"/>
    <n v="7593.15"/>
    <n v="3"/>
    <x v="1"/>
    <x v="3"/>
    <x v="36"/>
    <x v="0"/>
    <x v="0"/>
    <x v="1"/>
  </r>
  <r>
    <s v="ORD-01900"/>
    <x v="44"/>
    <s v="Gaurav Mishra"/>
    <x v="0"/>
    <x v="1"/>
    <n v="0"/>
    <n v="10"/>
    <x v="0"/>
    <x v="13"/>
    <x v="0"/>
    <x v="1"/>
    <x v="0"/>
    <x v="1"/>
  </r>
  <r>
    <s v="ORD-01940"/>
    <x v="45"/>
    <s v="Bhavna Dubey"/>
    <x v="0"/>
    <x v="1"/>
    <n v="3120.21"/>
    <n v="3"/>
    <x v="1"/>
    <x v="1"/>
    <x v="37"/>
    <x v="0"/>
    <x v="0"/>
    <x v="0"/>
  </r>
  <r>
    <s v="ORD-02426"/>
    <x v="46"/>
    <s v="Yash Agarwal"/>
    <x v="1"/>
    <x v="0"/>
    <n v="7382.92"/>
    <n v="2"/>
    <x v="1"/>
    <x v="11"/>
    <x v="38"/>
    <x v="0"/>
    <x v="0"/>
    <x v="1"/>
  </r>
  <r>
    <s v="ORD-01242"/>
    <x v="47"/>
    <s v="Arjun Reddy"/>
    <x v="0"/>
    <x v="2"/>
    <n v="36898.28"/>
    <n v="3"/>
    <x v="1"/>
    <x v="10"/>
    <x v="39"/>
    <x v="0"/>
    <x v="1"/>
    <x v="0"/>
  </r>
  <r>
    <s v="ORD-02411"/>
    <x v="48"/>
    <s v="Ananya Sharma"/>
    <x v="1"/>
    <x v="0"/>
    <n v="0"/>
    <n v="2"/>
    <x v="0"/>
    <x v="11"/>
    <x v="0"/>
    <x v="0"/>
    <x v="0"/>
    <x v="0"/>
  </r>
  <r>
    <s v="ORD-01754"/>
    <x v="49"/>
    <s v="Deepa Pillai"/>
    <x v="3"/>
    <x v="0"/>
    <n v="0"/>
    <n v="5"/>
    <x v="2"/>
    <x v="18"/>
    <x v="0"/>
    <x v="0"/>
    <x v="0"/>
    <x v="1"/>
  </r>
  <r>
    <s v="ORD-01866"/>
    <x v="50"/>
    <s v="Arjun Reddy"/>
    <x v="0"/>
    <x v="0"/>
    <n v="11523.08"/>
    <n v="2"/>
    <x v="1"/>
    <x v="21"/>
    <x v="40"/>
    <x v="0"/>
    <x v="0"/>
    <x v="0"/>
  </r>
  <r>
    <s v="ORD-01501"/>
    <x v="51"/>
    <s v="Geeta Pandey"/>
    <x v="2"/>
    <x v="2"/>
    <n v="16444.29"/>
    <n v="2"/>
    <x v="1"/>
    <x v="16"/>
    <x v="41"/>
    <x v="0"/>
    <x v="0"/>
    <x v="1"/>
  </r>
  <r>
    <s v="ORD-02249"/>
    <x v="52"/>
    <s v="Tarun Mukerjee"/>
    <x v="3"/>
    <x v="2"/>
    <n v="0"/>
    <n v="4"/>
    <x v="0"/>
    <x v="15"/>
    <x v="0"/>
    <x v="0"/>
    <x v="0"/>
    <x v="1"/>
  </r>
  <r>
    <s v="ORD-01030"/>
    <x v="53"/>
    <s v="Priya Patel"/>
    <x v="3"/>
    <x v="2"/>
    <n v="0"/>
    <n v="3"/>
    <x v="2"/>
    <x v="18"/>
    <x v="0"/>
    <x v="0"/>
    <x v="0"/>
    <x v="0"/>
  </r>
  <r>
    <s v="ORD-01499"/>
    <x v="54"/>
    <s v="Neha Tiwari"/>
    <x v="1"/>
    <x v="0"/>
    <n v="14624.59"/>
    <n v="2"/>
    <x v="1"/>
    <x v="18"/>
    <x v="42"/>
    <x v="0"/>
    <x v="0"/>
    <x v="1"/>
  </r>
  <r>
    <s v="ORD-02103"/>
    <x v="55"/>
    <s v="Manish Srivastava"/>
    <x v="3"/>
    <x v="2"/>
    <n v="23195.48"/>
    <n v="4"/>
    <x v="1"/>
    <x v="5"/>
    <x v="43"/>
    <x v="0"/>
    <x v="0"/>
    <x v="1"/>
  </r>
  <r>
    <s v="ORD-01395"/>
    <x v="56"/>
    <s v="Asha Kulkarni"/>
    <x v="0"/>
    <x v="0"/>
    <n v="3300.18"/>
    <n v="5"/>
    <x v="1"/>
    <x v="0"/>
    <x v="44"/>
    <x v="0"/>
    <x v="0"/>
    <x v="1"/>
  </r>
  <r>
    <s v="ORD-02208"/>
    <x v="57"/>
    <s v="Harsh Shah"/>
    <x v="2"/>
    <x v="2"/>
    <n v="0"/>
    <n v="3"/>
    <x v="2"/>
    <x v="4"/>
    <x v="0"/>
    <x v="0"/>
    <x v="0"/>
    <x v="1"/>
  </r>
  <r>
    <s v="ORD-02333"/>
    <x v="58"/>
    <s v="Arjun Reddy"/>
    <x v="0"/>
    <x v="2"/>
    <n v="5149.68"/>
    <n v="1"/>
    <x v="1"/>
    <x v="9"/>
    <x v="45"/>
    <x v="0"/>
    <x v="0"/>
    <x v="0"/>
  </r>
  <r>
    <s v="ORD-02033"/>
    <x v="59"/>
    <s v="Riya Malhotra"/>
    <x v="3"/>
    <x v="1"/>
    <n v="2274.12"/>
    <n v="14"/>
    <x v="1"/>
    <x v="3"/>
    <x v="46"/>
    <x v="1"/>
    <x v="0"/>
    <x v="1"/>
  </r>
  <r>
    <s v="ORD-01410"/>
    <x v="60"/>
    <s v="Sneha Gupta"/>
    <x v="3"/>
    <x v="1"/>
    <n v="2626.64"/>
    <n v="18"/>
    <x v="1"/>
    <x v="3"/>
    <x v="47"/>
    <x v="2"/>
    <x v="0"/>
    <x v="1"/>
  </r>
  <r>
    <s v="ORD-01426"/>
    <x v="61"/>
    <s v="Dev Mathur"/>
    <x v="3"/>
    <x v="1"/>
    <n v="3260.9"/>
    <n v="6"/>
    <x v="1"/>
    <x v="17"/>
    <x v="48"/>
    <x v="1"/>
    <x v="0"/>
    <x v="0"/>
  </r>
  <r>
    <s v="ORD-02068"/>
    <x v="62"/>
    <s v="Amit Kumar"/>
    <x v="3"/>
    <x v="0"/>
    <n v="14084.9"/>
    <n v="7"/>
    <x v="1"/>
    <x v="6"/>
    <x v="49"/>
    <x v="1"/>
    <x v="0"/>
    <x v="1"/>
  </r>
  <r>
    <s v="ORD-01855"/>
    <x v="63"/>
    <s v="Neha Tiwari"/>
    <x v="1"/>
    <x v="2"/>
    <n v="8626.86"/>
    <n v="4"/>
    <x v="1"/>
    <x v="4"/>
    <x v="50"/>
    <x v="0"/>
    <x v="0"/>
    <x v="1"/>
  </r>
  <r>
    <s v="ORD-02226"/>
    <x v="64"/>
    <s v="Smita Patil"/>
    <x v="3"/>
    <x v="1"/>
    <n v="0"/>
    <n v="5"/>
    <x v="2"/>
    <x v="11"/>
    <x v="0"/>
    <x v="0"/>
    <x v="0"/>
    <x v="0"/>
  </r>
  <r>
    <s v="ORD-01882"/>
    <x v="10"/>
    <s v="Tarun Mukerjee"/>
    <x v="3"/>
    <x v="1"/>
    <n v="1040.8"/>
    <n v="20"/>
    <x v="1"/>
    <x v="8"/>
    <x v="51"/>
    <x v="2"/>
    <x v="0"/>
    <x v="1"/>
  </r>
  <r>
    <s v="ORD-01568"/>
    <x v="65"/>
    <s v="Nidhi Bhatt"/>
    <x v="0"/>
    <x v="1"/>
    <n v="3498.03"/>
    <n v="27"/>
    <x v="1"/>
    <x v="16"/>
    <x v="52"/>
    <x v="2"/>
    <x v="0"/>
    <x v="0"/>
  </r>
  <r>
    <s v="ORD-01001"/>
    <x v="66"/>
    <s v="Rahul Verma"/>
    <x v="3"/>
    <x v="2"/>
    <n v="0"/>
    <n v="1"/>
    <x v="2"/>
    <x v="17"/>
    <x v="0"/>
    <x v="0"/>
    <x v="0"/>
    <x v="1"/>
  </r>
  <r>
    <s v="ORD-01992"/>
    <x v="67"/>
    <s v="Geeta Pandey"/>
    <x v="2"/>
    <x v="2"/>
    <n v="0"/>
    <n v="1"/>
    <x v="2"/>
    <x v="3"/>
    <x v="0"/>
    <x v="0"/>
    <x v="0"/>
    <x v="1"/>
  </r>
  <r>
    <s v="ORD-02459"/>
    <x v="68"/>
    <s v="Nidhi Bhatt"/>
    <x v="0"/>
    <x v="0"/>
    <n v="17999.189999999999"/>
    <n v="7"/>
    <x v="1"/>
    <x v="7"/>
    <x v="53"/>
    <x v="1"/>
    <x v="0"/>
    <x v="1"/>
  </r>
  <r>
    <s v="ORD-02349"/>
    <x v="17"/>
    <s v="Riya Malhotra"/>
    <x v="3"/>
    <x v="1"/>
    <n v="291.43"/>
    <n v="2"/>
    <x v="1"/>
    <x v="13"/>
    <x v="54"/>
    <x v="0"/>
    <x v="0"/>
    <x v="0"/>
  </r>
  <r>
    <s v="ORD-01347"/>
    <x v="69"/>
    <s v="Neha Tiwari"/>
    <x v="1"/>
    <x v="1"/>
    <n v="2690.94"/>
    <n v="2"/>
    <x v="1"/>
    <x v="1"/>
    <x v="55"/>
    <x v="0"/>
    <x v="0"/>
    <x v="1"/>
  </r>
  <r>
    <s v="ORD-01625"/>
    <x v="70"/>
    <s v="Pooja Iyer"/>
    <x v="1"/>
    <x v="1"/>
    <n v="2539.38"/>
    <n v="4"/>
    <x v="1"/>
    <x v="15"/>
    <x v="56"/>
    <x v="0"/>
    <x v="0"/>
    <x v="0"/>
  </r>
  <r>
    <s v="ORD-01194"/>
    <x v="71"/>
    <s v="Vikram Singh"/>
    <x v="2"/>
    <x v="1"/>
    <n v="1987.81"/>
    <n v="22"/>
    <x v="1"/>
    <x v="9"/>
    <x v="57"/>
    <x v="2"/>
    <x v="0"/>
    <x v="1"/>
  </r>
  <r>
    <s v="ORD-02010"/>
    <x v="72"/>
    <s v="Deepa Pillai"/>
    <x v="3"/>
    <x v="1"/>
    <n v="2999.76"/>
    <n v="3"/>
    <x v="1"/>
    <x v="22"/>
    <x v="58"/>
    <x v="0"/>
    <x v="0"/>
    <x v="1"/>
  </r>
  <r>
    <s v="ORD-01473"/>
    <x v="73"/>
    <s v="Kavya Nair"/>
    <x v="1"/>
    <x v="1"/>
    <n v="2214.9899999999998"/>
    <n v="16"/>
    <x v="1"/>
    <x v="19"/>
    <x v="59"/>
    <x v="2"/>
    <x v="0"/>
    <x v="1"/>
  </r>
  <r>
    <s v="ORD-02418"/>
    <x v="74"/>
    <s v="Nikhil Desai"/>
    <x v="0"/>
    <x v="2"/>
    <n v="30207.24"/>
    <n v="1"/>
    <x v="1"/>
    <x v="18"/>
    <x v="60"/>
    <x v="0"/>
    <x v="1"/>
    <x v="0"/>
  </r>
  <r>
    <s v="ORD-01486"/>
    <x v="45"/>
    <s v="Arjun Reddy"/>
    <x v="0"/>
    <x v="1"/>
    <n v="1475.05"/>
    <n v="29"/>
    <x v="1"/>
    <x v="1"/>
    <x v="61"/>
    <x v="2"/>
    <x v="0"/>
    <x v="0"/>
  </r>
  <r>
    <s v="ORD-01664"/>
    <x v="75"/>
    <s v="Divya Kaur"/>
    <x v="1"/>
    <x v="1"/>
    <n v="156.33000000000001"/>
    <n v="6"/>
    <x v="1"/>
    <x v="10"/>
    <x v="62"/>
    <x v="1"/>
    <x v="0"/>
    <x v="0"/>
  </r>
  <r>
    <s v="ORD-01051"/>
    <x v="76"/>
    <s v="Kiran Nambiar"/>
    <x v="2"/>
    <x v="2"/>
    <n v="956.72"/>
    <n v="2"/>
    <x v="1"/>
    <x v="17"/>
    <x v="63"/>
    <x v="0"/>
    <x v="0"/>
    <x v="1"/>
  </r>
  <r>
    <s v="ORD-02196"/>
    <x v="77"/>
    <s v="Rohan Mehta"/>
    <x v="0"/>
    <x v="1"/>
    <n v="550.78"/>
    <n v="8"/>
    <x v="1"/>
    <x v="13"/>
    <x v="64"/>
    <x v="1"/>
    <x v="0"/>
    <x v="1"/>
  </r>
  <r>
    <s v="ORD-01844"/>
    <x v="78"/>
    <s v="Kiran Nambiar"/>
    <x v="2"/>
    <x v="1"/>
    <n v="1186.03"/>
    <n v="18"/>
    <x v="1"/>
    <x v="12"/>
    <x v="65"/>
    <x v="2"/>
    <x v="0"/>
    <x v="1"/>
  </r>
  <r>
    <s v="ORD-01847"/>
    <x v="79"/>
    <s v="Deepa Pillai"/>
    <x v="3"/>
    <x v="1"/>
    <n v="1888.72"/>
    <n v="24"/>
    <x v="1"/>
    <x v="0"/>
    <x v="66"/>
    <x v="2"/>
    <x v="0"/>
    <x v="1"/>
  </r>
  <r>
    <s v="ORD-01904"/>
    <x v="80"/>
    <s v="Sneha Gupta"/>
    <x v="3"/>
    <x v="1"/>
    <n v="2622.16"/>
    <n v="1"/>
    <x v="1"/>
    <x v="20"/>
    <x v="67"/>
    <x v="0"/>
    <x v="0"/>
    <x v="1"/>
  </r>
  <r>
    <s v="ORD-01121"/>
    <x v="81"/>
    <s v="Deepa Pillai"/>
    <x v="2"/>
    <x v="1"/>
    <n v="2098.65"/>
    <n v="10"/>
    <x v="1"/>
    <x v="18"/>
    <x v="68"/>
    <x v="1"/>
    <x v="0"/>
    <x v="0"/>
  </r>
  <r>
    <s v="ORD-01935"/>
    <x v="82"/>
    <s v="Tarun Mukerjee"/>
    <x v="3"/>
    <x v="1"/>
    <n v="670.3"/>
    <n v="17"/>
    <x v="1"/>
    <x v="8"/>
    <x v="69"/>
    <x v="2"/>
    <x v="0"/>
    <x v="1"/>
  </r>
  <r>
    <s v="ORD-02003"/>
    <x v="83"/>
    <s v="Neha Tiwari"/>
    <x v="1"/>
    <x v="0"/>
    <n v="4372.12"/>
    <n v="2"/>
    <x v="1"/>
    <x v="10"/>
    <x v="70"/>
    <x v="0"/>
    <x v="0"/>
    <x v="1"/>
  </r>
  <r>
    <s v="ORD-01405"/>
    <x v="57"/>
    <s v="Geeta Pandey"/>
    <x v="2"/>
    <x v="0"/>
    <n v="0"/>
    <n v="3"/>
    <x v="2"/>
    <x v="4"/>
    <x v="0"/>
    <x v="0"/>
    <x v="0"/>
    <x v="1"/>
  </r>
  <r>
    <s v="ORD-02317"/>
    <x v="84"/>
    <s v="Sneha Gupta"/>
    <x v="0"/>
    <x v="0"/>
    <n v="11891.18"/>
    <n v="2"/>
    <x v="1"/>
    <x v="14"/>
    <x v="71"/>
    <x v="0"/>
    <x v="0"/>
    <x v="1"/>
  </r>
  <r>
    <s v="ORD-01074"/>
    <x v="85"/>
    <s v="Divya Kaur"/>
    <x v="1"/>
    <x v="2"/>
    <n v="0"/>
    <n v="1"/>
    <x v="0"/>
    <x v="8"/>
    <x v="0"/>
    <x v="0"/>
    <x v="0"/>
    <x v="0"/>
  </r>
  <r>
    <s v="ORD-02461"/>
    <x v="86"/>
    <s v="Rohan Mehta"/>
    <x v="0"/>
    <x v="1"/>
    <n v="2752.99"/>
    <n v="17"/>
    <x v="1"/>
    <x v="16"/>
    <x v="72"/>
    <x v="2"/>
    <x v="0"/>
    <x v="1"/>
  </r>
  <r>
    <s v="ORD-01934"/>
    <x v="47"/>
    <s v="Pooja Iyer"/>
    <x v="1"/>
    <x v="1"/>
    <n v="2830.5"/>
    <n v="28"/>
    <x v="1"/>
    <x v="10"/>
    <x v="73"/>
    <x v="2"/>
    <x v="0"/>
    <x v="0"/>
  </r>
  <r>
    <s v="ORD-01938"/>
    <x v="58"/>
    <s v="Ajay Rastogi"/>
    <x v="1"/>
    <x v="2"/>
    <n v="25912.21"/>
    <n v="3"/>
    <x v="1"/>
    <x v="9"/>
    <x v="74"/>
    <x v="0"/>
    <x v="0"/>
    <x v="0"/>
  </r>
  <r>
    <s v="ORD-01833"/>
    <x v="87"/>
    <s v="Rohan Mehta"/>
    <x v="0"/>
    <x v="1"/>
    <n v="1867.46"/>
    <n v="9"/>
    <x v="1"/>
    <x v="4"/>
    <x v="75"/>
    <x v="1"/>
    <x v="0"/>
    <x v="1"/>
  </r>
  <r>
    <s v="ORD-01979"/>
    <x v="88"/>
    <s v="Yash Agarwal"/>
    <x v="1"/>
    <x v="2"/>
    <n v="0"/>
    <n v="1"/>
    <x v="2"/>
    <x v="17"/>
    <x v="0"/>
    <x v="0"/>
    <x v="0"/>
    <x v="1"/>
  </r>
  <r>
    <s v="ORD-01586"/>
    <x v="89"/>
    <s v="Harsh Shah"/>
    <x v="2"/>
    <x v="0"/>
    <n v="13696.2"/>
    <n v="4"/>
    <x v="1"/>
    <x v="13"/>
    <x v="76"/>
    <x v="0"/>
    <x v="0"/>
    <x v="1"/>
  </r>
  <r>
    <s v="ORD-01493"/>
    <x v="90"/>
    <s v="Vivek Chopra"/>
    <x v="2"/>
    <x v="1"/>
    <n v="2131.39"/>
    <n v="7"/>
    <x v="1"/>
    <x v="12"/>
    <x v="77"/>
    <x v="1"/>
    <x v="0"/>
    <x v="0"/>
  </r>
  <r>
    <s v="ORD-01769"/>
    <x v="91"/>
    <s v="Neha Tiwari"/>
    <x v="1"/>
    <x v="1"/>
    <n v="1558.02"/>
    <n v="8"/>
    <x v="1"/>
    <x v="23"/>
    <x v="78"/>
    <x v="1"/>
    <x v="0"/>
    <x v="1"/>
  </r>
  <r>
    <s v="ORD-01180"/>
    <x v="79"/>
    <s v="Aakash Bhat"/>
    <x v="0"/>
    <x v="1"/>
    <n v="795.03"/>
    <n v="28"/>
    <x v="1"/>
    <x v="0"/>
    <x v="79"/>
    <x v="2"/>
    <x v="0"/>
    <x v="1"/>
  </r>
  <r>
    <s v="ORD-01014"/>
    <x v="92"/>
    <s v="Aakash Bhat"/>
    <x v="0"/>
    <x v="0"/>
    <n v="15958.89"/>
    <n v="8"/>
    <x v="1"/>
    <x v="11"/>
    <x v="80"/>
    <x v="1"/>
    <x v="0"/>
    <x v="0"/>
  </r>
  <r>
    <s v="ORD-02054"/>
    <x v="52"/>
    <s v="Asha Kulkarni"/>
    <x v="0"/>
    <x v="2"/>
    <n v="0"/>
    <n v="5"/>
    <x v="0"/>
    <x v="15"/>
    <x v="0"/>
    <x v="0"/>
    <x v="0"/>
    <x v="1"/>
  </r>
  <r>
    <s v="ORD-02015"/>
    <x v="93"/>
    <s v="Sneha Gupta"/>
    <x v="3"/>
    <x v="2"/>
    <n v="0"/>
    <n v="1"/>
    <x v="2"/>
    <x v="15"/>
    <x v="0"/>
    <x v="0"/>
    <x v="0"/>
    <x v="0"/>
  </r>
  <r>
    <s v="ORD-01893"/>
    <x v="94"/>
    <s v="Ajay Rastogi"/>
    <x v="1"/>
    <x v="0"/>
    <n v="10126.64"/>
    <n v="1"/>
    <x v="1"/>
    <x v="11"/>
    <x v="81"/>
    <x v="0"/>
    <x v="0"/>
    <x v="1"/>
  </r>
  <r>
    <s v="ORD-01249"/>
    <x v="95"/>
    <s v="Rahul Verma"/>
    <x v="2"/>
    <x v="0"/>
    <n v="10862.28"/>
    <n v="1"/>
    <x v="1"/>
    <x v="18"/>
    <x v="82"/>
    <x v="0"/>
    <x v="0"/>
    <x v="1"/>
  </r>
  <r>
    <s v="ORD-01137"/>
    <x v="96"/>
    <s v="Vivek Chopra"/>
    <x v="2"/>
    <x v="1"/>
    <n v="1457.57"/>
    <n v="8"/>
    <x v="1"/>
    <x v="12"/>
    <x v="83"/>
    <x v="1"/>
    <x v="0"/>
    <x v="1"/>
  </r>
  <r>
    <s v="ORD-01073"/>
    <x v="52"/>
    <s v="Sarita Bansal"/>
    <x v="2"/>
    <x v="2"/>
    <n v="20929.39"/>
    <n v="5"/>
    <x v="1"/>
    <x v="15"/>
    <x v="84"/>
    <x v="0"/>
    <x v="0"/>
    <x v="1"/>
  </r>
  <r>
    <s v="ORD-02314"/>
    <x v="97"/>
    <s v="Padma Subramaniam"/>
    <x v="2"/>
    <x v="0"/>
    <n v="8095.22"/>
    <n v="6"/>
    <x v="1"/>
    <x v="3"/>
    <x v="85"/>
    <x v="1"/>
    <x v="0"/>
    <x v="1"/>
  </r>
  <r>
    <s v="ORD-02315"/>
    <x v="97"/>
    <s v="Neha Tiwari"/>
    <x v="1"/>
    <x v="2"/>
    <n v="0"/>
    <n v="3"/>
    <x v="2"/>
    <x v="3"/>
    <x v="0"/>
    <x v="0"/>
    <x v="0"/>
    <x v="1"/>
  </r>
  <r>
    <s v="ORD-01721"/>
    <x v="98"/>
    <s v="Priya Patel"/>
    <x v="3"/>
    <x v="1"/>
    <n v="50.99"/>
    <n v="6"/>
    <x v="1"/>
    <x v="12"/>
    <x v="86"/>
    <x v="1"/>
    <x v="0"/>
    <x v="1"/>
  </r>
  <r>
    <s v="ORD-01327"/>
    <x v="99"/>
    <s v="Sanjay Joshi"/>
    <x v="3"/>
    <x v="0"/>
    <n v="10349.73"/>
    <n v="4"/>
    <x v="1"/>
    <x v="14"/>
    <x v="87"/>
    <x v="0"/>
    <x v="0"/>
    <x v="1"/>
  </r>
  <r>
    <s v="ORD-01985"/>
    <x v="100"/>
    <s v="Pooja Iyer"/>
    <x v="1"/>
    <x v="0"/>
    <n v="14827.08"/>
    <n v="2"/>
    <x v="1"/>
    <x v="8"/>
    <x v="88"/>
    <x v="0"/>
    <x v="0"/>
    <x v="1"/>
  </r>
  <r>
    <s v="ORD-01269"/>
    <x v="101"/>
    <s v="Ajay Rastogi"/>
    <x v="1"/>
    <x v="0"/>
    <n v="7345.2"/>
    <n v="5"/>
    <x v="1"/>
    <x v="18"/>
    <x v="89"/>
    <x v="0"/>
    <x v="0"/>
    <x v="1"/>
  </r>
  <r>
    <s v="ORD-02055"/>
    <x v="102"/>
    <s v="Arjun Reddy"/>
    <x v="3"/>
    <x v="0"/>
    <n v="0"/>
    <n v="8"/>
    <x v="2"/>
    <x v="23"/>
    <x v="0"/>
    <x v="1"/>
    <x v="0"/>
    <x v="0"/>
  </r>
  <r>
    <s v="ORD-01577"/>
    <x v="103"/>
    <s v="Gaurav Mishra"/>
    <x v="0"/>
    <x v="2"/>
    <n v="16503.53"/>
    <n v="3"/>
    <x v="1"/>
    <x v="13"/>
    <x v="90"/>
    <x v="0"/>
    <x v="0"/>
    <x v="1"/>
  </r>
  <r>
    <s v="ORD-01285"/>
    <x v="104"/>
    <s v="Rohan Mehta"/>
    <x v="0"/>
    <x v="1"/>
    <n v="2710.03"/>
    <n v="9"/>
    <x v="1"/>
    <x v="20"/>
    <x v="91"/>
    <x v="1"/>
    <x v="0"/>
    <x v="0"/>
  </r>
  <r>
    <s v="ORD-02433"/>
    <x v="99"/>
    <s v="Manish Srivastava"/>
    <x v="3"/>
    <x v="1"/>
    <n v="474.69"/>
    <n v="5"/>
    <x v="1"/>
    <x v="14"/>
    <x v="92"/>
    <x v="0"/>
    <x v="0"/>
    <x v="1"/>
  </r>
  <r>
    <s v="ORD-02027"/>
    <x v="105"/>
    <s v="Asha Kulkarni"/>
    <x v="0"/>
    <x v="0"/>
    <n v="12863.91"/>
    <n v="5"/>
    <x v="1"/>
    <x v="15"/>
    <x v="93"/>
    <x v="0"/>
    <x v="0"/>
    <x v="1"/>
  </r>
  <r>
    <s v="ORD-01917"/>
    <x v="106"/>
    <s v="Lakshmi Venkat"/>
    <x v="1"/>
    <x v="2"/>
    <n v="35825.449999999997"/>
    <n v="5"/>
    <x v="1"/>
    <x v="7"/>
    <x v="94"/>
    <x v="0"/>
    <x v="1"/>
    <x v="1"/>
  </r>
  <r>
    <s v="ORD-01784"/>
    <x v="107"/>
    <s v="Suresh Rao"/>
    <x v="1"/>
    <x v="1"/>
    <n v="0"/>
    <n v="16"/>
    <x v="2"/>
    <x v="16"/>
    <x v="0"/>
    <x v="2"/>
    <x v="0"/>
    <x v="0"/>
  </r>
  <r>
    <s v="ORD-01035"/>
    <x v="108"/>
    <s v="Pooja Iyer"/>
    <x v="1"/>
    <x v="0"/>
    <n v="8488.52"/>
    <n v="2"/>
    <x v="1"/>
    <x v="5"/>
    <x v="95"/>
    <x v="0"/>
    <x v="0"/>
    <x v="1"/>
  </r>
  <r>
    <s v="ORD-01885"/>
    <x v="109"/>
    <s v="Riya Malhotra"/>
    <x v="3"/>
    <x v="2"/>
    <n v="869.88"/>
    <n v="1"/>
    <x v="1"/>
    <x v="22"/>
    <x v="96"/>
    <x v="0"/>
    <x v="0"/>
    <x v="1"/>
  </r>
  <r>
    <s v="ORD-01007"/>
    <x v="110"/>
    <s v="Dev Mathur"/>
    <x v="3"/>
    <x v="0"/>
    <n v="1694.76"/>
    <n v="5"/>
    <x v="1"/>
    <x v="5"/>
    <x v="97"/>
    <x v="0"/>
    <x v="0"/>
    <x v="1"/>
  </r>
  <r>
    <s v="ORD-01840"/>
    <x v="111"/>
    <s v="Smita Patil"/>
    <x v="3"/>
    <x v="0"/>
    <n v="4480.82"/>
    <n v="5"/>
    <x v="1"/>
    <x v="6"/>
    <x v="98"/>
    <x v="0"/>
    <x v="0"/>
    <x v="1"/>
  </r>
  <r>
    <s v="ORD-02036"/>
    <x v="112"/>
    <s v="Riya Malhotra"/>
    <x v="3"/>
    <x v="0"/>
    <n v="13924.57"/>
    <n v="1"/>
    <x v="1"/>
    <x v="14"/>
    <x v="99"/>
    <x v="0"/>
    <x v="0"/>
    <x v="0"/>
  </r>
  <r>
    <s v="ORD-02038"/>
    <x v="113"/>
    <s v="Tara Saxena"/>
    <x v="3"/>
    <x v="2"/>
    <n v="37898.46"/>
    <n v="2"/>
    <x v="1"/>
    <x v="9"/>
    <x v="100"/>
    <x v="0"/>
    <x v="1"/>
    <x v="1"/>
  </r>
  <r>
    <s v="ORD-01479"/>
    <x v="114"/>
    <s v="Asha Kulkarni"/>
    <x v="0"/>
    <x v="0"/>
    <n v="1520"/>
    <n v="8"/>
    <x v="1"/>
    <x v="2"/>
    <x v="101"/>
    <x v="1"/>
    <x v="0"/>
    <x v="1"/>
  </r>
  <r>
    <s v="ORD-02227"/>
    <x v="115"/>
    <s v="Yash Agarwal"/>
    <x v="1"/>
    <x v="1"/>
    <n v="2204.04"/>
    <n v="20"/>
    <x v="1"/>
    <x v="16"/>
    <x v="102"/>
    <x v="2"/>
    <x v="0"/>
    <x v="0"/>
  </r>
  <r>
    <s v="ORD-01330"/>
    <x v="116"/>
    <s v="Divya Kaur"/>
    <x v="1"/>
    <x v="0"/>
    <n v="17186.419999999998"/>
    <n v="5"/>
    <x v="1"/>
    <x v="14"/>
    <x v="103"/>
    <x v="0"/>
    <x v="0"/>
    <x v="1"/>
  </r>
  <r>
    <s v="ORD-01652"/>
    <x v="117"/>
    <s v="Aakash Bhat"/>
    <x v="0"/>
    <x v="1"/>
    <n v="0"/>
    <n v="18"/>
    <x v="0"/>
    <x v="1"/>
    <x v="0"/>
    <x v="2"/>
    <x v="0"/>
    <x v="0"/>
  </r>
  <r>
    <s v="ORD-02373"/>
    <x v="118"/>
    <s v="Deepa Pillai"/>
    <x v="3"/>
    <x v="2"/>
    <n v="19173.060000000001"/>
    <n v="1"/>
    <x v="1"/>
    <x v="7"/>
    <x v="104"/>
    <x v="0"/>
    <x v="0"/>
    <x v="0"/>
  </r>
  <r>
    <s v="ORD-02074"/>
    <x v="119"/>
    <s v="Amit Kumar"/>
    <x v="0"/>
    <x v="0"/>
    <n v="2518.59"/>
    <n v="3"/>
    <x v="1"/>
    <x v="21"/>
    <x v="105"/>
    <x v="0"/>
    <x v="0"/>
    <x v="1"/>
  </r>
  <r>
    <s v="ORD-01278"/>
    <x v="120"/>
    <s v="Ajay Rastogi"/>
    <x v="3"/>
    <x v="1"/>
    <n v="0"/>
    <n v="15"/>
    <x v="2"/>
    <x v="16"/>
    <x v="0"/>
    <x v="1"/>
    <x v="0"/>
    <x v="0"/>
  </r>
  <r>
    <s v="ORD-01954"/>
    <x v="121"/>
    <s v="Manish Srivastava"/>
    <x v="3"/>
    <x v="1"/>
    <n v="3052.46"/>
    <n v="1"/>
    <x v="1"/>
    <x v="16"/>
    <x v="106"/>
    <x v="0"/>
    <x v="0"/>
    <x v="0"/>
  </r>
  <r>
    <s v="ORD-01047"/>
    <x v="122"/>
    <s v="Vivek Chopra"/>
    <x v="2"/>
    <x v="1"/>
    <n v="1874.85"/>
    <n v="22"/>
    <x v="1"/>
    <x v="9"/>
    <x v="107"/>
    <x v="2"/>
    <x v="0"/>
    <x v="1"/>
  </r>
  <r>
    <s v="ORD-02378"/>
    <x v="123"/>
    <s v="Dev Mathur"/>
    <x v="3"/>
    <x v="1"/>
    <n v="641.53"/>
    <n v="4"/>
    <x v="1"/>
    <x v="8"/>
    <x v="108"/>
    <x v="0"/>
    <x v="0"/>
    <x v="1"/>
  </r>
  <r>
    <s v="ORD-01264"/>
    <x v="124"/>
    <s v="Yash Agarwal"/>
    <x v="1"/>
    <x v="2"/>
    <n v="32925.199999999997"/>
    <n v="3"/>
    <x v="1"/>
    <x v="8"/>
    <x v="109"/>
    <x v="0"/>
    <x v="1"/>
    <x v="0"/>
  </r>
  <r>
    <s v="ORD-01976"/>
    <x v="125"/>
    <s v="Arjun Reddy"/>
    <x v="0"/>
    <x v="0"/>
    <n v="0"/>
    <n v="8"/>
    <x v="0"/>
    <x v="20"/>
    <x v="0"/>
    <x v="1"/>
    <x v="0"/>
    <x v="0"/>
  </r>
  <r>
    <s v="ORD-01737"/>
    <x v="126"/>
    <s v="Nikhil Desai"/>
    <x v="0"/>
    <x v="1"/>
    <n v="0"/>
    <n v="8"/>
    <x v="0"/>
    <x v="0"/>
    <x v="0"/>
    <x v="1"/>
    <x v="0"/>
    <x v="0"/>
  </r>
  <r>
    <s v="ORD-02040"/>
    <x v="127"/>
    <s v="Aakash Bhat"/>
    <x v="0"/>
    <x v="2"/>
    <n v="30217.46"/>
    <n v="3"/>
    <x v="1"/>
    <x v="13"/>
    <x v="110"/>
    <x v="0"/>
    <x v="1"/>
    <x v="0"/>
  </r>
  <r>
    <s v="ORD-01069"/>
    <x v="128"/>
    <s v="Aakash Bhat"/>
    <x v="0"/>
    <x v="1"/>
    <n v="2142.98"/>
    <n v="11"/>
    <x v="1"/>
    <x v="1"/>
    <x v="111"/>
    <x v="1"/>
    <x v="0"/>
    <x v="0"/>
  </r>
  <r>
    <s v="ORD-01428"/>
    <x v="129"/>
    <s v="Smita Patil"/>
    <x v="3"/>
    <x v="0"/>
    <n v="2716.66"/>
    <n v="7"/>
    <x v="1"/>
    <x v="20"/>
    <x v="112"/>
    <x v="1"/>
    <x v="0"/>
    <x v="1"/>
  </r>
  <r>
    <s v="ORD-01234"/>
    <x v="130"/>
    <s v="Asha Kulkarni"/>
    <x v="3"/>
    <x v="1"/>
    <n v="502.12"/>
    <n v="13"/>
    <x v="1"/>
    <x v="9"/>
    <x v="113"/>
    <x v="1"/>
    <x v="0"/>
    <x v="0"/>
  </r>
  <r>
    <s v="ORD-01707"/>
    <x v="131"/>
    <s v="Sneha Gupta"/>
    <x v="3"/>
    <x v="0"/>
    <n v="8745.4"/>
    <n v="4"/>
    <x v="1"/>
    <x v="0"/>
    <x v="114"/>
    <x v="0"/>
    <x v="0"/>
    <x v="1"/>
  </r>
  <r>
    <s v="ORD-02398"/>
    <x v="132"/>
    <s v="Neha Tiwari"/>
    <x v="1"/>
    <x v="2"/>
    <n v="0"/>
    <n v="5"/>
    <x v="2"/>
    <x v="5"/>
    <x v="0"/>
    <x v="0"/>
    <x v="0"/>
    <x v="1"/>
  </r>
  <r>
    <s v="ORD-01947"/>
    <x v="133"/>
    <s v="Pooja Iyer"/>
    <x v="1"/>
    <x v="0"/>
    <n v="0"/>
    <n v="1"/>
    <x v="2"/>
    <x v="14"/>
    <x v="0"/>
    <x v="0"/>
    <x v="0"/>
    <x v="0"/>
  </r>
  <r>
    <s v="ORD-02180"/>
    <x v="134"/>
    <s v="Vivek Chopra"/>
    <x v="2"/>
    <x v="1"/>
    <n v="502.94"/>
    <n v="22"/>
    <x v="1"/>
    <x v="10"/>
    <x v="115"/>
    <x v="2"/>
    <x v="0"/>
    <x v="1"/>
  </r>
  <r>
    <s v="ORD-01119"/>
    <x v="135"/>
    <s v="Vikram Singh"/>
    <x v="2"/>
    <x v="1"/>
    <n v="392.36"/>
    <n v="25"/>
    <x v="1"/>
    <x v="22"/>
    <x v="116"/>
    <x v="2"/>
    <x v="0"/>
    <x v="1"/>
  </r>
  <r>
    <s v="ORD-01091"/>
    <x v="136"/>
    <s v="Suresh Rao"/>
    <x v="2"/>
    <x v="2"/>
    <n v="28263.040000000001"/>
    <n v="2"/>
    <x v="1"/>
    <x v="20"/>
    <x v="117"/>
    <x v="0"/>
    <x v="1"/>
    <x v="1"/>
  </r>
  <r>
    <s v="ORD-02321"/>
    <x v="137"/>
    <s v="Priya Patel"/>
    <x v="3"/>
    <x v="1"/>
    <n v="702.4"/>
    <n v="18"/>
    <x v="1"/>
    <x v="14"/>
    <x v="118"/>
    <x v="2"/>
    <x v="0"/>
    <x v="1"/>
  </r>
  <r>
    <s v="ORD-02379"/>
    <x v="138"/>
    <s v="Divya Kaur"/>
    <x v="1"/>
    <x v="1"/>
    <n v="508.61"/>
    <n v="6"/>
    <x v="1"/>
    <x v="11"/>
    <x v="119"/>
    <x v="1"/>
    <x v="0"/>
    <x v="1"/>
  </r>
  <r>
    <s v="ORD-01445"/>
    <x v="22"/>
    <s v="Nikhil Desai"/>
    <x v="0"/>
    <x v="0"/>
    <n v="6278.27"/>
    <n v="3"/>
    <x v="1"/>
    <x v="15"/>
    <x v="120"/>
    <x v="0"/>
    <x v="0"/>
    <x v="1"/>
  </r>
  <r>
    <s v="ORD-01436"/>
    <x v="109"/>
    <s v="Kiran Nambiar"/>
    <x v="2"/>
    <x v="2"/>
    <n v="35490.339999999997"/>
    <n v="2"/>
    <x v="1"/>
    <x v="22"/>
    <x v="121"/>
    <x v="0"/>
    <x v="1"/>
    <x v="1"/>
  </r>
  <r>
    <s v="ORD-01958"/>
    <x v="139"/>
    <s v="Suresh Rao"/>
    <x v="2"/>
    <x v="1"/>
    <n v="2708.22"/>
    <n v="17"/>
    <x v="1"/>
    <x v="4"/>
    <x v="122"/>
    <x v="2"/>
    <x v="0"/>
    <x v="1"/>
  </r>
  <r>
    <s v="ORD-01333"/>
    <x v="140"/>
    <s v="Tara Saxena"/>
    <x v="3"/>
    <x v="2"/>
    <n v="10485.48"/>
    <n v="2"/>
    <x v="1"/>
    <x v="21"/>
    <x v="123"/>
    <x v="0"/>
    <x v="0"/>
    <x v="1"/>
  </r>
  <r>
    <s v="ORD-01378"/>
    <x v="141"/>
    <s v="Priya Patel"/>
    <x v="3"/>
    <x v="0"/>
    <n v="6975.9"/>
    <n v="8"/>
    <x v="1"/>
    <x v="17"/>
    <x v="124"/>
    <x v="1"/>
    <x v="0"/>
    <x v="0"/>
  </r>
  <r>
    <s v="ORD-02203"/>
    <x v="142"/>
    <s v="Vikram Singh"/>
    <x v="2"/>
    <x v="0"/>
    <n v="10502.34"/>
    <n v="2"/>
    <x v="1"/>
    <x v="2"/>
    <x v="125"/>
    <x v="0"/>
    <x v="0"/>
    <x v="0"/>
  </r>
  <r>
    <s v="ORD-01386"/>
    <x v="143"/>
    <s v="Gaurav Mishra"/>
    <x v="0"/>
    <x v="1"/>
    <n v="0"/>
    <n v="13"/>
    <x v="0"/>
    <x v="18"/>
    <x v="0"/>
    <x v="1"/>
    <x v="0"/>
    <x v="0"/>
  </r>
  <r>
    <s v="ORD-02075"/>
    <x v="144"/>
    <s v="Rahul Verma"/>
    <x v="2"/>
    <x v="0"/>
    <n v="1052.55"/>
    <n v="2"/>
    <x v="1"/>
    <x v="10"/>
    <x v="126"/>
    <x v="0"/>
    <x v="0"/>
    <x v="1"/>
  </r>
  <r>
    <s v="ORD-02313"/>
    <x v="102"/>
    <s v="Aakash Bhat"/>
    <x v="0"/>
    <x v="2"/>
    <n v="16836.52"/>
    <n v="1"/>
    <x v="1"/>
    <x v="23"/>
    <x v="127"/>
    <x v="0"/>
    <x v="0"/>
    <x v="0"/>
  </r>
  <r>
    <s v="ORD-02171"/>
    <x v="145"/>
    <s v="Nikhil Desai"/>
    <x v="0"/>
    <x v="1"/>
    <n v="2070.59"/>
    <n v="19"/>
    <x v="1"/>
    <x v="19"/>
    <x v="128"/>
    <x v="2"/>
    <x v="0"/>
    <x v="1"/>
  </r>
  <r>
    <s v="ORD-01674"/>
    <x v="146"/>
    <s v="Amit Kumar"/>
    <x v="0"/>
    <x v="0"/>
    <n v="14596.29"/>
    <n v="7"/>
    <x v="1"/>
    <x v="0"/>
    <x v="129"/>
    <x v="1"/>
    <x v="0"/>
    <x v="1"/>
  </r>
  <r>
    <s v="ORD-01637"/>
    <x v="147"/>
    <s v="Tara Saxena"/>
    <x v="3"/>
    <x v="0"/>
    <n v="14606.99"/>
    <n v="2"/>
    <x v="1"/>
    <x v="19"/>
    <x v="130"/>
    <x v="0"/>
    <x v="0"/>
    <x v="0"/>
  </r>
  <r>
    <s v="ORD-02304"/>
    <x v="148"/>
    <s v="Pooja Iyer"/>
    <x v="1"/>
    <x v="2"/>
    <n v="6443.49"/>
    <n v="5"/>
    <x v="1"/>
    <x v="14"/>
    <x v="131"/>
    <x v="0"/>
    <x v="0"/>
    <x v="1"/>
  </r>
  <r>
    <s v="ORD-01057"/>
    <x v="149"/>
    <s v="Sanjay Joshi"/>
    <x v="2"/>
    <x v="2"/>
    <n v="8727.74"/>
    <n v="3"/>
    <x v="1"/>
    <x v="12"/>
    <x v="132"/>
    <x v="0"/>
    <x v="0"/>
    <x v="1"/>
  </r>
  <r>
    <s v="ORD-01341"/>
    <x v="150"/>
    <s v="Aakash Bhat"/>
    <x v="0"/>
    <x v="2"/>
    <n v="19527.419999999998"/>
    <n v="1"/>
    <x v="1"/>
    <x v="3"/>
    <x v="133"/>
    <x v="0"/>
    <x v="0"/>
    <x v="1"/>
  </r>
  <r>
    <s v="ORD-02041"/>
    <x v="151"/>
    <s v="Yash Agarwal"/>
    <x v="1"/>
    <x v="2"/>
    <n v="24387.02"/>
    <n v="1"/>
    <x v="1"/>
    <x v="23"/>
    <x v="134"/>
    <x v="0"/>
    <x v="0"/>
    <x v="1"/>
  </r>
  <r>
    <s v="ORD-01811"/>
    <x v="152"/>
    <s v="Vivek Chopra"/>
    <x v="2"/>
    <x v="2"/>
    <n v="0"/>
    <n v="1"/>
    <x v="0"/>
    <x v="3"/>
    <x v="0"/>
    <x v="0"/>
    <x v="0"/>
    <x v="0"/>
  </r>
  <r>
    <s v="ORD-01911"/>
    <x v="153"/>
    <s v="Vivek Chopra"/>
    <x v="2"/>
    <x v="2"/>
    <n v="32310.12"/>
    <n v="5"/>
    <x v="1"/>
    <x v="6"/>
    <x v="135"/>
    <x v="0"/>
    <x v="1"/>
    <x v="0"/>
  </r>
  <r>
    <s v="ORD-01389"/>
    <x v="154"/>
    <s v="Tara Saxena"/>
    <x v="3"/>
    <x v="1"/>
    <n v="303.60000000000002"/>
    <n v="9"/>
    <x v="1"/>
    <x v="22"/>
    <x v="136"/>
    <x v="1"/>
    <x v="0"/>
    <x v="1"/>
  </r>
  <r>
    <s v="ORD-01713"/>
    <x v="155"/>
    <s v="Manish Srivastava"/>
    <x v="3"/>
    <x v="0"/>
    <n v="0"/>
    <n v="7"/>
    <x v="2"/>
    <x v="9"/>
    <x v="0"/>
    <x v="1"/>
    <x v="0"/>
    <x v="1"/>
  </r>
  <r>
    <s v="ORD-02446"/>
    <x v="156"/>
    <s v="Sanjay Joshi"/>
    <x v="2"/>
    <x v="1"/>
    <n v="1401.74"/>
    <n v="27"/>
    <x v="1"/>
    <x v="20"/>
    <x v="137"/>
    <x v="2"/>
    <x v="0"/>
    <x v="1"/>
  </r>
  <r>
    <s v="ORD-02020"/>
    <x v="157"/>
    <s v="Tara Saxena"/>
    <x v="3"/>
    <x v="0"/>
    <n v="0"/>
    <n v="4"/>
    <x v="2"/>
    <x v="20"/>
    <x v="0"/>
    <x v="0"/>
    <x v="0"/>
    <x v="1"/>
  </r>
  <r>
    <s v="ORD-02423"/>
    <x v="158"/>
    <s v="Tarun Mukerjee"/>
    <x v="3"/>
    <x v="1"/>
    <n v="0"/>
    <n v="23"/>
    <x v="0"/>
    <x v="3"/>
    <x v="0"/>
    <x v="2"/>
    <x v="0"/>
    <x v="1"/>
  </r>
  <r>
    <s v="ORD-01734"/>
    <x v="159"/>
    <s v="Riya Malhotra"/>
    <x v="3"/>
    <x v="2"/>
    <n v="37765.99"/>
    <n v="3"/>
    <x v="1"/>
    <x v="13"/>
    <x v="138"/>
    <x v="0"/>
    <x v="1"/>
    <x v="1"/>
  </r>
  <r>
    <s v="ORD-01678"/>
    <x v="160"/>
    <s v="Pooja Iyer"/>
    <x v="1"/>
    <x v="2"/>
    <n v="0"/>
    <n v="1"/>
    <x v="2"/>
    <x v="1"/>
    <x v="0"/>
    <x v="0"/>
    <x v="0"/>
    <x v="0"/>
  </r>
  <r>
    <s v="ORD-01539"/>
    <x v="161"/>
    <s v="Amit Kumar"/>
    <x v="0"/>
    <x v="1"/>
    <n v="383.62"/>
    <n v="22"/>
    <x v="1"/>
    <x v="18"/>
    <x v="139"/>
    <x v="2"/>
    <x v="0"/>
    <x v="0"/>
  </r>
  <r>
    <s v="ORD-02324"/>
    <x v="162"/>
    <s v="Kavya Nair"/>
    <x v="1"/>
    <x v="0"/>
    <n v="13598.15"/>
    <n v="6"/>
    <x v="1"/>
    <x v="22"/>
    <x v="140"/>
    <x v="1"/>
    <x v="0"/>
    <x v="0"/>
  </r>
  <r>
    <s v="ORD-01257"/>
    <x v="163"/>
    <s v="Priya Patel"/>
    <x v="3"/>
    <x v="2"/>
    <n v="35767.03"/>
    <n v="1"/>
    <x v="1"/>
    <x v="5"/>
    <x v="141"/>
    <x v="0"/>
    <x v="1"/>
    <x v="0"/>
  </r>
  <r>
    <s v="ORD-02381"/>
    <x v="164"/>
    <s v="Nidhi Bhatt"/>
    <x v="0"/>
    <x v="1"/>
    <n v="2260.04"/>
    <n v="8"/>
    <x v="1"/>
    <x v="22"/>
    <x v="142"/>
    <x v="1"/>
    <x v="0"/>
    <x v="0"/>
  </r>
  <r>
    <s v="ORD-02407"/>
    <x v="165"/>
    <s v="Nidhi Bhatt"/>
    <x v="0"/>
    <x v="2"/>
    <n v="23719.34"/>
    <n v="2"/>
    <x v="1"/>
    <x v="8"/>
    <x v="143"/>
    <x v="0"/>
    <x v="0"/>
    <x v="1"/>
  </r>
  <r>
    <s v="ORD-01420"/>
    <x v="166"/>
    <s v="Dev Mathur"/>
    <x v="3"/>
    <x v="0"/>
    <n v="3788.21"/>
    <n v="2"/>
    <x v="1"/>
    <x v="7"/>
    <x v="144"/>
    <x v="0"/>
    <x v="0"/>
    <x v="0"/>
  </r>
  <r>
    <s v="ORD-01343"/>
    <x v="167"/>
    <s v="Sunita Menon"/>
    <x v="3"/>
    <x v="0"/>
    <n v="8239.11"/>
    <n v="7"/>
    <x v="1"/>
    <x v="21"/>
    <x v="145"/>
    <x v="1"/>
    <x v="0"/>
    <x v="1"/>
  </r>
  <r>
    <s v="ORD-01446"/>
    <x v="168"/>
    <s v="Gaurav Mishra"/>
    <x v="0"/>
    <x v="2"/>
    <n v="2830.68"/>
    <n v="4"/>
    <x v="1"/>
    <x v="15"/>
    <x v="146"/>
    <x v="0"/>
    <x v="0"/>
    <x v="0"/>
  </r>
  <r>
    <s v="ORD-01781"/>
    <x v="96"/>
    <s v="Priya Patel"/>
    <x v="3"/>
    <x v="1"/>
    <n v="1847.2"/>
    <n v="9"/>
    <x v="1"/>
    <x v="12"/>
    <x v="147"/>
    <x v="1"/>
    <x v="0"/>
    <x v="1"/>
  </r>
  <r>
    <s v="ORD-01671"/>
    <x v="169"/>
    <s v="Kavya Nair"/>
    <x v="1"/>
    <x v="2"/>
    <n v="32871.050000000003"/>
    <n v="4"/>
    <x v="1"/>
    <x v="1"/>
    <x v="148"/>
    <x v="0"/>
    <x v="1"/>
    <x v="1"/>
  </r>
  <r>
    <s v="ORD-01055"/>
    <x v="170"/>
    <s v="Smita Patil"/>
    <x v="3"/>
    <x v="2"/>
    <n v="0"/>
    <n v="3"/>
    <x v="0"/>
    <x v="20"/>
    <x v="0"/>
    <x v="0"/>
    <x v="0"/>
    <x v="1"/>
  </r>
  <r>
    <s v="ORD-01970"/>
    <x v="171"/>
    <s v="Sneha Gupta"/>
    <x v="1"/>
    <x v="1"/>
    <n v="2560.0300000000002"/>
    <n v="25"/>
    <x v="1"/>
    <x v="14"/>
    <x v="149"/>
    <x v="2"/>
    <x v="0"/>
    <x v="0"/>
  </r>
  <r>
    <s v="ORD-01988"/>
    <x v="172"/>
    <s v="Rajesh Choudhury"/>
    <x v="0"/>
    <x v="1"/>
    <n v="2037.09"/>
    <n v="5"/>
    <x v="1"/>
    <x v="6"/>
    <x v="150"/>
    <x v="0"/>
    <x v="0"/>
    <x v="1"/>
  </r>
  <r>
    <s v="ORD-01527"/>
    <x v="173"/>
    <s v="Riya Malhotra"/>
    <x v="3"/>
    <x v="2"/>
    <n v="36124.400000000001"/>
    <n v="1"/>
    <x v="1"/>
    <x v="17"/>
    <x v="151"/>
    <x v="0"/>
    <x v="1"/>
    <x v="1"/>
  </r>
  <r>
    <s v="ORD-01780"/>
    <x v="174"/>
    <s v="Sneha Gupta"/>
    <x v="3"/>
    <x v="2"/>
    <n v="21698.89"/>
    <n v="3"/>
    <x v="1"/>
    <x v="5"/>
    <x v="152"/>
    <x v="0"/>
    <x v="0"/>
    <x v="1"/>
  </r>
  <r>
    <s v="ORD-02109"/>
    <x v="172"/>
    <s v="Deepa Pillai"/>
    <x v="3"/>
    <x v="2"/>
    <n v="21172.19"/>
    <n v="4"/>
    <x v="1"/>
    <x v="6"/>
    <x v="153"/>
    <x v="0"/>
    <x v="0"/>
    <x v="1"/>
  </r>
  <r>
    <s v="ORD-02057"/>
    <x v="175"/>
    <s v="Nidhi Bhatt"/>
    <x v="0"/>
    <x v="1"/>
    <n v="2602.5"/>
    <n v="8"/>
    <x v="1"/>
    <x v="11"/>
    <x v="154"/>
    <x v="1"/>
    <x v="0"/>
    <x v="1"/>
  </r>
  <r>
    <s v="ORD-01727"/>
    <x v="126"/>
    <s v="Meena Krishnan"/>
    <x v="1"/>
    <x v="0"/>
    <n v="0"/>
    <n v="4"/>
    <x v="0"/>
    <x v="0"/>
    <x v="0"/>
    <x v="0"/>
    <x v="0"/>
    <x v="0"/>
  </r>
  <r>
    <s v="ORD-01830"/>
    <x v="176"/>
    <s v="Gaurav Mishra"/>
    <x v="0"/>
    <x v="2"/>
    <n v="14286.22"/>
    <n v="4"/>
    <x v="1"/>
    <x v="3"/>
    <x v="155"/>
    <x v="0"/>
    <x v="0"/>
    <x v="0"/>
  </r>
  <r>
    <s v="ORD-01877"/>
    <x v="177"/>
    <s v="Tarun Mukerjee"/>
    <x v="3"/>
    <x v="1"/>
    <n v="0"/>
    <n v="15"/>
    <x v="0"/>
    <x v="4"/>
    <x v="0"/>
    <x v="1"/>
    <x v="0"/>
    <x v="1"/>
  </r>
  <r>
    <s v="ORD-02050"/>
    <x v="178"/>
    <s v="Rajesh Choudhury"/>
    <x v="0"/>
    <x v="0"/>
    <n v="6842.45"/>
    <n v="6"/>
    <x v="1"/>
    <x v="23"/>
    <x v="156"/>
    <x v="1"/>
    <x v="0"/>
    <x v="1"/>
  </r>
  <r>
    <s v="ORD-01688"/>
    <x v="179"/>
    <s v="Nidhi Bhatt"/>
    <x v="0"/>
    <x v="2"/>
    <n v="17448.349999999999"/>
    <n v="4"/>
    <x v="1"/>
    <x v="14"/>
    <x v="157"/>
    <x v="0"/>
    <x v="0"/>
    <x v="1"/>
  </r>
  <r>
    <s v="ORD-01091"/>
    <x v="136"/>
    <s v="Suresh Rao"/>
    <x v="2"/>
    <x v="2"/>
    <n v="28263.040000000001"/>
    <n v="2"/>
    <x v="1"/>
    <x v="20"/>
    <x v="117"/>
    <x v="0"/>
    <x v="1"/>
    <x v="1"/>
  </r>
  <r>
    <s v="ORD-02276"/>
    <x v="180"/>
    <s v="Ananya Sharma"/>
    <x v="1"/>
    <x v="2"/>
    <n v="40643.870000000003"/>
    <n v="2"/>
    <x v="1"/>
    <x v="21"/>
    <x v="158"/>
    <x v="0"/>
    <x v="1"/>
    <x v="1"/>
  </r>
  <r>
    <s v="ORD-01183"/>
    <x v="181"/>
    <s v="Smita Patil"/>
    <x v="3"/>
    <x v="2"/>
    <n v="26827.3"/>
    <n v="1"/>
    <x v="1"/>
    <x v="3"/>
    <x v="159"/>
    <x v="0"/>
    <x v="0"/>
    <x v="1"/>
  </r>
  <r>
    <s v="ORD-01076"/>
    <x v="182"/>
    <s v="Rahul Verma"/>
    <x v="2"/>
    <x v="0"/>
    <n v="0"/>
    <n v="6"/>
    <x v="0"/>
    <x v="14"/>
    <x v="0"/>
    <x v="1"/>
    <x v="0"/>
    <x v="1"/>
  </r>
  <r>
    <s v="ORD-01831"/>
    <x v="183"/>
    <s v="Aakash Bhat"/>
    <x v="0"/>
    <x v="2"/>
    <n v="0"/>
    <n v="5"/>
    <x v="0"/>
    <x v="6"/>
    <x v="0"/>
    <x v="0"/>
    <x v="0"/>
    <x v="1"/>
  </r>
  <r>
    <s v="ORD-02328"/>
    <x v="184"/>
    <s v="Ajay Rastogi"/>
    <x v="1"/>
    <x v="0"/>
    <n v="4805.17"/>
    <n v="2"/>
    <x v="1"/>
    <x v="23"/>
    <x v="160"/>
    <x v="0"/>
    <x v="0"/>
    <x v="1"/>
  </r>
  <r>
    <s v="ORD-01597"/>
    <x v="185"/>
    <s v="Varun Naik"/>
    <x v="1"/>
    <x v="2"/>
    <n v="13295.64"/>
    <n v="1"/>
    <x v="1"/>
    <x v="7"/>
    <x v="161"/>
    <x v="0"/>
    <x v="0"/>
    <x v="1"/>
  </r>
  <r>
    <s v="ORD-02011"/>
    <x v="186"/>
    <s v="Geeta Pandey"/>
    <x v="2"/>
    <x v="2"/>
    <n v="26947.87"/>
    <n v="4"/>
    <x v="1"/>
    <x v="19"/>
    <x v="162"/>
    <x v="0"/>
    <x v="0"/>
    <x v="1"/>
  </r>
  <r>
    <s v="ORD-01124"/>
    <x v="144"/>
    <s v="Rahul Verma"/>
    <x v="2"/>
    <x v="1"/>
    <n v="564.01"/>
    <n v="9"/>
    <x v="1"/>
    <x v="10"/>
    <x v="163"/>
    <x v="1"/>
    <x v="0"/>
    <x v="1"/>
  </r>
  <r>
    <s v="ORD-01188"/>
    <x v="187"/>
    <s v="Lakshmi Venkat"/>
    <x v="1"/>
    <x v="2"/>
    <n v="6377.67"/>
    <n v="5"/>
    <x v="1"/>
    <x v="18"/>
    <x v="164"/>
    <x v="0"/>
    <x v="0"/>
    <x v="1"/>
  </r>
  <r>
    <s v="ORD-01925"/>
    <x v="188"/>
    <s v="Amit Kumar"/>
    <x v="0"/>
    <x v="0"/>
    <n v="7202.69"/>
    <n v="8"/>
    <x v="1"/>
    <x v="21"/>
    <x v="165"/>
    <x v="1"/>
    <x v="0"/>
    <x v="1"/>
  </r>
  <r>
    <s v="ORD-01776"/>
    <x v="189"/>
    <s v="Amit Kumar"/>
    <x v="0"/>
    <x v="0"/>
    <n v="7738.3"/>
    <n v="8"/>
    <x v="1"/>
    <x v="7"/>
    <x v="166"/>
    <x v="1"/>
    <x v="0"/>
    <x v="1"/>
  </r>
  <r>
    <s v="ORD-01522"/>
    <x v="190"/>
    <s v="Amit Kumar"/>
    <x v="0"/>
    <x v="2"/>
    <n v="11319.42"/>
    <n v="3"/>
    <x v="1"/>
    <x v="15"/>
    <x v="167"/>
    <x v="0"/>
    <x v="0"/>
    <x v="1"/>
  </r>
  <r>
    <s v="ORD-01592"/>
    <x v="59"/>
    <s v="Nidhi Bhatt"/>
    <x v="0"/>
    <x v="2"/>
    <n v="17003.34"/>
    <n v="1"/>
    <x v="1"/>
    <x v="3"/>
    <x v="168"/>
    <x v="0"/>
    <x v="0"/>
    <x v="1"/>
  </r>
  <r>
    <s v="ORD-02496"/>
    <x v="191"/>
    <s v="Ajay Rastogi"/>
    <x v="1"/>
    <x v="0"/>
    <n v="16745.23"/>
    <n v="1"/>
    <x v="1"/>
    <x v="17"/>
    <x v="169"/>
    <x v="0"/>
    <x v="0"/>
    <x v="1"/>
  </r>
  <r>
    <s v="ORD-02037"/>
    <x v="192"/>
    <s v="Tara Saxena"/>
    <x v="3"/>
    <x v="2"/>
    <n v="0"/>
    <n v="2"/>
    <x v="2"/>
    <x v="6"/>
    <x v="0"/>
    <x v="0"/>
    <x v="0"/>
    <x v="1"/>
  </r>
  <r>
    <s v="ORD-02362"/>
    <x v="46"/>
    <s v="Sunita Menon"/>
    <x v="3"/>
    <x v="0"/>
    <n v="3970.49"/>
    <n v="1"/>
    <x v="1"/>
    <x v="11"/>
    <x v="170"/>
    <x v="0"/>
    <x v="0"/>
    <x v="1"/>
  </r>
  <r>
    <s v="ORD-01316"/>
    <x v="193"/>
    <s v="Amit Kumar"/>
    <x v="0"/>
    <x v="0"/>
    <n v="17209.05"/>
    <n v="2"/>
    <x v="1"/>
    <x v="6"/>
    <x v="171"/>
    <x v="0"/>
    <x v="0"/>
    <x v="1"/>
  </r>
  <r>
    <s v="ORD-01136"/>
    <x v="75"/>
    <s v="Geeta Pandey"/>
    <x v="2"/>
    <x v="1"/>
    <n v="0"/>
    <n v="8"/>
    <x v="2"/>
    <x v="10"/>
    <x v="0"/>
    <x v="1"/>
    <x v="0"/>
    <x v="0"/>
  </r>
  <r>
    <s v="ORD-02123"/>
    <x v="38"/>
    <s v="Lakshmi Venkat"/>
    <x v="1"/>
    <x v="2"/>
    <n v="28819.59"/>
    <n v="4"/>
    <x v="1"/>
    <x v="16"/>
    <x v="172"/>
    <x v="0"/>
    <x v="1"/>
    <x v="0"/>
  </r>
  <r>
    <s v="ORD-01032"/>
    <x v="194"/>
    <s v="Suresh Rao"/>
    <x v="2"/>
    <x v="0"/>
    <n v="3670.26"/>
    <n v="2"/>
    <x v="1"/>
    <x v="5"/>
    <x v="173"/>
    <x v="0"/>
    <x v="0"/>
    <x v="1"/>
  </r>
  <r>
    <s v="ORD-02097"/>
    <x v="70"/>
    <s v="Bhavna Dubey"/>
    <x v="0"/>
    <x v="1"/>
    <n v="1767.75"/>
    <n v="17"/>
    <x v="1"/>
    <x v="15"/>
    <x v="174"/>
    <x v="2"/>
    <x v="0"/>
    <x v="0"/>
  </r>
  <r>
    <s v="ORD-01336"/>
    <x v="195"/>
    <s v="Yash Agarwal"/>
    <x v="1"/>
    <x v="0"/>
    <n v="1682.42"/>
    <n v="2"/>
    <x v="1"/>
    <x v="19"/>
    <x v="175"/>
    <x v="0"/>
    <x v="0"/>
    <x v="0"/>
  </r>
  <r>
    <s v="ORD-01886"/>
    <x v="196"/>
    <s v="Rahul Verma"/>
    <x v="2"/>
    <x v="2"/>
    <n v="36140.74"/>
    <n v="4"/>
    <x v="1"/>
    <x v="17"/>
    <x v="176"/>
    <x v="0"/>
    <x v="1"/>
    <x v="1"/>
  </r>
  <r>
    <s v="ORD-02301"/>
    <x v="173"/>
    <s v="Rohan Mehta"/>
    <x v="0"/>
    <x v="0"/>
    <n v="10704.3"/>
    <n v="2"/>
    <x v="1"/>
    <x v="17"/>
    <x v="177"/>
    <x v="0"/>
    <x v="0"/>
    <x v="1"/>
  </r>
  <r>
    <s v="ORD-02137"/>
    <x v="197"/>
    <s v="Vikram Singh"/>
    <x v="2"/>
    <x v="1"/>
    <n v="876.88"/>
    <n v="18"/>
    <x v="1"/>
    <x v="4"/>
    <x v="178"/>
    <x v="2"/>
    <x v="0"/>
    <x v="0"/>
  </r>
  <r>
    <s v="ORD-01235"/>
    <x v="149"/>
    <s v="Sanjay Joshi"/>
    <x v="2"/>
    <x v="1"/>
    <n v="0"/>
    <n v="6"/>
    <x v="2"/>
    <x v="12"/>
    <x v="0"/>
    <x v="1"/>
    <x v="0"/>
    <x v="1"/>
  </r>
  <r>
    <s v="ORD-01735"/>
    <x v="106"/>
    <s v="Rahul Verma"/>
    <x v="2"/>
    <x v="1"/>
    <n v="3347.44"/>
    <n v="16"/>
    <x v="1"/>
    <x v="7"/>
    <x v="179"/>
    <x v="2"/>
    <x v="0"/>
    <x v="1"/>
  </r>
  <r>
    <s v="ORD-01359"/>
    <x v="198"/>
    <s v="Divya Kaur"/>
    <x v="1"/>
    <x v="1"/>
    <n v="186.44"/>
    <n v="3"/>
    <x v="1"/>
    <x v="1"/>
    <x v="180"/>
    <x v="0"/>
    <x v="0"/>
    <x v="1"/>
  </r>
  <r>
    <s v="ORD-01896"/>
    <x v="199"/>
    <s v="Divya Kaur"/>
    <x v="1"/>
    <x v="2"/>
    <n v="0"/>
    <n v="3"/>
    <x v="2"/>
    <x v="22"/>
    <x v="0"/>
    <x v="0"/>
    <x v="0"/>
    <x v="1"/>
  </r>
  <r>
    <s v="ORD-01458"/>
    <x v="20"/>
    <s v="Lakshmi Venkat"/>
    <x v="1"/>
    <x v="2"/>
    <n v="13041.97"/>
    <n v="1"/>
    <x v="1"/>
    <x v="10"/>
    <x v="181"/>
    <x v="0"/>
    <x v="0"/>
    <x v="1"/>
  </r>
  <r>
    <s v="ORD-01987"/>
    <x v="200"/>
    <s v="Tarun Mukerjee"/>
    <x v="3"/>
    <x v="2"/>
    <n v="3589.47"/>
    <n v="2"/>
    <x v="1"/>
    <x v="15"/>
    <x v="182"/>
    <x v="0"/>
    <x v="0"/>
    <x v="1"/>
  </r>
  <r>
    <s v="ORD-01031"/>
    <x v="201"/>
    <s v="Aakash Bhat"/>
    <x v="0"/>
    <x v="1"/>
    <n v="3277.52"/>
    <n v="19"/>
    <x v="1"/>
    <x v="15"/>
    <x v="183"/>
    <x v="2"/>
    <x v="0"/>
    <x v="0"/>
  </r>
  <r>
    <s v="ORD-01605"/>
    <x v="202"/>
    <s v="Deepa Pillai"/>
    <x v="3"/>
    <x v="0"/>
    <n v="0"/>
    <n v="5"/>
    <x v="2"/>
    <x v="21"/>
    <x v="0"/>
    <x v="0"/>
    <x v="0"/>
    <x v="1"/>
  </r>
  <r>
    <s v="ORD-01746"/>
    <x v="203"/>
    <s v="Sanjay Joshi"/>
    <x v="2"/>
    <x v="2"/>
    <n v="44803.83"/>
    <n v="5"/>
    <x v="1"/>
    <x v="3"/>
    <x v="184"/>
    <x v="0"/>
    <x v="1"/>
    <x v="1"/>
  </r>
  <r>
    <s v="ORD-01345"/>
    <x v="204"/>
    <s v="Riya Malhotra"/>
    <x v="3"/>
    <x v="2"/>
    <n v="0"/>
    <n v="4"/>
    <x v="2"/>
    <x v="21"/>
    <x v="0"/>
    <x v="0"/>
    <x v="0"/>
    <x v="1"/>
  </r>
  <r>
    <s v="ORD-01375"/>
    <x v="106"/>
    <s v="Sneha Gupta"/>
    <x v="3"/>
    <x v="2"/>
    <n v="9283.4"/>
    <n v="5"/>
    <x v="1"/>
    <x v="7"/>
    <x v="185"/>
    <x v="0"/>
    <x v="0"/>
    <x v="1"/>
  </r>
  <r>
    <s v="ORD-01799"/>
    <x v="205"/>
    <s v="Harsh Shah"/>
    <x v="2"/>
    <x v="1"/>
    <n v="294.52"/>
    <n v="30"/>
    <x v="1"/>
    <x v="20"/>
    <x v="186"/>
    <x v="2"/>
    <x v="0"/>
    <x v="1"/>
  </r>
  <r>
    <s v="ORD-01427"/>
    <x v="206"/>
    <s v="Geeta Pandey"/>
    <x v="2"/>
    <x v="2"/>
    <n v="14704.44"/>
    <n v="4"/>
    <x v="1"/>
    <x v="12"/>
    <x v="187"/>
    <x v="0"/>
    <x v="0"/>
    <x v="1"/>
  </r>
  <r>
    <s v="ORD-01841"/>
    <x v="196"/>
    <s v="Meena Krishnan"/>
    <x v="1"/>
    <x v="2"/>
    <n v="42530.84"/>
    <n v="3"/>
    <x v="1"/>
    <x v="17"/>
    <x v="188"/>
    <x v="0"/>
    <x v="1"/>
    <x v="1"/>
  </r>
  <r>
    <s v="ORD-01260"/>
    <x v="207"/>
    <s v="Harsh Shah"/>
    <x v="2"/>
    <x v="0"/>
    <n v="13456.55"/>
    <n v="7"/>
    <x v="1"/>
    <x v="21"/>
    <x v="189"/>
    <x v="1"/>
    <x v="0"/>
    <x v="1"/>
  </r>
  <r>
    <s v="ORD-01208"/>
    <x v="208"/>
    <s v="Sanjay Joshi"/>
    <x v="2"/>
    <x v="1"/>
    <n v="2477.67"/>
    <n v="17"/>
    <x v="1"/>
    <x v="10"/>
    <x v="190"/>
    <x v="2"/>
    <x v="0"/>
    <x v="0"/>
  </r>
  <r>
    <s v="ORD-02377"/>
    <x v="209"/>
    <s v="Harsh Shah"/>
    <x v="0"/>
    <x v="0"/>
    <n v="5637.16"/>
    <n v="8"/>
    <x v="1"/>
    <x v="22"/>
    <x v="191"/>
    <x v="1"/>
    <x v="0"/>
    <x v="1"/>
  </r>
  <r>
    <s v="ORD-01537"/>
    <x v="210"/>
    <s v="Dev Mathur"/>
    <x v="3"/>
    <x v="0"/>
    <n v="15973.22"/>
    <n v="6"/>
    <x v="1"/>
    <x v="17"/>
    <x v="192"/>
    <x v="1"/>
    <x v="0"/>
    <x v="0"/>
  </r>
  <r>
    <s v="ORD-01177"/>
    <x v="211"/>
    <s v="Harsh Shah"/>
    <x v="2"/>
    <x v="1"/>
    <n v="1287.42"/>
    <n v="13"/>
    <x v="1"/>
    <x v="8"/>
    <x v="193"/>
    <x v="1"/>
    <x v="0"/>
    <x v="1"/>
  </r>
  <r>
    <s v="ORD-01547"/>
    <x v="25"/>
    <s v="Lakshmi Venkat"/>
    <x v="1"/>
    <x v="1"/>
    <n v="1630.64"/>
    <n v="28"/>
    <x v="1"/>
    <x v="9"/>
    <x v="194"/>
    <x v="2"/>
    <x v="0"/>
    <x v="1"/>
  </r>
  <r>
    <s v="ORD-01589"/>
    <x v="212"/>
    <s v="Tara Saxena"/>
    <x v="3"/>
    <x v="1"/>
    <n v="2107.48"/>
    <n v="11"/>
    <x v="1"/>
    <x v="11"/>
    <x v="195"/>
    <x v="1"/>
    <x v="0"/>
    <x v="1"/>
  </r>
  <r>
    <s v="ORD-02206"/>
    <x v="142"/>
    <s v="Varun Naik"/>
    <x v="1"/>
    <x v="1"/>
    <n v="0"/>
    <n v="20"/>
    <x v="2"/>
    <x v="2"/>
    <x v="0"/>
    <x v="2"/>
    <x v="0"/>
    <x v="0"/>
  </r>
  <r>
    <s v="ORD-01078"/>
    <x v="213"/>
    <s v="Deepa Pillai"/>
    <x v="3"/>
    <x v="0"/>
    <n v="8266.23"/>
    <n v="4"/>
    <x v="1"/>
    <x v="5"/>
    <x v="196"/>
    <x v="0"/>
    <x v="0"/>
    <x v="1"/>
  </r>
  <r>
    <s v="ORD-02155"/>
    <x v="214"/>
    <s v="Neha Tiwari"/>
    <x v="1"/>
    <x v="0"/>
    <n v="14326.6"/>
    <n v="1"/>
    <x v="1"/>
    <x v="4"/>
    <x v="197"/>
    <x v="0"/>
    <x v="0"/>
    <x v="0"/>
  </r>
  <r>
    <s v="ORD-01013"/>
    <x v="215"/>
    <s v="Lakshmi Venkat"/>
    <x v="1"/>
    <x v="2"/>
    <n v="0"/>
    <n v="5"/>
    <x v="2"/>
    <x v="20"/>
    <x v="0"/>
    <x v="0"/>
    <x v="0"/>
    <x v="1"/>
  </r>
  <r>
    <s v="ORD-02012"/>
    <x v="176"/>
    <s v="Kiran Nambiar"/>
    <x v="2"/>
    <x v="2"/>
    <n v="11754.15"/>
    <n v="4"/>
    <x v="1"/>
    <x v="3"/>
    <x v="198"/>
    <x v="0"/>
    <x v="0"/>
    <x v="0"/>
  </r>
  <r>
    <s v="ORD-01449"/>
    <x v="216"/>
    <s v="Harsh Shah"/>
    <x v="2"/>
    <x v="0"/>
    <n v="12061.81"/>
    <n v="3"/>
    <x v="1"/>
    <x v="4"/>
    <x v="199"/>
    <x v="0"/>
    <x v="0"/>
    <x v="1"/>
  </r>
  <r>
    <s v="ORD-01757"/>
    <x v="2"/>
    <s v="Meena Krishnan"/>
    <x v="1"/>
    <x v="1"/>
    <n v="2636.6"/>
    <n v="7"/>
    <x v="1"/>
    <x v="2"/>
    <x v="200"/>
    <x v="1"/>
    <x v="0"/>
    <x v="1"/>
  </r>
  <r>
    <s v="ORD-01227"/>
    <x v="217"/>
    <s v="Gaurav Mishra"/>
    <x v="0"/>
    <x v="2"/>
    <n v="35683.83"/>
    <n v="3"/>
    <x v="1"/>
    <x v="16"/>
    <x v="201"/>
    <x v="0"/>
    <x v="1"/>
    <x v="1"/>
  </r>
  <r>
    <s v="ORD-01813"/>
    <x v="218"/>
    <s v="Sneha Gupta"/>
    <x v="3"/>
    <x v="2"/>
    <n v="6917.64"/>
    <n v="3"/>
    <x v="1"/>
    <x v="12"/>
    <x v="202"/>
    <x v="0"/>
    <x v="0"/>
    <x v="1"/>
  </r>
  <r>
    <s v="ORD-02486"/>
    <x v="61"/>
    <s v="Arjun Reddy"/>
    <x v="0"/>
    <x v="0"/>
    <n v="13939.24"/>
    <n v="2"/>
    <x v="1"/>
    <x v="17"/>
    <x v="203"/>
    <x v="0"/>
    <x v="0"/>
    <x v="0"/>
  </r>
  <r>
    <s v="ORD-02170"/>
    <x v="219"/>
    <s v="Arjun Reddy"/>
    <x v="0"/>
    <x v="0"/>
    <n v="0"/>
    <n v="3"/>
    <x v="0"/>
    <x v="6"/>
    <x v="0"/>
    <x v="0"/>
    <x v="0"/>
    <x v="0"/>
  </r>
  <r>
    <s v="ORD-01711"/>
    <x v="116"/>
    <s v="Dev Mathur"/>
    <x v="3"/>
    <x v="0"/>
    <n v="0"/>
    <n v="7"/>
    <x v="0"/>
    <x v="14"/>
    <x v="0"/>
    <x v="1"/>
    <x v="0"/>
    <x v="1"/>
  </r>
  <r>
    <s v="ORD-02429"/>
    <x v="220"/>
    <s v="Priya Patel"/>
    <x v="3"/>
    <x v="2"/>
    <n v="14119.6"/>
    <n v="5"/>
    <x v="1"/>
    <x v="15"/>
    <x v="204"/>
    <x v="0"/>
    <x v="0"/>
    <x v="1"/>
  </r>
  <r>
    <s v="ORD-01950"/>
    <x v="157"/>
    <s v="Gaurav Mishra"/>
    <x v="0"/>
    <x v="2"/>
    <n v="27123.05"/>
    <n v="2"/>
    <x v="1"/>
    <x v="20"/>
    <x v="205"/>
    <x v="0"/>
    <x v="0"/>
    <x v="1"/>
  </r>
  <r>
    <s v="ORD-02492"/>
    <x v="221"/>
    <s v="Tarun Mukerjee"/>
    <x v="2"/>
    <x v="2"/>
    <n v="30613.88"/>
    <n v="5"/>
    <x v="1"/>
    <x v="19"/>
    <x v="206"/>
    <x v="0"/>
    <x v="1"/>
    <x v="1"/>
  </r>
  <r>
    <s v="ORD-01116"/>
    <x v="222"/>
    <s v="Ajay Rastogi"/>
    <x v="1"/>
    <x v="2"/>
    <n v="44731.18"/>
    <n v="1"/>
    <x v="1"/>
    <x v="12"/>
    <x v="207"/>
    <x v="0"/>
    <x v="1"/>
    <x v="1"/>
  </r>
  <r>
    <s v="ORD-01924"/>
    <x v="22"/>
    <s v="Vikram Singh"/>
    <x v="2"/>
    <x v="2"/>
    <n v="0"/>
    <n v="1"/>
    <x v="0"/>
    <x v="15"/>
    <x v="0"/>
    <x v="0"/>
    <x v="0"/>
    <x v="1"/>
  </r>
  <r>
    <s v="ORD-01696"/>
    <x v="170"/>
    <s v="Ajay Rastogi"/>
    <x v="1"/>
    <x v="2"/>
    <n v="12215.08"/>
    <n v="2"/>
    <x v="1"/>
    <x v="20"/>
    <x v="208"/>
    <x v="0"/>
    <x v="0"/>
    <x v="1"/>
  </r>
  <r>
    <s v="ORD-02067"/>
    <x v="223"/>
    <s v="Nikhil Desai"/>
    <x v="0"/>
    <x v="1"/>
    <n v="1300.7"/>
    <n v="18"/>
    <x v="1"/>
    <x v="11"/>
    <x v="209"/>
    <x v="2"/>
    <x v="0"/>
    <x v="0"/>
  </r>
  <r>
    <s v="ORD-01072"/>
    <x v="2"/>
    <s v="Vivek Chopra"/>
    <x v="2"/>
    <x v="2"/>
    <n v="7313.05"/>
    <n v="1"/>
    <x v="1"/>
    <x v="2"/>
    <x v="210"/>
    <x v="0"/>
    <x v="0"/>
    <x v="1"/>
  </r>
  <r>
    <s v="ORD-01349"/>
    <x v="224"/>
    <s v="Priya Patel"/>
    <x v="3"/>
    <x v="1"/>
    <n v="2476.34"/>
    <n v="2"/>
    <x v="1"/>
    <x v="0"/>
    <x v="211"/>
    <x v="0"/>
    <x v="0"/>
    <x v="0"/>
  </r>
  <r>
    <s v="ORD-02138"/>
    <x v="225"/>
    <s v="Harsh Shah"/>
    <x v="2"/>
    <x v="1"/>
    <n v="471.09"/>
    <n v="28"/>
    <x v="1"/>
    <x v="11"/>
    <x v="212"/>
    <x v="2"/>
    <x v="0"/>
    <x v="1"/>
  </r>
  <r>
    <s v="ORD-02072"/>
    <x v="226"/>
    <s v="Vivek Chopra"/>
    <x v="2"/>
    <x v="2"/>
    <n v="36913.11"/>
    <n v="5"/>
    <x v="1"/>
    <x v="6"/>
    <x v="213"/>
    <x v="0"/>
    <x v="1"/>
    <x v="0"/>
  </r>
  <r>
    <s v="ORD-01884"/>
    <x v="227"/>
    <s v="Geeta Pandey"/>
    <x v="2"/>
    <x v="1"/>
    <n v="1767.21"/>
    <n v="26"/>
    <x v="1"/>
    <x v="9"/>
    <x v="214"/>
    <x v="2"/>
    <x v="0"/>
    <x v="1"/>
  </r>
  <r>
    <s v="ORD-01809"/>
    <x v="228"/>
    <s v="Meena Krishnan"/>
    <x v="1"/>
    <x v="0"/>
    <n v="8220.75"/>
    <n v="7"/>
    <x v="1"/>
    <x v="9"/>
    <x v="215"/>
    <x v="1"/>
    <x v="0"/>
    <x v="1"/>
  </r>
  <r>
    <s v="ORD-02462"/>
    <x v="229"/>
    <s v="Asha Kulkarni"/>
    <x v="0"/>
    <x v="1"/>
    <n v="2512.4299999999998"/>
    <n v="26"/>
    <x v="1"/>
    <x v="18"/>
    <x v="216"/>
    <x v="2"/>
    <x v="0"/>
    <x v="1"/>
  </r>
  <r>
    <s v="ORD-02178"/>
    <x v="230"/>
    <s v="Suresh Rao"/>
    <x v="2"/>
    <x v="0"/>
    <n v="1878.63"/>
    <n v="4"/>
    <x v="1"/>
    <x v="13"/>
    <x v="217"/>
    <x v="0"/>
    <x v="0"/>
    <x v="0"/>
  </r>
  <r>
    <s v="ORD-02351"/>
    <x v="231"/>
    <s v="Sunita Menon"/>
    <x v="3"/>
    <x v="2"/>
    <n v="17993.490000000002"/>
    <n v="2"/>
    <x v="1"/>
    <x v="9"/>
    <x v="218"/>
    <x v="0"/>
    <x v="0"/>
    <x v="1"/>
  </r>
  <r>
    <s v="ORD-01233"/>
    <x v="232"/>
    <s v="Pooja Iyer"/>
    <x v="1"/>
    <x v="0"/>
    <n v="15246.38"/>
    <n v="2"/>
    <x v="1"/>
    <x v="2"/>
    <x v="219"/>
    <x v="0"/>
    <x v="0"/>
    <x v="0"/>
  </r>
  <r>
    <s v="ORD-01726"/>
    <x v="233"/>
    <s v="Gaurav Mishra"/>
    <x v="0"/>
    <x v="1"/>
    <n v="3350.65"/>
    <n v="29"/>
    <x v="1"/>
    <x v="1"/>
    <x v="220"/>
    <x v="2"/>
    <x v="0"/>
    <x v="0"/>
  </r>
  <r>
    <s v="ORD-01495"/>
    <x v="94"/>
    <s v="Meena Krishnan"/>
    <x v="1"/>
    <x v="2"/>
    <n v="2173.83"/>
    <n v="4"/>
    <x v="1"/>
    <x v="11"/>
    <x v="221"/>
    <x v="0"/>
    <x v="0"/>
    <x v="1"/>
  </r>
  <r>
    <s v="ORD-02363"/>
    <x v="234"/>
    <s v="Kavya Nair"/>
    <x v="1"/>
    <x v="1"/>
    <n v="2636.59"/>
    <n v="13"/>
    <x v="1"/>
    <x v="3"/>
    <x v="222"/>
    <x v="1"/>
    <x v="0"/>
    <x v="0"/>
  </r>
  <r>
    <s v="ORD-01490"/>
    <x v="235"/>
    <s v="Nikhil Desai"/>
    <x v="0"/>
    <x v="2"/>
    <n v="6816.14"/>
    <n v="5"/>
    <x v="1"/>
    <x v="5"/>
    <x v="223"/>
    <x v="0"/>
    <x v="0"/>
    <x v="1"/>
  </r>
  <r>
    <s v="ORD-01353"/>
    <x v="236"/>
    <s v="Vivek Chopra"/>
    <x v="2"/>
    <x v="1"/>
    <n v="0"/>
    <n v="29"/>
    <x v="2"/>
    <x v="16"/>
    <x v="0"/>
    <x v="2"/>
    <x v="0"/>
    <x v="1"/>
  </r>
  <r>
    <s v="ORD-01820"/>
    <x v="237"/>
    <s v="Rajesh Choudhury"/>
    <x v="0"/>
    <x v="1"/>
    <n v="2034.63"/>
    <n v="3"/>
    <x v="1"/>
    <x v="20"/>
    <x v="224"/>
    <x v="0"/>
    <x v="0"/>
    <x v="1"/>
  </r>
  <r>
    <s v="ORD-01416"/>
    <x v="33"/>
    <s v="Asha Kulkarni"/>
    <x v="0"/>
    <x v="2"/>
    <n v="15429.74"/>
    <n v="4"/>
    <x v="1"/>
    <x v="14"/>
    <x v="225"/>
    <x v="0"/>
    <x v="0"/>
    <x v="1"/>
  </r>
  <r>
    <s v="ORD-01464"/>
    <x v="238"/>
    <s v="Rohan Mehta"/>
    <x v="0"/>
    <x v="2"/>
    <n v="12388.59"/>
    <n v="1"/>
    <x v="1"/>
    <x v="18"/>
    <x v="226"/>
    <x v="0"/>
    <x v="0"/>
    <x v="1"/>
  </r>
  <r>
    <s v="ORD-01623"/>
    <x v="239"/>
    <s v="Sneha Gupta"/>
    <x v="3"/>
    <x v="2"/>
    <n v="897.11"/>
    <n v="3"/>
    <x v="1"/>
    <x v="7"/>
    <x v="227"/>
    <x v="0"/>
    <x v="0"/>
    <x v="1"/>
  </r>
  <r>
    <s v="ORD-01318"/>
    <x v="240"/>
    <s v="Nikhil Desai"/>
    <x v="0"/>
    <x v="1"/>
    <n v="2606.0700000000002"/>
    <n v="8"/>
    <x v="1"/>
    <x v="9"/>
    <x v="228"/>
    <x v="1"/>
    <x v="0"/>
    <x v="1"/>
  </r>
  <r>
    <s v="ORD-02194"/>
    <x v="154"/>
    <s v="Sarita Bansal"/>
    <x v="2"/>
    <x v="1"/>
    <n v="3372.84"/>
    <n v="22"/>
    <x v="1"/>
    <x v="22"/>
    <x v="229"/>
    <x v="2"/>
    <x v="0"/>
    <x v="1"/>
  </r>
  <r>
    <s v="ORD-02140"/>
    <x v="241"/>
    <s v="Deepa Pillai"/>
    <x v="3"/>
    <x v="1"/>
    <n v="0"/>
    <n v="26"/>
    <x v="0"/>
    <x v="2"/>
    <x v="0"/>
    <x v="2"/>
    <x v="0"/>
    <x v="1"/>
  </r>
  <r>
    <s v="ORD-01049"/>
    <x v="242"/>
    <s v="Amit Kumar"/>
    <x v="0"/>
    <x v="1"/>
    <n v="776.67"/>
    <n v="11"/>
    <x v="1"/>
    <x v="9"/>
    <x v="230"/>
    <x v="1"/>
    <x v="0"/>
    <x v="0"/>
  </r>
  <r>
    <s v="ORD-02070"/>
    <x v="243"/>
    <s v="Asha Kulkarni"/>
    <x v="0"/>
    <x v="1"/>
    <n v="1951.34"/>
    <n v="25"/>
    <x v="1"/>
    <x v="22"/>
    <x v="231"/>
    <x v="2"/>
    <x v="0"/>
    <x v="1"/>
  </r>
  <r>
    <s v="ORD-02088"/>
    <x v="185"/>
    <s v="Rajesh Choudhury"/>
    <x v="0"/>
    <x v="1"/>
    <n v="2383.9899999999998"/>
    <n v="4"/>
    <x v="1"/>
    <x v="7"/>
    <x v="232"/>
    <x v="0"/>
    <x v="0"/>
    <x v="1"/>
  </r>
  <r>
    <s v="ORD-01832"/>
    <x v="244"/>
    <s v="Padma Subramaniam"/>
    <x v="2"/>
    <x v="1"/>
    <n v="0"/>
    <n v="23"/>
    <x v="2"/>
    <x v="14"/>
    <x v="0"/>
    <x v="2"/>
    <x v="0"/>
    <x v="1"/>
  </r>
  <r>
    <s v="ORD-01173"/>
    <x v="245"/>
    <s v="Sneha Gupta"/>
    <x v="3"/>
    <x v="1"/>
    <n v="518.04"/>
    <n v="15"/>
    <x v="1"/>
    <x v="7"/>
    <x v="233"/>
    <x v="1"/>
    <x v="0"/>
    <x v="0"/>
  </r>
  <r>
    <s v="ORD-01021"/>
    <x v="179"/>
    <s v="Varun Naik"/>
    <x v="1"/>
    <x v="1"/>
    <n v="3198.57"/>
    <n v="28"/>
    <x v="1"/>
    <x v="14"/>
    <x v="234"/>
    <x v="2"/>
    <x v="0"/>
    <x v="1"/>
  </r>
  <r>
    <s v="ORD-01742"/>
    <x v="179"/>
    <s v="Suresh Rao"/>
    <x v="2"/>
    <x v="1"/>
    <n v="1233.68"/>
    <n v="6"/>
    <x v="1"/>
    <x v="14"/>
    <x v="235"/>
    <x v="1"/>
    <x v="0"/>
    <x v="1"/>
  </r>
  <r>
    <s v="ORD-02085"/>
    <x v="246"/>
    <s v="Arjun Reddy"/>
    <x v="0"/>
    <x v="2"/>
    <n v="17807.330000000002"/>
    <n v="4"/>
    <x v="1"/>
    <x v="20"/>
    <x v="236"/>
    <x v="0"/>
    <x v="0"/>
    <x v="0"/>
  </r>
  <r>
    <s v="ORD-02318"/>
    <x v="241"/>
    <s v="Vivek Chopra"/>
    <x v="2"/>
    <x v="0"/>
    <n v="14627.93"/>
    <n v="3"/>
    <x v="1"/>
    <x v="2"/>
    <x v="237"/>
    <x v="0"/>
    <x v="0"/>
    <x v="1"/>
  </r>
  <r>
    <s v="ORD-01959"/>
    <x v="214"/>
    <s v="Sanjay Joshi"/>
    <x v="2"/>
    <x v="2"/>
    <n v="30537.84"/>
    <n v="1"/>
    <x v="1"/>
    <x v="4"/>
    <x v="238"/>
    <x v="0"/>
    <x v="1"/>
    <x v="0"/>
  </r>
  <r>
    <s v="ORD-01068"/>
    <x v="247"/>
    <s v="Sarita Bansal"/>
    <x v="2"/>
    <x v="0"/>
    <n v="9998.49"/>
    <n v="1"/>
    <x v="1"/>
    <x v="12"/>
    <x v="239"/>
    <x v="0"/>
    <x v="0"/>
    <x v="1"/>
  </r>
  <r>
    <s v="ORD-01526"/>
    <x v="70"/>
    <s v="Divya Kaur"/>
    <x v="1"/>
    <x v="0"/>
    <n v="2095.29"/>
    <n v="8"/>
    <x v="1"/>
    <x v="15"/>
    <x v="240"/>
    <x v="1"/>
    <x v="0"/>
    <x v="0"/>
  </r>
  <r>
    <s v="ORD-02477"/>
    <x v="248"/>
    <s v="Amit Kumar"/>
    <x v="0"/>
    <x v="2"/>
    <n v="12895.19"/>
    <n v="1"/>
    <x v="1"/>
    <x v="1"/>
    <x v="241"/>
    <x v="0"/>
    <x v="0"/>
    <x v="0"/>
  </r>
  <r>
    <s v="ORD-02494"/>
    <x v="249"/>
    <s v="Divya Kaur"/>
    <x v="1"/>
    <x v="2"/>
    <n v="15737.77"/>
    <n v="2"/>
    <x v="1"/>
    <x v="15"/>
    <x v="242"/>
    <x v="0"/>
    <x v="0"/>
    <x v="1"/>
  </r>
  <r>
    <s v="ORD-01295"/>
    <x v="250"/>
    <s v="Aakash Bhat"/>
    <x v="0"/>
    <x v="2"/>
    <n v="3033.89"/>
    <n v="4"/>
    <x v="1"/>
    <x v="14"/>
    <x v="243"/>
    <x v="0"/>
    <x v="0"/>
    <x v="1"/>
  </r>
  <r>
    <s v="ORD-01010"/>
    <x v="251"/>
    <s v="Deepa Pillai"/>
    <x v="3"/>
    <x v="2"/>
    <n v="30421.74"/>
    <n v="1"/>
    <x v="1"/>
    <x v="23"/>
    <x v="244"/>
    <x v="0"/>
    <x v="1"/>
    <x v="1"/>
  </r>
  <r>
    <s v="ORD-02334"/>
    <x v="252"/>
    <s v="Dev Mathur"/>
    <x v="3"/>
    <x v="2"/>
    <n v="30639.74"/>
    <n v="3"/>
    <x v="1"/>
    <x v="20"/>
    <x v="245"/>
    <x v="0"/>
    <x v="1"/>
    <x v="1"/>
  </r>
  <r>
    <s v="ORD-01693"/>
    <x v="253"/>
    <s v="Riya Malhotra"/>
    <x v="3"/>
    <x v="0"/>
    <n v="0"/>
    <n v="8"/>
    <x v="2"/>
    <x v="21"/>
    <x v="0"/>
    <x v="1"/>
    <x v="0"/>
    <x v="1"/>
  </r>
  <r>
    <s v="ORD-02077"/>
    <x v="254"/>
    <s v="Vivek Chopra"/>
    <x v="2"/>
    <x v="2"/>
    <n v="35380.79"/>
    <n v="5"/>
    <x v="1"/>
    <x v="18"/>
    <x v="246"/>
    <x v="0"/>
    <x v="1"/>
    <x v="1"/>
  </r>
  <r>
    <s v="ORD-01773"/>
    <x v="255"/>
    <s v="Tara Saxena"/>
    <x v="3"/>
    <x v="0"/>
    <n v="0"/>
    <n v="5"/>
    <x v="2"/>
    <x v="21"/>
    <x v="0"/>
    <x v="0"/>
    <x v="0"/>
    <x v="0"/>
  </r>
  <r>
    <s v="ORD-01523"/>
    <x v="256"/>
    <s v="Arjun Reddy"/>
    <x v="0"/>
    <x v="1"/>
    <n v="2254.9"/>
    <n v="29"/>
    <x v="1"/>
    <x v="17"/>
    <x v="247"/>
    <x v="2"/>
    <x v="0"/>
    <x v="0"/>
  </r>
  <r>
    <s v="ORD-02413"/>
    <x v="257"/>
    <s v="Harsh Shah"/>
    <x v="2"/>
    <x v="2"/>
    <n v="9552.51"/>
    <n v="2"/>
    <x v="1"/>
    <x v="12"/>
    <x v="248"/>
    <x v="0"/>
    <x v="0"/>
    <x v="1"/>
  </r>
  <r>
    <s v="ORD-01629"/>
    <x v="258"/>
    <s v="Vikram Singh"/>
    <x v="2"/>
    <x v="0"/>
    <n v="15147.05"/>
    <n v="8"/>
    <x v="1"/>
    <x v="19"/>
    <x v="249"/>
    <x v="1"/>
    <x v="0"/>
    <x v="1"/>
  </r>
  <r>
    <s v="ORD-01667"/>
    <x v="50"/>
    <s v="Priya Patel"/>
    <x v="2"/>
    <x v="1"/>
    <n v="1938.96"/>
    <n v="3"/>
    <x v="1"/>
    <x v="21"/>
    <x v="250"/>
    <x v="0"/>
    <x v="0"/>
    <x v="0"/>
  </r>
  <r>
    <s v="ORD-02316"/>
    <x v="247"/>
    <s v="Gaurav Mishra"/>
    <x v="0"/>
    <x v="2"/>
    <n v="8691.5300000000007"/>
    <n v="1"/>
    <x v="1"/>
    <x v="12"/>
    <x v="251"/>
    <x v="0"/>
    <x v="0"/>
    <x v="1"/>
  </r>
  <r>
    <s v="ORD-02284"/>
    <x v="259"/>
    <s v="Ajay Rastogi"/>
    <x v="1"/>
    <x v="2"/>
    <n v="0"/>
    <n v="5"/>
    <x v="2"/>
    <x v="1"/>
    <x v="0"/>
    <x v="0"/>
    <x v="0"/>
    <x v="1"/>
  </r>
  <r>
    <s v="ORD-01738"/>
    <x v="260"/>
    <s v="Pooja Iyer"/>
    <x v="2"/>
    <x v="0"/>
    <n v="16931.88"/>
    <n v="1"/>
    <x v="1"/>
    <x v="0"/>
    <x v="252"/>
    <x v="0"/>
    <x v="0"/>
    <x v="1"/>
  </r>
  <r>
    <s v="ORD-02059"/>
    <x v="261"/>
    <s v="Tara Saxena"/>
    <x v="3"/>
    <x v="0"/>
    <n v="16350.24"/>
    <n v="4"/>
    <x v="1"/>
    <x v="17"/>
    <x v="253"/>
    <x v="0"/>
    <x v="0"/>
    <x v="1"/>
  </r>
  <r>
    <s v="ORD-02361"/>
    <x v="262"/>
    <s v="Padma Subramaniam"/>
    <x v="2"/>
    <x v="0"/>
    <n v="1654.65"/>
    <n v="2"/>
    <x v="1"/>
    <x v="16"/>
    <x v="254"/>
    <x v="0"/>
    <x v="0"/>
    <x v="1"/>
  </r>
  <r>
    <s v="ORD-02280"/>
    <x v="263"/>
    <s v="Harsh Shah"/>
    <x v="2"/>
    <x v="0"/>
    <n v="0"/>
    <n v="1"/>
    <x v="0"/>
    <x v="5"/>
    <x v="0"/>
    <x v="0"/>
    <x v="0"/>
    <x v="1"/>
  </r>
  <r>
    <s v="ORD-02458"/>
    <x v="43"/>
    <s v="Nidhi Bhatt"/>
    <x v="0"/>
    <x v="1"/>
    <n v="0"/>
    <n v="23"/>
    <x v="0"/>
    <x v="3"/>
    <x v="0"/>
    <x v="2"/>
    <x v="0"/>
    <x v="1"/>
  </r>
  <r>
    <s v="ORD-01256"/>
    <x v="264"/>
    <s v="Bhavna Dubey"/>
    <x v="0"/>
    <x v="0"/>
    <n v="11481.72"/>
    <n v="3"/>
    <x v="1"/>
    <x v="8"/>
    <x v="255"/>
    <x v="0"/>
    <x v="0"/>
    <x v="1"/>
  </r>
  <r>
    <s v="ORD-02186"/>
    <x v="265"/>
    <s v="Suresh Rao"/>
    <x v="2"/>
    <x v="0"/>
    <n v="10363.08"/>
    <n v="2"/>
    <x v="1"/>
    <x v="11"/>
    <x v="256"/>
    <x v="0"/>
    <x v="0"/>
    <x v="0"/>
  </r>
  <r>
    <s v="ORD-01533"/>
    <x v="266"/>
    <s v="Ajay Rastogi"/>
    <x v="1"/>
    <x v="0"/>
    <n v="3018.54"/>
    <n v="6"/>
    <x v="1"/>
    <x v="16"/>
    <x v="257"/>
    <x v="1"/>
    <x v="0"/>
    <x v="1"/>
  </r>
  <r>
    <s v="ORD-01101"/>
    <x v="267"/>
    <s v="Suresh Rao"/>
    <x v="2"/>
    <x v="1"/>
    <n v="2155.64"/>
    <n v="13"/>
    <x v="1"/>
    <x v="5"/>
    <x v="258"/>
    <x v="1"/>
    <x v="0"/>
    <x v="0"/>
  </r>
  <r>
    <s v="ORD-01763"/>
    <x v="167"/>
    <s v="Dev Mathur"/>
    <x v="3"/>
    <x v="1"/>
    <n v="1625.07"/>
    <n v="24"/>
    <x v="1"/>
    <x v="21"/>
    <x v="259"/>
    <x v="2"/>
    <x v="0"/>
    <x v="1"/>
  </r>
  <r>
    <s v="ORD-01881"/>
    <x v="268"/>
    <s v="Sneha Gupta"/>
    <x v="3"/>
    <x v="1"/>
    <n v="1874.87"/>
    <n v="3"/>
    <x v="1"/>
    <x v="18"/>
    <x v="260"/>
    <x v="0"/>
    <x v="0"/>
    <x v="1"/>
  </r>
  <r>
    <s v="ORD-01545"/>
    <x v="269"/>
    <s v="Kiran Nambiar"/>
    <x v="2"/>
    <x v="2"/>
    <n v="44879.3"/>
    <n v="2"/>
    <x v="1"/>
    <x v="20"/>
    <x v="261"/>
    <x v="0"/>
    <x v="1"/>
    <x v="1"/>
  </r>
  <r>
    <s v="ORD-01223"/>
    <x v="104"/>
    <s v="Yash Agarwal"/>
    <x v="1"/>
    <x v="1"/>
    <n v="2298.84"/>
    <n v="11"/>
    <x v="1"/>
    <x v="20"/>
    <x v="262"/>
    <x v="1"/>
    <x v="0"/>
    <x v="0"/>
  </r>
  <r>
    <s v="ORD-01216"/>
    <x v="270"/>
    <s v="Meena Krishnan"/>
    <x v="1"/>
    <x v="1"/>
    <n v="577.4"/>
    <n v="25"/>
    <x v="1"/>
    <x v="21"/>
    <x v="263"/>
    <x v="2"/>
    <x v="0"/>
    <x v="1"/>
  </r>
  <r>
    <s v="ORD-01818"/>
    <x v="271"/>
    <s v="Tarun Mukerjee"/>
    <x v="3"/>
    <x v="1"/>
    <n v="2732.09"/>
    <n v="13"/>
    <x v="1"/>
    <x v="17"/>
    <x v="264"/>
    <x v="1"/>
    <x v="0"/>
    <x v="1"/>
  </r>
  <r>
    <s v="ORD-01907"/>
    <x v="272"/>
    <s v="Varun Naik"/>
    <x v="1"/>
    <x v="1"/>
    <n v="1258.5999999999999"/>
    <n v="11"/>
    <x v="1"/>
    <x v="9"/>
    <x v="265"/>
    <x v="1"/>
    <x v="0"/>
    <x v="0"/>
  </r>
  <r>
    <s v="ORD-01312"/>
    <x v="273"/>
    <s v="Bhavna Dubey"/>
    <x v="0"/>
    <x v="0"/>
    <n v="9969.0400000000009"/>
    <n v="5"/>
    <x v="1"/>
    <x v="12"/>
    <x v="266"/>
    <x v="0"/>
    <x v="0"/>
    <x v="1"/>
  </r>
  <r>
    <s v="ORD-02230"/>
    <x v="274"/>
    <s v="Tara Saxena"/>
    <x v="3"/>
    <x v="1"/>
    <n v="1953.66"/>
    <n v="17"/>
    <x v="1"/>
    <x v="9"/>
    <x v="267"/>
    <x v="2"/>
    <x v="0"/>
    <x v="0"/>
  </r>
  <r>
    <s v="ORD-02348"/>
    <x v="10"/>
    <s v="Tarun Mukerjee"/>
    <x v="3"/>
    <x v="2"/>
    <n v="9595.74"/>
    <n v="4"/>
    <x v="1"/>
    <x v="8"/>
    <x v="268"/>
    <x v="0"/>
    <x v="0"/>
    <x v="1"/>
  </r>
  <r>
    <s v="ORD-01766"/>
    <x v="112"/>
    <s v="Amit Kumar"/>
    <x v="0"/>
    <x v="2"/>
    <n v="23930.58"/>
    <n v="2"/>
    <x v="1"/>
    <x v="14"/>
    <x v="269"/>
    <x v="0"/>
    <x v="0"/>
    <x v="0"/>
  </r>
  <r>
    <s v="ORD-01865"/>
    <x v="5"/>
    <s v="Arjun Reddy"/>
    <x v="0"/>
    <x v="1"/>
    <n v="2287.59"/>
    <n v="23"/>
    <x v="1"/>
    <x v="5"/>
    <x v="270"/>
    <x v="2"/>
    <x v="0"/>
    <x v="1"/>
  </r>
  <r>
    <s v="ORD-01673"/>
    <x v="275"/>
    <s v="Lakshmi Venkat"/>
    <x v="1"/>
    <x v="0"/>
    <n v="0"/>
    <n v="5"/>
    <x v="2"/>
    <x v="13"/>
    <x v="0"/>
    <x v="0"/>
    <x v="0"/>
    <x v="1"/>
  </r>
  <r>
    <s v="ORD-01109"/>
    <x v="276"/>
    <s v="Dev Mathur"/>
    <x v="3"/>
    <x v="1"/>
    <n v="0"/>
    <n v="7"/>
    <x v="2"/>
    <x v="21"/>
    <x v="0"/>
    <x v="1"/>
    <x v="0"/>
    <x v="1"/>
  </r>
  <r>
    <s v="ORD-01309"/>
    <x v="277"/>
    <s v="Yash Agarwal"/>
    <x v="1"/>
    <x v="2"/>
    <n v="19052.84"/>
    <n v="2"/>
    <x v="1"/>
    <x v="3"/>
    <x v="271"/>
    <x v="0"/>
    <x v="0"/>
    <x v="1"/>
  </r>
  <r>
    <s v="ORD-02182"/>
    <x v="227"/>
    <s v="Tarun Mukerjee"/>
    <x v="3"/>
    <x v="0"/>
    <n v="14654.6"/>
    <n v="3"/>
    <x v="1"/>
    <x v="9"/>
    <x v="272"/>
    <x v="0"/>
    <x v="0"/>
    <x v="1"/>
  </r>
  <r>
    <s v="ORD-01564"/>
    <x v="278"/>
    <s v="Riya Malhotra"/>
    <x v="3"/>
    <x v="0"/>
    <n v="0"/>
    <n v="1"/>
    <x v="0"/>
    <x v="17"/>
    <x v="0"/>
    <x v="0"/>
    <x v="0"/>
    <x v="1"/>
  </r>
  <r>
    <s v="ORD-02488"/>
    <x v="279"/>
    <s v="Padma Subramaniam"/>
    <x v="2"/>
    <x v="2"/>
    <n v="0"/>
    <n v="4"/>
    <x v="2"/>
    <x v="1"/>
    <x v="0"/>
    <x v="0"/>
    <x v="0"/>
    <x v="1"/>
  </r>
  <r>
    <s v="ORD-01288"/>
    <x v="19"/>
    <s v="Kavya Nair"/>
    <x v="1"/>
    <x v="2"/>
    <n v="20230.560000000001"/>
    <n v="4"/>
    <x v="1"/>
    <x v="5"/>
    <x v="273"/>
    <x v="0"/>
    <x v="0"/>
    <x v="1"/>
  </r>
  <r>
    <s v="ORD-01120"/>
    <x v="196"/>
    <s v="Aakash Bhat"/>
    <x v="0"/>
    <x v="2"/>
    <n v="7741.92"/>
    <n v="2"/>
    <x v="1"/>
    <x v="17"/>
    <x v="274"/>
    <x v="0"/>
    <x v="0"/>
    <x v="1"/>
  </r>
  <r>
    <s v="ORD-02355"/>
    <x v="280"/>
    <s v="Asha Kulkarni"/>
    <x v="0"/>
    <x v="1"/>
    <n v="3083.38"/>
    <n v="15"/>
    <x v="1"/>
    <x v="14"/>
    <x v="275"/>
    <x v="1"/>
    <x v="0"/>
    <x v="0"/>
  </r>
  <r>
    <s v="ORD-02217"/>
    <x v="281"/>
    <s v="Tara Saxena"/>
    <x v="3"/>
    <x v="1"/>
    <n v="1769.45"/>
    <n v="28"/>
    <x v="1"/>
    <x v="12"/>
    <x v="276"/>
    <x v="2"/>
    <x v="0"/>
    <x v="0"/>
  </r>
  <r>
    <s v="ORD-01239"/>
    <x v="221"/>
    <s v="Sunita Menon"/>
    <x v="3"/>
    <x v="2"/>
    <n v="36215.660000000003"/>
    <n v="2"/>
    <x v="1"/>
    <x v="19"/>
    <x v="277"/>
    <x v="0"/>
    <x v="1"/>
    <x v="1"/>
  </r>
  <r>
    <s v="ORD-01642"/>
    <x v="282"/>
    <s v="Vikram Singh"/>
    <x v="2"/>
    <x v="0"/>
    <n v="7673.22"/>
    <n v="6"/>
    <x v="1"/>
    <x v="1"/>
    <x v="278"/>
    <x v="1"/>
    <x v="0"/>
    <x v="0"/>
  </r>
  <r>
    <s v="ORD-01192"/>
    <x v="283"/>
    <s v="Sneha Gupta"/>
    <x v="3"/>
    <x v="0"/>
    <n v="12072.41"/>
    <n v="6"/>
    <x v="1"/>
    <x v="10"/>
    <x v="279"/>
    <x v="1"/>
    <x v="0"/>
    <x v="1"/>
  </r>
  <r>
    <s v="ORD-01902"/>
    <x v="284"/>
    <s v="Aakash Bhat"/>
    <x v="0"/>
    <x v="0"/>
    <n v="7160.31"/>
    <n v="2"/>
    <x v="1"/>
    <x v="21"/>
    <x v="280"/>
    <x v="0"/>
    <x v="0"/>
    <x v="1"/>
  </r>
  <r>
    <s v="ORD-01672"/>
    <x v="285"/>
    <s v="Pooja Iyer"/>
    <x v="1"/>
    <x v="2"/>
    <n v="5221.99"/>
    <n v="5"/>
    <x v="1"/>
    <x v="23"/>
    <x v="281"/>
    <x v="0"/>
    <x v="0"/>
    <x v="1"/>
  </r>
  <r>
    <s v="ORD-01949"/>
    <x v="286"/>
    <s v="Sanjay Joshi"/>
    <x v="2"/>
    <x v="1"/>
    <n v="864.88"/>
    <n v="6"/>
    <x v="1"/>
    <x v="23"/>
    <x v="282"/>
    <x v="1"/>
    <x v="0"/>
    <x v="0"/>
  </r>
  <r>
    <s v="ORD-01454"/>
    <x v="287"/>
    <s v="Harsh Shah"/>
    <x v="2"/>
    <x v="2"/>
    <n v="17716.27"/>
    <n v="2"/>
    <x v="1"/>
    <x v="11"/>
    <x v="283"/>
    <x v="0"/>
    <x v="0"/>
    <x v="1"/>
  </r>
  <r>
    <s v="ORD-01483"/>
    <x v="288"/>
    <s v="Dev Mathur"/>
    <x v="3"/>
    <x v="1"/>
    <n v="3076.34"/>
    <n v="11"/>
    <x v="1"/>
    <x v="2"/>
    <x v="284"/>
    <x v="1"/>
    <x v="0"/>
    <x v="0"/>
  </r>
  <r>
    <s v="ORD-02266"/>
    <x v="289"/>
    <s v="Nidhi Bhatt"/>
    <x v="0"/>
    <x v="2"/>
    <n v="34523.64"/>
    <n v="2"/>
    <x v="1"/>
    <x v="9"/>
    <x v="285"/>
    <x v="0"/>
    <x v="1"/>
    <x v="0"/>
  </r>
  <r>
    <s v="ORD-02035"/>
    <x v="290"/>
    <s v="Bhavna Dubey"/>
    <x v="0"/>
    <x v="2"/>
    <n v="40504.06"/>
    <n v="3"/>
    <x v="1"/>
    <x v="10"/>
    <x v="286"/>
    <x v="0"/>
    <x v="1"/>
    <x v="0"/>
  </r>
  <r>
    <s v="ORD-01191"/>
    <x v="291"/>
    <s v="Aakash Bhat"/>
    <x v="0"/>
    <x v="2"/>
    <n v="19090.560000000001"/>
    <n v="4"/>
    <x v="1"/>
    <x v="9"/>
    <x v="287"/>
    <x v="0"/>
    <x v="0"/>
    <x v="1"/>
  </r>
  <r>
    <s v="ORD-02065"/>
    <x v="292"/>
    <s v="Tara Saxena"/>
    <x v="3"/>
    <x v="2"/>
    <n v="0"/>
    <n v="2"/>
    <x v="0"/>
    <x v="1"/>
    <x v="0"/>
    <x v="0"/>
    <x v="0"/>
    <x v="1"/>
  </r>
  <r>
    <s v="ORD-01765"/>
    <x v="293"/>
    <s v="Dev Mathur"/>
    <x v="3"/>
    <x v="2"/>
    <n v="20330.23"/>
    <n v="3"/>
    <x v="1"/>
    <x v="15"/>
    <x v="288"/>
    <x v="0"/>
    <x v="0"/>
    <x v="1"/>
  </r>
  <r>
    <s v="ORD-01492"/>
    <x v="294"/>
    <s v="Aakash Bhat"/>
    <x v="0"/>
    <x v="0"/>
    <n v="4990.6400000000003"/>
    <n v="2"/>
    <x v="1"/>
    <x v="23"/>
    <x v="289"/>
    <x v="0"/>
    <x v="0"/>
    <x v="1"/>
  </r>
  <r>
    <s v="ORD-01936"/>
    <x v="25"/>
    <s v="Yash Agarwal"/>
    <x v="1"/>
    <x v="2"/>
    <n v="9011.9599999999991"/>
    <n v="5"/>
    <x v="1"/>
    <x v="9"/>
    <x v="290"/>
    <x v="0"/>
    <x v="0"/>
    <x v="1"/>
  </r>
  <r>
    <s v="ORD-01834"/>
    <x v="295"/>
    <s v="Tara Saxena"/>
    <x v="3"/>
    <x v="1"/>
    <n v="2181.98"/>
    <n v="2"/>
    <x v="1"/>
    <x v="18"/>
    <x v="291"/>
    <x v="0"/>
    <x v="0"/>
    <x v="1"/>
  </r>
  <r>
    <s v="ORD-02283"/>
    <x v="165"/>
    <s v="Tarun Mukerjee"/>
    <x v="3"/>
    <x v="2"/>
    <n v="44304.45"/>
    <n v="4"/>
    <x v="1"/>
    <x v="8"/>
    <x v="292"/>
    <x v="0"/>
    <x v="1"/>
    <x v="1"/>
  </r>
  <r>
    <s v="ORD-02412"/>
    <x v="85"/>
    <s v="Sunita Menon"/>
    <x v="3"/>
    <x v="1"/>
    <n v="1044.77"/>
    <n v="14"/>
    <x v="1"/>
    <x v="8"/>
    <x v="293"/>
    <x v="1"/>
    <x v="0"/>
    <x v="0"/>
  </r>
  <r>
    <s v="ORD-01842"/>
    <x v="296"/>
    <s v="Gaurav Mishra"/>
    <x v="0"/>
    <x v="1"/>
    <n v="523.54999999999995"/>
    <n v="24"/>
    <x v="1"/>
    <x v="12"/>
    <x v="294"/>
    <x v="2"/>
    <x v="0"/>
    <x v="1"/>
  </r>
  <r>
    <s v="ORD-01772"/>
    <x v="297"/>
    <s v="Dev Mathur"/>
    <x v="3"/>
    <x v="0"/>
    <n v="3627.61"/>
    <n v="2"/>
    <x v="1"/>
    <x v="1"/>
    <x v="295"/>
    <x v="0"/>
    <x v="0"/>
    <x v="1"/>
  </r>
  <r>
    <s v="ORD-01908"/>
    <x v="298"/>
    <s v="Tara Saxena"/>
    <x v="3"/>
    <x v="2"/>
    <n v="3948.93"/>
    <n v="5"/>
    <x v="1"/>
    <x v="21"/>
    <x v="296"/>
    <x v="0"/>
    <x v="0"/>
    <x v="1"/>
  </r>
  <r>
    <s v="ORD-01852"/>
    <x v="158"/>
    <s v="Smita Patil"/>
    <x v="2"/>
    <x v="2"/>
    <n v="23002.75"/>
    <n v="5"/>
    <x v="1"/>
    <x v="3"/>
    <x v="297"/>
    <x v="0"/>
    <x v="0"/>
    <x v="1"/>
  </r>
  <r>
    <s v="ORD-01690"/>
    <x v="86"/>
    <s v="Smita Patil"/>
    <x v="3"/>
    <x v="0"/>
    <n v="8917.4500000000007"/>
    <n v="8"/>
    <x v="1"/>
    <x v="16"/>
    <x v="298"/>
    <x v="1"/>
    <x v="0"/>
    <x v="1"/>
  </r>
  <r>
    <s v="ORD-01572"/>
    <x v="177"/>
    <s v="Lakshmi Venkat"/>
    <x v="1"/>
    <x v="1"/>
    <n v="137.82"/>
    <n v="16"/>
    <x v="1"/>
    <x v="4"/>
    <x v="299"/>
    <x v="2"/>
    <x v="0"/>
    <x v="1"/>
  </r>
  <r>
    <s v="ORD-01272"/>
    <x v="89"/>
    <s v="Rahul Verma"/>
    <x v="2"/>
    <x v="2"/>
    <n v="20780.29"/>
    <n v="4"/>
    <x v="1"/>
    <x v="13"/>
    <x v="300"/>
    <x v="0"/>
    <x v="0"/>
    <x v="1"/>
  </r>
  <r>
    <s v="ORD-02136"/>
    <x v="299"/>
    <s v="Manish Srivastava"/>
    <x v="3"/>
    <x v="0"/>
    <n v="0"/>
    <n v="1"/>
    <x v="2"/>
    <x v="23"/>
    <x v="0"/>
    <x v="0"/>
    <x v="0"/>
    <x v="0"/>
  </r>
  <r>
    <s v="ORD-01646"/>
    <x v="300"/>
    <s v="Rahul Verma"/>
    <x v="2"/>
    <x v="0"/>
    <n v="5240.29"/>
    <n v="5"/>
    <x v="1"/>
    <x v="19"/>
    <x v="301"/>
    <x v="0"/>
    <x v="0"/>
    <x v="1"/>
  </r>
  <r>
    <s v="ORD-01590"/>
    <x v="301"/>
    <s v="Pooja Iyer"/>
    <x v="1"/>
    <x v="0"/>
    <n v="6658.74"/>
    <n v="4"/>
    <x v="1"/>
    <x v="8"/>
    <x v="302"/>
    <x v="0"/>
    <x v="0"/>
    <x v="1"/>
  </r>
  <r>
    <s v="ORD-01210"/>
    <x v="131"/>
    <s v="Kiran Nambiar"/>
    <x v="2"/>
    <x v="1"/>
    <n v="2258.4899999999998"/>
    <n v="10"/>
    <x v="1"/>
    <x v="0"/>
    <x v="303"/>
    <x v="1"/>
    <x v="0"/>
    <x v="1"/>
  </r>
  <r>
    <s v="ORD-01404"/>
    <x v="302"/>
    <s v="Aakash Bhat"/>
    <x v="0"/>
    <x v="0"/>
    <n v="15013.69"/>
    <n v="2"/>
    <x v="1"/>
    <x v="8"/>
    <x v="304"/>
    <x v="0"/>
    <x v="0"/>
    <x v="1"/>
  </r>
  <r>
    <s v="ORD-02309"/>
    <x v="303"/>
    <s v="Manish Srivastava"/>
    <x v="3"/>
    <x v="0"/>
    <n v="10915.79"/>
    <n v="6"/>
    <x v="1"/>
    <x v="4"/>
    <x v="305"/>
    <x v="1"/>
    <x v="0"/>
    <x v="1"/>
  </r>
  <r>
    <s v="ORD-02119"/>
    <x v="304"/>
    <s v="Rohan Mehta"/>
    <x v="0"/>
    <x v="1"/>
    <n v="3026.35"/>
    <n v="19"/>
    <x v="1"/>
    <x v="13"/>
    <x v="306"/>
    <x v="2"/>
    <x v="0"/>
    <x v="1"/>
  </r>
  <r>
    <s v="ORD-01018"/>
    <x v="14"/>
    <s v="Tarun Mukerjee"/>
    <x v="2"/>
    <x v="1"/>
    <n v="3486.62"/>
    <n v="17"/>
    <x v="1"/>
    <x v="10"/>
    <x v="307"/>
    <x v="2"/>
    <x v="0"/>
    <x v="1"/>
  </r>
  <r>
    <s v="ORD-02169"/>
    <x v="305"/>
    <s v="Geeta Pandey"/>
    <x v="2"/>
    <x v="2"/>
    <n v="38186.06"/>
    <n v="2"/>
    <x v="1"/>
    <x v="9"/>
    <x v="308"/>
    <x v="0"/>
    <x v="1"/>
    <x v="0"/>
  </r>
  <r>
    <s v="ORD-01964"/>
    <x v="82"/>
    <s v="Sanjay Joshi"/>
    <x v="2"/>
    <x v="0"/>
    <n v="11990.46"/>
    <n v="2"/>
    <x v="1"/>
    <x v="8"/>
    <x v="309"/>
    <x v="0"/>
    <x v="0"/>
    <x v="1"/>
  </r>
  <r>
    <s v="ORD-02269"/>
    <x v="306"/>
    <s v="Priya Patel"/>
    <x v="2"/>
    <x v="1"/>
    <n v="1047.9100000000001"/>
    <n v="6"/>
    <x v="1"/>
    <x v="5"/>
    <x v="310"/>
    <x v="1"/>
    <x v="0"/>
    <x v="0"/>
  </r>
  <r>
    <s v="ORD-02374"/>
    <x v="307"/>
    <s v="Padma Subramaniam"/>
    <x v="2"/>
    <x v="1"/>
    <n v="764.56"/>
    <n v="18"/>
    <x v="1"/>
    <x v="11"/>
    <x v="311"/>
    <x v="2"/>
    <x v="0"/>
    <x v="1"/>
  </r>
  <r>
    <s v="ORD-01887"/>
    <x v="308"/>
    <s v="Gaurav Mishra"/>
    <x v="0"/>
    <x v="1"/>
    <n v="782.57"/>
    <n v="21"/>
    <x v="1"/>
    <x v="20"/>
    <x v="312"/>
    <x v="2"/>
    <x v="0"/>
    <x v="1"/>
  </r>
  <r>
    <s v="ORD-01631"/>
    <x v="15"/>
    <s v="Varun Naik"/>
    <x v="1"/>
    <x v="0"/>
    <n v="17637.16"/>
    <n v="4"/>
    <x v="1"/>
    <x v="11"/>
    <x v="313"/>
    <x v="0"/>
    <x v="0"/>
    <x v="0"/>
  </r>
  <r>
    <s v="ORD-01888"/>
    <x v="124"/>
    <s v="Tara Saxena"/>
    <x v="3"/>
    <x v="2"/>
    <n v="14403.55"/>
    <n v="5"/>
    <x v="1"/>
    <x v="8"/>
    <x v="314"/>
    <x v="0"/>
    <x v="0"/>
    <x v="0"/>
  </r>
  <r>
    <s v="ORD-01429"/>
    <x v="34"/>
    <s v="Geeta Pandey"/>
    <x v="2"/>
    <x v="0"/>
    <n v="7656.66"/>
    <n v="8"/>
    <x v="1"/>
    <x v="19"/>
    <x v="315"/>
    <x v="1"/>
    <x v="0"/>
    <x v="0"/>
  </r>
  <r>
    <s v="ORD-02141"/>
    <x v="309"/>
    <s v="Sunita Menon"/>
    <x v="3"/>
    <x v="0"/>
    <n v="15636.07"/>
    <n v="8"/>
    <x v="1"/>
    <x v="17"/>
    <x v="316"/>
    <x v="1"/>
    <x v="0"/>
    <x v="1"/>
  </r>
  <r>
    <s v="ORD-01197"/>
    <x v="293"/>
    <s v="Riya Malhotra"/>
    <x v="3"/>
    <x v="0"/>
    <n v="15263.11"/>
    <n v="6"/>
    <x v="1"/>
    <x v="15"/>
    <x v="317"/>
    <x v="1"/>
    <x v="0"/>
    <x v="1"/>
  </r>
  <r>
    <s v="ORD-02034"/>
    <x v="310"/>
    <s v="Lakshmi Venkat"/>
    <x v="1"/>
    <x v="1"/>
    <n v="2454.1799999999998"/>
    <n v="27"/>
    <x v="1"/>
    <x v="6"/>
    <x v="318"/>
    <x v="2"/>
    <x v="0"/>
    <x v="1"/>
  </r>
  <r>
    <s v="ORD-01999"/>
    <x v="311"/>
    <s v="Geeta Pandey"/>
    <x v="2"/>
    <x v="1"/>
    <n v="3233.22"/>
    <n v="2"/>
    <x v="1"/>
    <x v="5"/>
    <x v="319"/>
    <x v="0"/>
    <x v="0"/>
    <x v="1"/>
  </r>
  <r>
    <s v="ORD-02254"/>
    <x v="309"/>
    <s v="Padma Subramaniam"/>
    <x v="2"/>
    <x v="1"/>
    <n v="1919.33"/>
    <n v="25"/>
    <x v="1"/>
    <x v="17"/>
    <x v="320"/>
    <x v="2"/>
    <x v="0"/>
    <x v="1"/>
  </r>
  <r>
    <s v="ORD-01164"/>
    <x v="42"/>
    <s v="Nidhi Bhatt"/>
    <x v="0"/>
    <x v="2"/>
    <n v="4783.8999999999996"/>
    <n v="3"/>
    <x v="1"/>
    <x v="20"/>
    <x v="321"/>
    <x v="0"/>
    <x v="0"/>
    <x v="0"/>
  </r>
  <r>
    <s v="ORD-01140"/>
    <x v="291"/>
    <s v="Amit Kumar"/>
    <x v="0"/>
    <x v="1"/>
    <n v="1803.43"/>
    <n v="29"/>
    <x v="1"/>
    <x v="9"/>
    <x v="322"/>
    <x v="2"/>
    <x v="0"/>
    <x v="1"/>
  </r>
  <r>
    <s v="ORD-02451"/>
    <x v="312"/>
    <s v="Amit Kumar"/>
    <x v="0"/>
    <x v="1"/>
    <n v="725.01"/>
    <n v="21"/>
    <x v="1"/>
    <x v="1"/>
    <x v="323"/>
    <x v="2"/>
    <x v="0"/>
    <x v="1"/>
  </r>
  <r>
    <s v="ORD-01718"/>
    <x v="313"/>
    <s v="Rajesh Choudhury"/>
    <x v="0"/>
    <x v="1"/>
    <n v="1038.32"/>
    <n v="20"/>
    <x v="1"/>
    <x v="23"/>
    <x v="324"/>
    <x v="2"/>
    <x v="0"/>
    <x v="1"/>
  </r>
  <r>
    <s v="ORD-02042"/>
    <x v="314"/>
    <s v="Geeta Pandey"/>
    <x v="2"/>
    <x v="0"/>
    <n v="16722.259999999998"/>
    <n v="3"/>
    <x v="1"/>
    <x v="16"/>
    <x v="325"/>
    <x v="0"/>
    <x v="0"/>
    <x v="1"/>
  </r>
  <r>
    <s v="ORD-01600"/>
    <x v="315"/>
    <s v="Gaurav Mishra"/>
    <x v="0"/>
    <x v="2"/>
    <n v="30486.18"/>
    <n v="1"/>
    <x v="1"/>
    <x v="15"/>
    <x v="326"/>
    <x v="0"/>
    <x v="1"/>
    <x v="1"/>
  </r>
  <r>
    <s v="ORD-02364"/>
    <x v="316"/>
    <s v="Neha Tiwari"/>
    <x v="1"/>
    <x v="2"/>
    <n v="11876.77"/>
    <n v="2"/>
    <x v="1"/>
    <x v="16"/>
    <x v="327"/>
    <x v="0"/>
    <x v="0"/>
    <x v="1"/>
  </r>
  <r>
    <s v="ORD-01491"/>
    <x v="317"/>
    <s v="Sneha Gupta"/>
    <x v="3"/>
    <x v="0"/>
    <n v="5858.39"/>
    <n v="2"/>
    <x v="1"/>
    <x v="12"/>
    <x v="328"/>
    <x v="0"/>
    <x v="0"/>
    <x v="1"/>
  </r>
  <r>
    <s v="ORD-02264"/>
    <x v="220"/>
    <s v="Divya Kaur"/>
    <x v="1"/>
    <x v="0"/>
    <n v="1373.19"/>
    <n v="8"/>
    <x v="1"/>
    <x v="15"/>
    <x v="329"/>
    <x v="1"/>
    <x v="0"/>
    <x v="1"/>
  </r>
  <r>
    <s v="ORD-01606"/>
    <x v="318"/>
    <s v="Harsh Shah"/>
    <x v="2"/>
    <x v="2"/>
    <n v="5831.37"/>
    <n v="4"/>
    <x v="1"/>
    <x v="7"/>
    <x v="330"/>
    <x v="0"/>
    <x v="0"/>
    <x v="1"/>
  </r>
  <r>
    <s v="ORD-01803"/>
    <x v="319"/>
    <s v="Sneha Gupta"/>
    <x v="3"/>
    <x v="1"/>
    <n v="1379.39"/>
    <n v="7"/>
    <x v="1"/>
    <x v="7"/>
    <x v="331"/>
    <x v="1"/>
    <x v="0"/>
    <x v="1"/>
  </r>
  <r>
    <s v="ORD-01748"/>
    <x v="320"/>
    <s v="Deepa Pillai"/>
    <x v="3"/>
    <x v="0"/>
    <n v="15149.8"/>
    <n v="2"/>
    <x v="1"/>
    <x v="7"/>
    <x v="332"/>
    <x v="0"/>
    <x v="0"/>
    <x v="1"/>
  </r>
  <r>
    <s v="ORD-02058"/>
    <x v="321"/>
    <s v="Amit Kumar"/>
    <x v="0"/>
    <x v="1"/>
    <n v="2928.14"/>
    <n v="16"/>
    <x v="1"/>
    <x v="3"/>
    <x v="333"/>
    <x v="2"/>
    <x v="0"/>
    <x v="1"/>
  </r>
  <r>
    <s v="ORD-02483"/>
    <x v="322"/>
    <s v="Vikram Singh"/>
    <x v="2"/>
    <x v="1"/>
    <n v="0"/>
    <n v="23"/>
    <x v="0"/>
    <x v="1"/>
    <x v="0"/>
    <x v="2"/>
    <x v="0"/>
    <x v="0"/>
  </r>
  <r>
    <s v="ORD-01299"/>
    <x v="228"/>
    <s v="Nikhil Desai"/>
    <x v="0"/>
    <x v="1"/>
    <n v="2397.38"/>
    <n v="4"/>
    <x v="1"/>
    <x v="9"/>
    <x v="334"/>
    <x v="0"/>
    <x v="0"/>
    <x v="1"/>
  </r>
  <r>
    <s v="ORD-01521"/>
    <x v="323"/>
    <s v="Ajay Rastogi"/>
    <x v="3"/>
    <x v="1"/>
    <n v="812.09"/>
    <n v="19"/>
    <x v="1"/>
    <x v="16"/>
    <x v="335"/>
    <x v="2"/>
    <x v="0"/>
    <x v="1"/>
  </r>
  <r>
    <s v="ORD-01202"/>
    <x v="324"/>
    <s v="Deepa Pillai"/>
    <x v="3"/>
    <x v="1"/>
    <n v="1169.1199999999999"/>
    <n v="19"/>
    <x v="1"/>
    <x v="6"/>
    <x v="336"/>
    <x v="2"/>
    <x v="0"/>
    <x v="0"/>
  </r>
  <r>
    <s v="ORD-01824"/>
    <x v="325"/>
    <s v="Ajay Rastogi"/>
    <x v="1"/>
    <x v="1"/>
    <n v="3489.92"/>
    <n v="17"/>
    <x v="1"/>
    <x v="17"/>
    <x v="337"/>
    <x v="2"/>
    <x v="0"/>
    <x v="1"/>
  </r>
  <r>
    <s v="ORD-01368"/>
    <x v="228"/>
    <s v="Gaurav Mishra"/>
    <x v="0"/>
    <x v="0"/>
    <n v="17407.2"/>
    <n v="8"/>
    <x v="1"/>
    <x v="9"/>
    <x v="338"/>
    <x v="1"/>
    <x v="0"/>
    <x v="1"/>
  </r>
  <r>
    <s v="ORD-02113"/>
    <x v="206"/>
    <s v="Sarita Bansal"/>
    <x v="2"/>
    <x v="0"/>
    <n v="3871.13"/>
    <n v="2"/>
    <x v="1"/>
    <x v="12"/>
    <x v="339"/>
    <x v="0"/>
    <x v="0"/>
    <x v="1"/>
  </r>
  <r>
    <s v="ORD-02258"/>
    <x v="308"/>
    <s v="Geeta Pandey"/>
    <x v="2"/>
    <x v="2"/>
    <n v="15826.08"/>
    <n v="2"/>
    <x v="1"/>
    <x v="20"/>
    <x v="340"/>
    <x v="0"/>
    <x v="0"/>
    <x v="1"/>
  </r>
  <r>
    <s v="ORD-02330"/>
    <x v="326"/>
    <s v="Sarita Bansal"/>
    <x v="2"/>
    <x v="0"/>
    <n v="8575.65"/>
    <n v="7"/>
    <x v="1"/>
    <x v="19"/>
    <x v="341"/>
    <x v="1"/>
    <x v="0"/>
    <x v="0"/>
  </r>
  <r>
    <s v="ORD-01995"/>
    <x v="247"/>
    <s v="Sarita Bansal"/>
    <x v="2"/>
    <x v="1"/>
    <n v="671"/>
    <n v="16"/>
    <x v="1"/>
    <x v="12"/>
    <x v="342"/>
    <x v="2"/>
    <x v="0"/>
    <x v="1"/>
  </r>
  <r>
    <s v="ORD-01826"/>
    <x v="63"/>
    <s v="Sunita Menon"/>
    <x v="3"/>
    <x v="0"/>
    <n v="3671.67"/>
    <n v="6"/>
    <x v="1"/>
    <x v="4"/>
    <x v="343"/>
    <x v="1"/>
    <x v="0"/>
    <x v="1"/>
  </r>
  <r>
    <s v="ORD-02006"/>
    <x v="109"/>
    <s v="Bhavna Dubey"/>
    <x v="0"/>
    <x v="0"/>
    <n v="2714.36"/>
    <n v="4"/>
    <x v="1"/>
    <x v="22"/>
    <x v="344"/>
    <x v="0"/>
    <x v="0"/>
    <x v="1"/>
  </r>
  <r>
    <s v="ORD-02096"/>
    <x v="327"/>
    <s v="Sarita Bansal"/>
    <x v="2"/>
    <x v="2"/>
    <n v="0"/>
    <n v="5"/>
    <x v="0"/>
    <x v="11"/>
    <x v="0"/>
    <x v="0"/>
    <x v="0"/>
    <x v="1"/>
  </r>
  <r>
    <s v="ORD-02375"/>
    <x v="328"/>
    <s v="Rahul Verma"/>
    <x v="2"/>
    <x v="2"/>
    <n v="16560.669999999998"/>
    <n v="2"/>
    <x v="1"/>
    <x v="10"/>
    <x v="345"/>
    <x v="0"/>
    <x v="0"/>
    <x v="1"/>
  </r>
  <r>
    <s v="ORD-02108"/>
    <x v="329"/>
    <s v="Vivek Chopra"/>
    <x v="2"/>
    <x v="1"/>
    <n v="275.98"/>
    <n v="10"/>
    <x v="1"/>
    <x v="17"/>
    <x v="346"/>
    <x v="1"/>
    <x v="0"/>
    <x v="1"/>
  </r>
  <r>
    <s v="ORD-02250"/>
    <x v="330"/>
    <s v="Yash Agarwal"/>
    <x v="1"/>
    <x v="1"/>
    <n v="1172"/>
    <n v="26"/>
    <x v="1"/>
    <x v="5"/>
    <x v="347"/>
    <x v="2"/>
    <x v="0"/>
    <x v="1"/>
  </r>
  <r>
    <s v="ORD-01382"/>
    <x v="331"/>
    <s v="Priya Patel"/>
    <x v="3"/>
    <x v="0"/>
    <n v="577.15"/>
    <n v="4"/>
    <x v="1"/>
    <x v="9"/>
    <x v="348"/>
    <x v="0"/>
    <x v="0"/>
    <x v="1"/>
  </r>
  <r>
    <s v="ORD-01240"/>
    <x v="156"/>
    <s v="Manish Srivastava"/>
    <x v="3"/>
    <x v="1"/>
    <n v="3273.31"/>
    <n v="23"/>
    <x v="1"/>
    <x v="20"/>
    <x v="349"/>
    <x v="2"/>
    <x v="0"/>
    <x v="1"/>
  </r>
  <r>
    <s v="ORD-01151"/>
    <x v="189"/>
    <s v="Kiran Nambiar"/>
    <x v="2"/>
    <x v="1"/>
    <n v="2478.42"/>
    <n v="4"/>
    <x v="1"/>
    <x v="7"/>
    <x v="350"/>
    <x v="0"/>
    <x v="0"/>
    <x v="1"/>
  </r>
  <r>
    <s v="ORD-02234"/>
    <x v="332"/>
    <s v="Ananya Sharma"/>
    <x v="1"/>
    <x v="2"/>
    <n v="36398.129999999997"/>
    <n v="5"/>
    <x v="1"/>
    <x v="0"/>
    <x v="351"/>
    <x v="0"/>
    <x v="1"/>
    <x v="1"/>
  </r>
  <r>
    <s v="ORD-02071"/>
    <x v="333"/>
    <s v="Bhavna Dubey"/>
    <x v="0"/>
    <x v="2"/>
    <n v="36992.94"/>
    <n v="1"/>
    <x v="1"/>
    <x v="10"/>
    <x v="352"/>
    <x v="0"/>
    <x v="1"/>
    <x v="0"/>
  </r>
  <r>
    <s v="ORD-01363"/>
    <x v="29"/>
    <s v="Divya Kaur"/>
    <x v="1"/>
    <x v="1"/>
    <n v="1289.45"/>
    <n v="9"/>
    <x v="1"/>
    <x v="1"/>
    <x v="353"/>
    <x v="1"/>
    <x v="0"/>
    <x v="1"/>
  </r>
  <r>
    <s v="ORD-02303"/>
    <x v="334"/>
    <s v="Varun Naik"/>
    <x v="1"/>
    <x v="0"/>
    <n v="8820.77"/>
    <n v="8"/>
    <x v="1"/>
    <x v="21"/>
    <x v="354"/>
    <x v="1"/>
    <x v="0"/>
    <x v="1"/>
  </r>
  <r>
    <s v="ORD-02431"/>
    <x v="335"/>
    <s v="Deepa Pillai"/>
    <x v="3"/>
    <x v="1"/>
    <n v="2464.69"/>
    <n v="4"/>
    <x v="1"/>
    <x v="2"/>
    <x v="355"/>
    <x v="0"/>
    <x v="0"/>
    <x v="0"/>
  </r>
  <r>
    <s v="ORD-02181"/>
    <x v="336"/>
    <s v="Varun Naik"/>
    <x v="1"/>
    <x v="0"/>
    <n v="15971.81"/>
    <n v="8"/>
    <x v="1"/>
    <x v="23"/>
    <x v="356"/>
    <x v="1"/>
    <x v="0"/>
    <x v="1"/>
  </r>
  <r>
    <s v="ORD-01955"/>
    <x v="108"/>
    <s v="Divya Kaur"/>
    <x v="1"/>
    <x v="1"/>
    <n v="2405.92"/>
    <n v="2"/>
    <x v="1"/>
    <x v="5"/>
    <x v="357"/>
    <x v="0"/>
    <x v="0"/>
    <x v="1"/>
  </r>
  <r>
    <s v="ORD-01141"/>
    <x v="337"/>
    <s v="Nikhil Desai"/>
    <x v="0"/>
    <x v="0"/>
    <n v="6315.79"/>
    <n v="5"/>
    <x v="1"/>
    <x v="18"/>
    <x v="358"/>
    <x v="0"/>
    <x v="0"/>
    <x v="1"/>
  </r>
  <r>
    <s v="ORD-02126"/>
    <x v="278"/>
    <s v="Priya Patel"/>
    <x v="3"/>
    <x v="0"/>
    <n v="2714.82"/>
    <n v="5"/>
    <x v="1"/>
    <x v="17"/>
    <x v="359"/>
    <x v="0"/>
    <x v="0"/>
    <x v="1"/>
  </r>
  <r>
    <s v="ORD-01065"/>
    <x v="338"/>
    <s v="Neha Tiwari"/>
    <x v="1"/>
    <x v="2"/>
    <n v="42740.25"/>
    <n v="3"/>
    <x v="1"/>
    <x v="4"/>
    <x v="360"/>
    <x v="0"/>
    <x v="1"/>
    <x v="0"/>
  </r>
  <r>
    <s v="ORD-01355"/>
    <x v="339"/>
    <s v="Sunita Menon"/>
    <x v="3"/>
    <x v="0"/>
    <n v="6963.35"/>
    <n v="8"/>
    <x v="1"/>
    <x v="11"/>
    <x v="361"/>
    <x v="1"/>
    <x v="0"/>
    <x v="1"/>
  </r>
  <r>
    <s v="ORD-01648"/>
    <x v="340"/>
    <s v="Lakshmi Venkat"/>
    <x v="1"/>
    <x v="1"/>
    <n v="2173.85"/>
    <n v="22"/>
    <x v="1"/>
    <x v="12"/>
    <x v="362"/>
    <x v="2"/>
    <x v="0"/>
    <x v="1"/>
  </r>
  <r>
    <s v="ORD-02216"/>
    <x v="104"/>
    <s v="Varun Naik"/>
    <x v="1"/>
    <x v="1"/>
    <n v="457.3"/>
    <n v="7"/>
    <x v="1"/>
    <x v="20"/>
    <x v="363"/>
    <x v="1"/>
    <x v="0"/>
    <x v="0"/>
  </r>
  <r>
    <s v="ORD-01113"/>
    <x v="341"/>
    <s v="Sneha Gupta"/>
    <x v="3"/>
    <x v="1"/>
    <n v="1030.97"/>
    <n v="16"/>
    <x v="1"/>
    <x v="15"/>
    <x v="364"/>
    <x v="2"/>
    <x v="0"/>
    <x v="1"/>
  </r>
  <r>
    <s v="ORD-01722"/>
    <x v="69"/>
    <s v="Rajesh Choudhury"/>
    <x v="0"/>
    <x v="0"/>
    <n v="7476.48"/>
    <n v="4"/>
    <x v="1"/>
    <x v="1"/>
    <x v="365"/>
    <x v="0"/>
    <x v="0"/>
    <x v="1"/>
  </r>
  <r>
    <s v="ORD-01168"/>
    <x v="342"/>
    <s v="Rajesh Choudhury"/>
    <x v="0"/>
    <x v="1"/>
    <n v="1311.92"/>
    <n v="26"/>
    <x v="1"/>
    <x v="4"/>
    <x v="366"/>
    <x v="2"/>
    <x v="0"/>
    <x v="1"/>
  </r>
  <r>
    <s v="ORD-01451"/>
    <x v="343"/>
    <s v="Ananya Sharma"/>
    <x v="1"/>
    <x v="2"/>
    <n v="6665.33"/>
    <n v="2"/>
    <x v="1"/>
    <x v="7"/>
    <x v="367"/>
    <x v="0"/>
    <x v="0"/>
    <x v="0"/>
  </r>
  <r>
    <s v="ORD-01771"/>
    <x v="344"/>
    <s v="Asha Kulkarni"/>
    <x v="0"/>
    <x v="1"/>
    <n v="2836.13"/>
    <n v="22"/>
    <x v="1"/>
    <x v="14"/>
    <x v="368"/>
    <x v="2"/>
    <x v="0"/>
    <x v="0"/>
  </r>
  <r>
    <s v="ORD-01796"/>
    <x v="120"/>
    <s v="Lakshmi Venkat"/>
    <x v="1"/>
    <x v="1"/>
    <n v="2323.17"/>
    <n v="2"/>
    <x v="1"/>
    <x v="16"/>
    <x v="369"/>
    <x v="0"/>
    <x v="0"/>
    <x v="0"/>
  </r>
  <r>
    <s v="ORD-02456"/>
    <x v="102"/>
    <s v="Arjun Reddy"/>
    <x v="0"/>
    <x v="1"/>
    <n v="1368.25"/>
    <n v="21"/>
    <x v="1"/>
    <x v="23"/>
    <x v="370"/>
    <x v="2"/>
    <x v="0"/>
    <x v="0"/>
  </r>
  <r>
    <s v="ORD-01767"/>
    <x v="128"/>
    <s v="Manish Srivastava"/>
    <x v="3"/>
    <x v="1"/>
    <n v="3231.2"/>
    <n v="25"/>
    <x v="1"/>
    <x v="1"/>
    <x v="371"/>
    <x v="2"/>
    <x v="0"/>
    <x v="0"/>
  </r>
  <r>
    <s v="ORD-02464"/>
    <x v="304"/>
    <s v="Ananya Sharma"/>
    <x v="1"/>
    <x v="0"/>
    <n v="2477.9"/>
    <n v="3"/>
    <x v="1"/>
    <x v="13"/>
    <x v="372"/>
    <x v="0"/>
    <x v="0"/>
    <x v="1"/>
  </r>
  <r>
    <s v="ORD-02154"/>
    <x v="282"/>
    <s v="Geeta Pandey"/>
    <x v="2"/>
    <x v="0"/>
    <n v="15457.18"/>
    <n v="4"/>
    <x v="1"/>
    <x v="1"/>
    <x v="373"/>
    <x v="0"/>
    <x v="0"/>
    <x v="0"/>
  </r>
  <r>
    <s v="ORD-01828"/>
    <x v="209"/>
    <s v="Amit Kumar"/>
    <x v="0"/>
    <x v="2"/>
    <n v="9626.09"/>
    <n v="3"/>
    <x v="1"/>
    <x v="22"/>
    <x v="374"/>
    <x v="0"/>
    <x v="0"/>
    <x v="1"/>
  </r>
  <r>
    <s v="ORD-02471"/>
    <x v="228"/>
    <s v="Meena Krishnan"/>
    <x v="1"/>
    <x v="1"/>
    <n v="3167.63"/>
    <n v="13"/>
    <x v="1"/>
    <x v="9"/>
    <x v="375"/>
    <x v="1"/>
    <x v="0"/>
    <x v="1"/>
  </r>
  <r>
    <s v="ORD-02145"/>
    <x v="345"/>
    <s v="Pooja Iyer"/>
    <x v="0"/>
    <x v="1"/>
    <n v="1104.1400000000001"/>
    <n v="19"/>
    <x v="1"/>
    <x v="17"/>
    <x v="376"/>
    <x v="2"/>
    <x v="0"/>
    <x v="1"/>
  </r>
  <r>
    <s v="ORD-02465"/>
    <x v="159"/>
    <s v="Deepa Pillai"/>
    <x v="3"/>
    <x v="0"/>
    <n v="15370.67"/>
    <n v="1"/>
    <x v="1"/>
    <x v="13"/>
    <x v="377"/>
    <x v="0"/>
    <x v="0"/>
    <x v="1"/>
  </r>
  <r>
    <s v="ORD-01692"/>
    <x v="346"/>
    <s v="Nikhil Desai"/>
    <x v="0"/>
    <x v="2"/>
    <n v="0"/>
    <n v="5"/>
    <x v="2"/>
    <x v="17"/>
    <x v="0"/>
    <x v="0"/>
    <x v="0"/>
    <x v="0"/>
  </r>
  <r>
    <s v="ORD-01469"/>
    <x v="137"/>
    <s v="Arjun Reddy"/>
    <x v="0"/>
    <x v="2"/>
    <n v="20839.04"/>
    <n v="5"/>
    <x v="1"/>
    <x v="14"/>
    <x v="378"/>
    <x v="0"/>
    <x v="0"/>
    <x v="1"/>
  </r>
  <r>
    <s v="ORD-01099"/>
    <x v="186"/>
    <s v="Nikhil Desai"/>
    <x v="0"/>
    <x v="1"/>
    <n v="2722.51"/>
    <n v="15"/>
    <x v="1"/>
    <x v="19"/>
    <x v="379"/>
    <x v="1"/>
    <x v="0"/>
    <x v="1"/>
  </r>
  <r>
    <s v="ORD-01063"/>
    <x v="64"/>
    <s v="Kiran Nambiar"/>
    <x v="2"/>
    <x v="1"/>
    <n v="448.98"/>
    <n v="29"/>
    <x v="1"/>
    <x v="11"/>
    <x v="380"/>
    <x v="2"/>
    <x v="0"/>
    <x v="0"/>
  </r>
  <r>
    <s v="ORD-01131"/>
    <x v="217"/>
    <s v="Gaurav Mishra"/>
    <x v="0"/>
    <x v="2"/>
    <n v="38711.800000000003"/>
    <n v="3"/>
    <x v="1"/>
    <x v="16"/>
    <x v="381"/>
    <x v="0"/>
    <x v="1"/>
    <x v="1"/>
  </r>
  <r>
    <s v="ORD-01649"/>
    <x v="341"/>
    <s v="Ajay Rastogi"/>
    <x v="1"/>
    <x v="2"/>
    <n v="35454.19"/>
    <n v="3"/>
    <x v="1"/>
    <x v="15"/>
    <x v="382"/>
    <x v="0"/>
    <x v="1"/>
    <x v="1"/>
  </r>
  <r>
    <s v="ORD-02387"/>
    <x v="39"/>
    <s v="Riya Malhotra"/>
    <x v="3"/>
    <x v="0"/>
    <n v="6366.29"/>
    <n v="4"/>
    <x v="1"/>
    <x v="3"/>
    <x v="383"/>
    <x v="0"/>
    <x v="0"/>
    <x v="1"/>
  </r>
  <r>
    <s v="ORD-01082"/>
    <x v="347"/>
    <s v="Gaurav Mishra"/>
    <x v="0"/>
    <x v="0"/>
    <n v="1402.1"/>
    <n v="7"/>
    <x v="1"/>
    <x v="16"/>
    <x v="384"/>
    <x v="1"/>
    <x v="0"/>
    <x v="1"/>
  </r>
  <r>
    <s v="ORD-02176"/>
    <x v="348"/>
    <s v="Pooja Iyer"/>
    <x v="1"/>
    <x v="2"/>
    <n v="36228.86"/>
    <n v="3"/>
    <x v="1"/>
    <x v="0"/>
    <x v="385"/>
    <x v="0"/>
    <x v="1"/>
    <x v="1"/>
  </r>
  <r>
    <s v="ORD-01280"/>
    <x v="349"/>
    <s v="Kiran Nambiar"/>
    <x v="2"/>
    <x v="2"/>
    <n v="37547.47"/>
    <n v="5"/>
    <x v="1"/>
    <x v="21"/>
    <x v="386"/>
    <x v="0"/>
    <x v="1"/>
    <x v="0"/>
  </r>
  <r>
    <s v="ORD-02144"/>
    <x v="19"/>
    <s v="Rohan Mehta"/>
    <x v="0"/>
    <x v="1"/>
    <n v="2263.4899999999998"/>
    <n v="21"/>
    <x v="1"/>
    <x v="5"/>
    <x v="387"/>
    <x v="2"/>
    <x v="0"/>
    <x v="1"/>
  </r>
  <r>
    <s v="ORD-01861"/>
    <x v="279"/>
    <s v="Bhavna Dubey"/>
    <x v="0"/>
    <x v="0"/>
    <n v="0"/>
    <n v="1"/>
    <x v="2"/>
    <x v="1"/>
    <x v="0"/>
    <x v="0"/>
    <x v="0"/>
    <x v="1"/>
  </r>
  <r>
    <s v="ORD-02393"/>
    <x v="260"/>
    <s v="Yash Agarwal"/>
    <x v="1"/>
    <x v="2"/>
    <n v="12816.25"/>
    <n v="4"/>
    <x v="1"/>
    <x v="0"/>
    <x v="388"/>
    <x v="0"/>
    <x v="0"/>
    <x v="1"/>
  </r>
  <r>
    <s v="ORD-01609"/>
    <x v="348"/>
    <s v="Yash Agarwal"/>
    <x v="1"/>
    <x v="0"/>
    <n v="0"/>
    <n v="1"/>
    <x v="2"/>
    <x v="0"/>
    <x v="0"/>
    <x v="0"/>
    <x v="0"/>
    <x v="1"/>
  </r>
  <r>
    <s v="ORD-01176"/>
    <x v="124"/>
    <s v="Harsh Shah"/>
    <x v="2"/>
    <x v="0"/>
    <n v="17124.830000000002"/>
    <n v="6"/>
    <x v="1"/>
    <x v="8"/>
    <x v="389"/>
    <x v="1"/>
    <x v="0"/>
    <x v="0"/>
  </r>
  <r>
    <s v="ORD-01061"/>
    <x v="345"/>
    <s v="Varun Naik"/>
    <x v="1"/>
    <x v="1"/>
    <n v="1192.47"/>
    <n v="1"/>
    <x v="1"/>
    <x v="17"/>
    <x v="390"/>
    <x v="0"/>
    <x v="0"/>
    <x v="1"/>
  </r>
  <r>
    <s v="ORD-01613"/>
    <x v="350"/>
    <s v="Sarita Bansal"/>
    <x v="2"/>
    <x v="1"/>
    <n v="2556.9499999999998"/>
    <n v="16"/>
    <x v="1"/>
    <x v="8"/>
    <x v="391"/>
    <x v="2"/>
    <x v="0"/>
    <x v="1"/>
  </r>
  <r>
    <s v="ORD-01438"/>
    <x v="351"/>
    <s v="Tara Saxena"/>
    <x v="3"/>
    <x v="1"/>
    <n v="3449.93"/>
    <n v="22"/>
    <x v="1"/>
    <x v="1"/>
    <x v="392"/>
    <x v="2"/>
    <x v="0"/>
    <x v="1"/>
  </r>
  <r>
    <s v="ORD-01311"/>
    <x v="352"/>
    <s v="Aakash Bhat"/>
    <x v="0"/>
    <x v="1"/>
    <n v="1700.38"/>
    <n v="13"/>
    <x v="1"/>
    <x v="19"/>
    <x v="393"/>
    <x v="1"/>
    <x v="0"/>
    <x v="0"/>
  </r>
  <r>
    <s v="ORD-02060"/>
    <x v="276"/>
    <s v="Nikhil Desai"/>
    <x v="0"/>
    <x v="2"/>
    <n v="27271"/>
    <n v="3"/>
    <x v="1"/>
    <x v="21"/>
    <x v="394"/>
    <x v="0"/>
    <x v="0"/>
    <x v="1"/>
  </r>
  <r>
    <s v="ORD-01854"/>
    <x v="353"/>
    <s v="Riya Malhotra"/>
    <x v="1"/>
    <x v="0"/>
    <n v="0"/>
    <n v="4"/>
    <x v="0"/>
    <x v="13"/>
    <x v="0"/>
    <x v="0"/>
    <x v="0"/>
    <x v="1"/>
  </r>
  <r>
    <s v="ORD-01338"/>
    <x v="354"/>
    <s v="Rahul Verma"/>
    <x v="2"/>
    <x v="1"/>
    <n v="2061.86"/>
    <n v="3"/>
    <x v="1"/>
    <x v="10"/>
    <x v="395"/>
    <x v="0"/>
    <x v="0"/>
    <x v="1"/>
  </r>
  <r>
    <s v="ORD-02046"/>
    <x v="48"/>
    <s v="Rohan Mehta"/>
    <x v="0"/>
    <x v="2"/>
    <n v="20511.990000000002"/>
    <n v="1"/>
    <x v="1"/>
    <x v="11"/>
    <x v="396"/>
    <x v="0"/>
    <x v="0"/>
    <x v="0"/>
  </r>
  <r>
    <s v="ORD-02066"/>
    <x v="68"/>
    <s v="Tarun Mukerjee"/>
    <x v="3"/>
    <x v="1"/>
    <n v="0"/>
    <n v="11"/>
    <x v="2"/>
    <x v="7"/>
    <x v="0"/>
    <x v="1"/>
    <x v="0"/>
    <x v="1"/>
  </r>
  <r>
    <s v="ORD-02090"/>
    <x v="355"/>
    <s v="Neha Tiwari"/>
    <x v="1"/>
    <x v="1"/>
    <n v="2961.9"/>
    <n v="13"/>
    <x v="1"/>
    <x v="23"/>
    <x v="397"/>
    <x v="1"/>
    <x v="0"/>
    <x v="1"/>
  </r>
  <r>
    <s v="ORD-01153"/>
    <x v="356"/>
    <s v="Harsh Shah"/>
    <x v="2"/>
    <x v="2"/>
    <n v="0"/>
    <n v="5"/>
    <x v="2"/>
    <x v="23"/>
    <x v="0"/>
    <x v="0"/>
    <x v="0"/>
    <x v="1"/>
  </r>
  <r>
    <s v="ORD-02484"/>
    <x v="182"/>
    <s v="Tarun Mukerjee"/>
    <x v="3"/>
    <x v="0"/>
    <n v="3540.95"/>
    <n v="6"/>
    <x v="1"/>
    <x v="14"/>
    <x v="398"/>
    <x v="1"/>
    <x v="0"/>
    <x v="1"/>
  </r>
  <r>
    <s v="ORD-01083"/>
    <x v="146"/>
    <s v="Rohan Mehta"/>
    <x v="0"/>
    <x v="1"/>
    <n v="1362.31"/>
    <n v="1"/>
    <x v="1"/>
    <x v="0"/>
    <x v="399"/>
    <x v="0"/>
    <x v="0"/>
    <x v="1"/>
  </r>
  <r>
    <s v="ORD-02370"/>
    <x v="345"/>
    <s v="Sneha Gupta"/>
    <x v="3"/>
    <x v="0"/>
    <n v="8158.56"/>
    <n v="1"/>
    <x v="1"/>
    <x v="17"/>
    <x v="400"/>
    <x v="0"/>
    <x v="0"/>
    <x v="1"/>
  </r>
  <r>
    <s v="ORD-02165"/>
    <x v="287"/>
    <s v="Kiran Nambiar"/>
    <x v="2"/>
    <x v="0"/>
    <n v="0"/>
    <n v="8"/>
    <x v="0"/>
    <x v="11"/>
    <x v="0"/>
    <x v="1"/>
    <x v="0"/>
    <x v="1"/>
  </r>
  <r>
    <s v="ORD-01599"/>
    <x v="357"/>
    <s v="Sunita Menon"/>
    <x v="3"/>
    <x v="2"/>
    <n v="0"/>
    <n v="2"/>
    <x v="2"/>
    <x v="8"/>
    <x v="0"/>
    <x v="0"/>
    <x v="0"/>
    <x v="0"/>
  </r>
  <r>
    <s v="ORD-01676"/>
    <x v="358"/>
    <s v="Pooja Iyer"/>
    <x v="1"/>
    <x v="0"/>
    <n v="15838.58"/>
    <n v="8"/>
    <x v="1"/>
    <x v="23"/>
    <x v="401"/>
    <x v="1"/>
    <x v="0"/>
    <x v="1"/>
  </r>
  <r>
    <s v="ORD-01161"/>
    <x v="205"/>
    <s v="Tarun Mukerjee"/>
    <x v="3"/>
    <x v="0"/>
    <n v="14030.62"/>
    <n v="4"/>
    <x v="1"/>
    <x v="20"/>
    <x v="402"/>
    <x v="0"/>
    <x v="0"/>
    <x v="1"/>
  </r>
  <r>
    <s v="ORD-01456"/>
    <x v="359"/>
    <s v="Amit Kumar"/>
    <x v="0"/>
    <x v="1"/>
    <n v="2418.65"/>
    <n v="28"/>
    <x v="1"/>
    <x v="2"/>
    <x v="403"/>
    <x v="2"/>
    <x v="0"/>
    <x v="1"/>
  </r>
  <r>
    <s v="ORD-01661"/>
    <x v="314"/>
    <s v="Kiran Nambiar"/>
    <x v="2"/>
    <x v="0"/>
    <n v="12217.39"/>
    <n v="1"/>
    <x v="1"/>
    <x v="16"/>
    <x v="404"/>
    <x v="0"/>
    <x v="0"/>
    <x v="1"/>
  </r>
  <r>
    <s v="ORD-01653"/>
    <x v="360"/>
    <s v="Ananya Sharma"/>
    <x v="1"/>
    <x v="0"/>
    <n v="8188.31"/>
    <n v="4"/>
    <x v="1"/>
    <x v="17"/>
    <x v="405"/>
    <x v="0"/>
    <x v="0"/>
    <x v="0"/>
  </r>
  <r>
    <s v="ORD-01352"/>
    <x v="361"/>
    <s v="Lakshmi Venkat"/>
    <x v="1"/>
    <x v="2"/>
    <n v="44367.74"/>
    <n v="5"/>
    <x v="1"/>
    <x v="22"/>
    <x v="406"/>
    <x v="0"/>
    <x v="1"/>
    <x v="1"/>
  </r>
  <r>
    <s v="ORD-02117"/>
    <x v="325"/>
    <s v="Vivek Chopra"/>
    <x v="2"/>
    <x v="0"/>
    <n v="7962.52"/>
    <n v="6"/>
    <x v="1"/>
    <x v="17"/>
    <x v="407"/>
    <x v="1"/>
    <x v="0"/>
    <x v="1"/>
  </r>
  <r>
    <s v="ORD-01505"/>
    <x v="362"/>
    <s v="Dev Mathur"/>
    <x v="3"/>
    <x v="0"/>
    <n v="14139.91"/>
    <n v="6"/>
    <x v="1"/>
    <x v="17"/>
    <x v="408"/>
    <x v="1"/>
    <x v="0"/>
    <x v="1"/>
  </r>
  <r>
    <s v="ORD-02497"/>
    <x v="363"/>
    <s v="Geeta Pandey"/>
    <x v="1"/>
    <x v="1"/>
    <n v="1638.22"/>
    <n v="10"/>
    <x v="1"/>
    <x v="22"/>
    <x v="409"/>
    <x v="1"/>
    <x v="0"/>
    <x v="1"/>
  </r>
  <r>
    <s v="ORD-01250"/>
    <x v="364"/>
    <s v="Ajay Rastogi"/>
    <x v="1"/>
    <x v="2"/>
    <n v="13674.22"/>
    <n v="1"/>
    <x v="1"/>
    <x v="19"/>
    <x v="410"/>
    <x v="0"/>
    <x v="0"/>
    <x v="1"/>
  </r>
  <r>
    <s v="ORD-02112"/>
    <x v="365"/>
    <s v="Aakash Bhat"/>
    <x v="0"/>
    <x v="1"/>
    <n v="2849.53"/>
    <n v="22"/>
    <x v="1"/>
    <x v="8"/>
    <x v="411"/>
    <x v="2"/>
    <x v="0"/>
    <x v="0"/>
  </r>
  <r>
    <s v="ORD-02478"/>
    <x v="366"/>
    <s v="Divya Kaur"/>
    <x v="1"/>
    <x v="2"/>
    <n v="8567.33"/>
    <n v="3"/>
    <x v="1"/>
    <x v="2"/>
    <x v="412"/>
    <x v="0"/>
    <x v="0"/>
    <x v="1"/>
  </r>
  <r>
    <s v="ORD-01715"/>
    <x v="367"/>
    <s v="Varun Naik"/>
    <x v="1"/>
    <x v="0"/>
    <n v="14475.11"/>
    <n v="1"/>
    <x v="1"/>
    <x v="2"/>
    <x v="413"/>
    <x v="0"/>
    <x v="0"/>
    <x v="1"/>
  </r>
  <r>
    <s v="ORD-01937"/>
    <x v="368"/>
    <s v="Geeta Pandey"/>
    <x v="2"/>
    <x v="2"/>
    <n v="32276.15"/>
    <n v="3"/>
    <x v="1"/>
    <x v="0"/>
    <x v="414"/>
    <x v="0"/>
    <x v="1"/>
    <x v="1"/>
  </r>
  <r>
    <s v="ORD-01524"/>
    <x v="28"/>
    <s v="Ananya Sharma"/>
    <x v="1"/>
    <x v="2"/>
    <n v="31438.38"/>
    <n v="3"/>
    <x v="1"/>
    <x v="5"/>
    <x v="415"/>
    <x v="0"/>
    <x v="1"/>
    <x v="1"/>
  </r>
  <r>
    <s v="ORD-01052"/>
    <x v="84"/>
    <s v="Deepa Pillai"/>
    <x v="3"/>
    <x v="1"/>
    <n v="2484.5500000000002"/>
    <n v="18"/>
    <x v="1"/>
    <x v="14"/>
    <x v="416"/>
    <x v="2"/>
    <x v="0"/>
    <x v="1"/>
  </r>
  <r>
    <s v="ORD-01595"/>
    <x v="133"/>
    <s v="Manish Srivastava"/>
    <x v="3"/>
    <x v="2"/>
    <n v="31527.49"/>
    <n v="1"/>
    <x v="1"/>
    <x v="14"/>
    <x v="417"/>
    <x v="0"/>
    <x v="1"/>
    <x v="0"/>
  </r>
  <r>
    <s v="ORD-01611"/>
    <x v="95"/>
    <s v="Meena Krishnan"/>
    <x v="1"/>
    <x v="2"/>
    <n v="0"/>
    <n v="5"/>
    <x v="0"/>
    <x v="18"/>
    <x v="0"/>
    <x v="0"/>
    <x v="0"/>
    <x v="1"/>
  </r>
  <r>
    <s v="ORD-01702"/>
    <x v="369"/>
    <s v="Varun Naik"/>
    <x v="1"/>
    <x v="2"/>
    <n v="27563.59"/>
    <n v="2"/>
    <x v="1"/>
    <x v="19"/>
    <x v="418"/>
    <x v="0"/>
    <x v="0"/>
    <x v="1"/>
  </r>
  <r>
    <s v="ORD-01468"/>
    <x v="76"/>
    <s v="Kavya Nair"/>
    <x v="1"/>
    <x v="0"/>
    <n v="13220.26"/>
    <n v="4"/>
    <x v="1"/>
    <x v="17"/>
    <x v="419"/>
    <x v="0"/>
    <x v="0"/>
    <x v="1"/>
  </r>
  <r>
    <s v="ORD-02121"/>
    <x v="370"/>
    <s v="Ajay Rastogi"/>
    <x v="1"/>
    <x v="2"/>
    <n v="23884.32"/>
    <n v="3"/>
    <x v="1"/>
    <x v="10"/>
    <x v="420"/>
    <x v="0"/>
    <x v="0"/>
    <x v="1"/>
  </r>
  <r>
    <s v="ORD-01433"/>
    <x v="104"/>
    <s v="Yash Agarwal"/>
    <x v="1"/>
    <x v="0"/>
    <n v="2112.77"/>
    <n v="4"/>
    <x v="1"/>
    <x v="20"/>
    <x v="421"/>
    <x v="0"/>
    <x v="0"/>
    <x v="0"/>
  </r>
  <r>
    <s v="ORD-01254"/>
    <x v="67"/>
    <s v="Smita Patil"/>
    <x v="3"/>
    <x v="0"/>
    <n v="0"/>
    <n v="2"/>
    <x v="0"/>
    <x v="3"/>
    <x v="0"/>
    <x v="0"/>
    <x v="0"/>
    <x v="1"/>
  </r>
  <r>
    <s v="ORD-01768"/>
    <x v="94"/>
    <s v="Ananya Sharma"/>
    <x v="1"/>
    <x v="0"/>
    <n v="10866.97"/>
    <n v="1"/>
    <x v="1"/>
    <x v="11"/>
    <x v="422"/>
    <x v="0"/>
    <x v="0"/>
    <x v="1"/>
  </r>
  <r>
    <s v="ORD-01048"/>
    <x v="94"/>
    <s v="Sneha Gupta"/>
    <x v="3"/>
    <x v="2"/>
    <n v="0"/>
    <n v="1"/>
    <x v="0"/>
    <x v="11"/>
    <x v="0"/>
    <x v="0"/>
    <x v="0"/>
    <x v="1"/>
  </r>
  <r>
    <s v="ORD-01093"/>
    <x v="371"/>
    <s v="Deepa Pillai"/>
    <x v="3"/>
    <x v="1"/>
    <n v="2528.33"/>
    <n v="25"/>
    <x v="1"/>
    <x v="23"/>
    <x v="423"/>
    <x v="2"/>
    <x v="0"/>
    <x v="0"/>
  </r>
  <r>
    <s v="ORD-01138"/>
    <x v="372"/>
    <s v="Rahul Verma"/>
    <x v="2"/>
    <x v="2"/>
    <n v="22828.2"/>
    <n v="3"/>
    <x v="1"/>
    <x v="5"/>
    <x v="424"/>
    <x v="0"/>
    <x v="0"/>
    <x v="1"/>
  </r>
  <r>
    <s v="ORD-02149"/>
    <x v="373"/>
    <s v="Rajesh Choudhury"/>
    <x v="0"/>
    <x v="1"/>
    <n v="824.48"/>
    <n v="1"/>
    <x v="1"/>
    <x v="13"/>
    <x v="425"/>
    <x v="0"/>
    <x v="0"/>
    <x v="1"/>
  </r>
  <r>
    <s v="ORD-01892"/>
    <x v="374"/>
    <s v="Bhavna Dubey"/>
    <x v="0"/>
    <x v="0"/>
    <n v="16721.88"/>
    <n v="1"/>
    <x v="1"/>
    <x v="6"/>
    <x v="426"/>
    <x v="0"/>
    <x v="0"/>
    <x v="0"/>
  </r>
  <r>
    <s v="ORD-02453"/>
    <x v="375"/>
    <s v="Vikram Singh"/>
    <x v="2"/>
    <x v="0"/>
    <n v="3479.5"/>
    <n v="1"/>
    <x v="1"/>
    <x v="12"/>
    <x v="427"/>
    <x v="0"/>
    <x v="0"/>
    <x v="1"/>
  </r>
  <r>
    <s v="ORD-01969"/>
    <x v="376"/>
    <s v="Sneha Gupta"/>
    <x v="3"/>
    <x v="0"/>
    <n v="4165.4399999999996"/>
    <n v="2"/>
    <x v="1"/>
    <x v="15"/>
    <x v="428"/>
    <x v="0"/>
    <x v="0"/>
    <x v="0"/>
  </r>
  <r>
    <s v="ORD-02443"/>
    <x v="377"/>
    <s v="Vivek Chopra"/>
    <x v="2"/>
    <x v="1"/>
    <n v="0"/>
    <n v="28"/>
    <x v="2"/>
    <x v="11"/>
    <x v="0"/>
    <x v="2"/>
    <x v="0"/>
    <x v="1"/>
  </r>
  <r>
    <s v="ORD-01471"/>
    <x v="190"/>
    <s v="Smita Patil"/>
    <x v="3"/>
    <x v="1"/>
    <n v="944.4"/>
    <n v="12"/>
    <x v="1"/>
    <x v="15"/>
    <x v="429"/>
    <x v="1"/>
    <x v="0"/>
    <x v="1"/>
  </r>
  <r>
    <s v="ORD-01114"/>
    <x v="378"/>
    <s v="Sanjay Joshi"/>
    <x v="2"/>
    <x v="0"/>
    <n v="16956.830000000002"/>
    <n v="8"/>
    <x v="1"/>
    <x v="6"/>
    <x v="430"/>
    <x v="1"/>
    <x v="0"/>
    <x v="1"/>
  </r>
  <r>
    <s v="ORD-02295"/>
    <x v="379"/>
    <s v="Kavya Nair"/>
    <x v="1"/>
    <x v="1"/>
    <n v="1562.93"/>
    <n v="4"/>
    <x v="1"/>
    <x v="2"/>
    <x v="431"/>
    <x v="0"/>
    <x v="0"/>
    <x v="1"/>
  </r>
  <r>
    <s v="ORD-01731"/>
    <x v="282"/>
    <s v="Arjun Reddy"/>
    <x v="0"/>
    <x v="1"/>
    <n v="2882.71"/>
    <n v="3"/>
    <x v="1"/>
    <x v="1"/>
    <x v="432"/>
    <x v="0"/>
    <x v="0"/>
    <x v="0"/>
  </r>
  <r>
    <s v="ORD-02347"/>
    <x v="306"/>
    <s v="Vivek Chopra"/>
    <x v="2"/>
    <x v="2"/>
    <n v="30629.94"/>
    <n v="2"/>
    <x v="1"/>
    <x v="5"/>
    <x v="433"/>
    <x v="0"/>
    <x v="1"/>
    <x v="0"/>
  </r>
  <r>
    <s v="ORD-02383"/>
    <x v="379"/>
    <s v="Kiran Nambiar"/>
    <x v="2"/>
    <x v="1"/>
    <n v="323.89"/>
    <n v="5"/>
    <x v="1"/>
    <x v="2"/>
    <x v="434"/>
    <x v="0"/>
    <x v="0"/>
    <x v="1"/>
  </r>
  <r>
    <s v="ORD-02221"/>
    <x v="380"/>
    <s v="Sunita Menon"/>
    <x v="3"/>
    <x v="2"/>
    <n v="36238.18"/>
    <n v="4"/>
    <x v="1"/>
    <x v="19"/>
    <x v="435"/>
    <x v="0"/>
    <x v="1"/>
    <x v="1"/>
  </r>
  <r>
    <s v="ORD-02346"/>
    <x v="323"/>
    <s v="Kavya Nair"/>
    <x v="1"/>
    <x v="2"/>
    <n v="21785.17"/>
    <n v="3"/>
    <x v="1"/>
    <x v="16"/>
    <x v="436"/>
    <x v="0"/>
    <x v="0"/>
    <x v="1"/>
  </r>
  <r>
    <s v="ORD-01546"/>
    <x v="244"/>
    <s v="Lakshmi Venkat"/>
    <x v="1"/>
    <x v="2"/>
    <n v="4646.6099999999997"/>
    <n v="5"/>
    <x v="1"/>
    <x v="14"/>
    <x v="437"/>
    <x v="0"/>
    <x v="0"/>
    <x v="1"/>
  </r>
  <r>
    <s v="ORD-01388"/>
    <x v="102"/>
    <s v="Kiran Nambiar"/>
    <x v="2"/>
    <x v="1"/>
    <n v="0"/>
    <n v="3"/>
    <x v="0"/>
    <x v="23"/>
    <x v="0"/>
    <x v="0"/>
    <x v="0"/>
    <x v="0"/>
  </r>
  <r>
    <s v="ORD-01252"/>
    <x v="178"/>
    <s v="Kavya Nair"/>
    <x v="1"/>
    <x v="1"/>
    <n v="1800.28"/>
    <n v="17"/>
    <x v="1"/>
    <x v="23"/>
    <x v="438"/>
    <x v="2"/>
    <x v="0"/>
    <x v="1"/>
  </r>
  <r>
    <s v="ORD-02408"/>
    <x v="381"/>
    <s v="Kiran Nambiar"/>
    <x v="2"/>
    <x v="0"/>
    <n v="9161.4500000000007"/>
    <n v="7"/>
    <x v="1"/>
    <x v="12"/>
    <x v="439"/>
    <x v="1"/>
    <x v="0"/>
    <x v="1"/>
  </r>
  <r>
    <s v="ORD-01706"/>
    <x v="382"/>
    <s v="Smita Patil"/>
    <x v="3"/>
    <x v="1"/>
    <n v="0"/>
    <n v="27"/>
    <x v="2"/>
    <x v="23"/>
    <x v="0"/>
    <x v="2"/>
    <x v="0"/>
    <x v="1"/>
  </r>
  <r>
    <s v="ORD-02039"/>
    <x v="18"/>
    <s v="Rahul Verma"/>
    <x v="3"/>
    <x v="1"/>
    <n v="486.33"/>
    <n v="9"/>
    <x v="1"/>
    <x v="14"/>
    <x v="440"/>
    <x v="1"/>
    <x v="0"/>
    <x v="1"/>
  </r>
  <r>
    <s v="ORD-01973"/>
    <x v="383"/>
    <s v="Geeta Pandey"/>
    <x v="2"/>
    <x v="0"/>
    <n v="15239.67"/>
    <n v="2"/>
    <x v="1"/>
    <x v="8"/>
    <x v="441"/>
    <x v="0"/>
    <x v="0"/>
    <x v="1"/>
  </r>
  <r>
    <s v="ORD-02247"/>
    <x v="384"/>
    <s v="Sanjay Joshi"/>
    <x v="2"/>
    <x v="0"/>
    <n v="336.92"/>
    <n v="6"/>
    <x v="1"/>
    <x v="2"/>
    <x v="442"/>
    <x v="1"/>
    <x v="0"/>
    <x v="1"/>
  </r>
  <r>
    <s v="ORD-01367"/>
    <x v="78"/>
    <s v="Neha Tiwari"/>
    <x v="1"/>
    <x v="0"/>
    <n v="10385.27"/>
    <n v="4"/>
    <x v="1"/>
    <x v="12"/>
    <x v="443"/>
    <x v="0"/>
    <x v="0"/>
    <x v="1"/>
  </r>
  <r>
    <s v="ORD-02173"/>
    <x v="68"/>
    <s v="Gaurav Mishra"/>
    <x v="1"/>
    <x v="0"/>
    <n v="6911.98"/>
    <n v="2"/>
    <x v="1"/>
    <x v="7"/>
    <x v="444"/>
    <x v="0"/>
    <x v="0"/>
    <x v="1"/>
  </r>
  <r>
    <s v="ORD-01134"/>
    <x v="385"/>
    <s v="Dev Mathur"/>
    <x v="3"/>
    <x v="2"/>
    <n v="9091.15"/>
    <n v="3"/>
    <x v="1"/>
    <x v="3"/>
    <x v="445"/>
    <x v="0"/>
    <x v="0"/>
    <x v="1"/>
  </r>
  <r>
    <s v="ORD-02336"/>
    <x v="122"/>
    <s v="Meena Krishnan"/>
    <x v="3"/>
    <x v="0"/>
    <n v="14854.87"/>
    <n v="7"/>
    <x v="1"/>
    <x v="9"/>
    <x v="446"/>
    <x v="1"/>
    <x v="0"/>
    <x v="1"/>
  </r>
  <r>
    <s v="ORD-01912"/>
    <x v="386"/>
    <s v="Ajay Rastogi"/>
    <x v="1"/>
    <x v="1"/>
    <n v="1665.55"/>
    <n v="15"/>
    <x v="1"/>
    <x v="5"/>
    <x v="447"/>
    <x v="1"/>
    <x v="0"/>
    <x v="0"/>
  </r>
  <r>
    <s v="ORD-01901"/>
    <x v="387"/>
    <s v="Amit Kumar"/>
    <x v="0"/>
    <x v="2"/>
    <n v="0"/>
    <n v="5"/>
    <x v="2"/>
    <x v="6"/>
    <x v="0"/>
    <x v="0"/>
    <x v="0"/>
    <x v="0"/>
  </r>
  <r>
    <s v="ORD-02017"/>
    <x v="388"/>
    <s v="Vivek Chopra"/>
    <x v="2"/>
    <x v="0"/>
    <n v="15485.22"/>
    <n v="1"/>
    <x v="1"/>
    <x v="15"/>
    <x v="448"/>
    <x v="0"/>
    <x v="0"/>
    <x v="1"/>
  </r>
  <r>
    <s v="ORD-02018"/>
    <x v="389"/>
    <s v="Pooja Iyer"/>
    <x v="1"/>
    <x v="0"/>
    <n v="3573.54"/>
    <n v="6"/>
    <x v="1"/>
    <x v="5"/>
    <x v="449"/>
    <x v="1"/>
    <x v="0"/>
    <x v="1"/>
  </r>
  <r>
    <s v="ORD-01965"/>
    <x v="19"/>
    <s v="Nikhil Desai"/>
    <x v="0"/>
    <x v="1"/>
    <n v="0"/>
    <n v="25"/>
    <x v="0"/>
    <x v="5"/>
    <x v="0"/>
    <x v="2"/>
    <x v="0"/>
    <x v="1"/>
  </r>
  <r>
    <s v="ORD-01553"/>
    <x v="365"/>
    <s v="Suresh Rao"/>
    <x v="2"/>
    <x v="0"/>
    <n v="16177.46"/>
    <n v="1"/>
    <x v="1"/>
    <x v="8"/>
    <x v="450"/>
    <x v="0"/>
    <x v="0"/>
    <x v="0"/>
  </r>
  <r>
    <s v="ORD-02419"/>
    <x v="335"/>
    <s v="Asha Kulkarni"/>
    <x v="0"/>
    <x v="0"/>
    <n v="10972.83"/>
    <n v="5"/>
    <x v="1"/>
    <x v="2"/>
    <x v="451"/>
    <x v="0"/>
    <x v="0"/>
    <x v="0"/>
  </r>
  <r>
    <s v="ORD-01542"/>
    <x v="390"/>
    <s v="Manish Srivastava"/>
    <x v="3"/>
    <x v="0"/>
    <n v="16279.16"/>
    <n v="1"/>
    <x v="1"/>
    <x v="2"/>
    <x v="452"/>
    <x v="0"/>
    <x v="0"/>
    <x v="1"/>
  </r>
  <r>
    <s v="ORD-01778"/>
    <x v="122"/>
    <s v="Manish Srivastava"/>
    <x v="3"/>
    <x v="0"/>
    <n v="14765.34"/>
    <n v="1"/>
    <x v="1"/>
    <x v="9"/>
    <x v="453"/>
    <x v="0"/>
    <x v="0"/>
    <x v="1"/>
  </r>
  <r>
    <s v="ORD-02342"/>
    <x v="203"/>
    <s v="Geeta Pandey"/>
    <x v="2"/>
    <x v="0"/>
    <n v="6314.85"/>
    <n v="7"/>
    <x v="1"/>
    <x v="3"/>
    <x v="454"/>
    <x v="1"/>
    <x v="0"/>
    <x v="1"/>
  </r>
  <r>
    <s v="ORD-01331"/>
    <x v="332"/>
    <s v="Ananya Sharma"/>
    <x v="1"/>
    <x v="0"/>
    <n v="0"/>
    <n v="1"/>
    <x v="2"/>
    <x v="0"/>
    <x v="0"/>
    <x v="0"/>
    <x v="0"/>
    <x v="1"/>
  </r>
  <r>
    <s v="ORD-02296"/>
    <x v="28"/>
    <s v="Nidhi Bhatt"/>
    <x v="0"/>
    <x v="2"/>
    <n v="41318.78"/>
    <n v="4"/>
    <x v="1"/>
    <x v="5"/>
    <x v="455"/>
    <x v="0"/>
    <x v="1"/>
    <x v="1"/>
  </r>
  <r>
    <s v="ORD-02403"/>
    <x v="173"/>
    <s v="Divya Kaur"/>
    <x v="1"/>
    <x v="1"/>
    <n v="901.43"/>
    <n v="16"/>
    <x v="1"/>
    <x v="17"/>
    <x v="456"/>
    <x v="2"/>
    <x v="0"/>
    <x v="1"/>
  </r>
  <r>
    <s v="ORD-02102"/>
    <x v="391"/>
    <s v="Ajay Rastogi"/>
    <x v="1"/>
    <x v="1"/>
    <n v="1960.55"/>
    <n v="18"/>
    <x v="1"/>
    <x v="7"/>
    <x v="457"/>
    <x v="2"/>
    <x v="0"/>
    <x v="0"/>
  </r>
  <r>
    <s v="ORD-01122"/>
    <x v="142"/>
    <s v="Tara Saxena"/>
    <x v="3"/>
    <x v="1"/>
    <n v="0"/>
    <n v="3"/>
    <x v="2"/>
    <x v="2"/>
    <x v="0"/>
    <x v="0"/>
    <x v="0"/>
    <x v="0"/>
  </r>
  <r>
    <s v="ORD-02414"/>
    <x v="391"/>
    <s v="Yash Agarwal"/>
    <x v="1"/>
    <x v="2"/>
    <n v="0"/>
    <n v="1"/>
    <x v="0"/>
    <x v="7"/>
    <x v="0"/>
    <x v="0"/>
    <x v="0"/>
    <x v="0"/>
  </r>
  <r>
    <s v="ORD-01130"/>
    <x v="392"/>
    <s v="Nidhi Bhatt"/>
    <x v="0"/>
    <x v="0"/>
    <n v="17452.28"/>
    <n v="8"/>
    <x v="1"/>
    <x v="13"/>
    <x v="458"/>
    <x v="1"/>
    <x v="0"/>
    <x v="1"/>
  </r>
  <r>
    <s v="ORD-01617"/>
    <x v="346"/>
    <s v="Divya Kaur"/>
    <x v="1"/>
    <x v="2"/>
    <n v="4284.3100000000004"/>
    <n v="4"/>
    <x v="1"/>
    <x v="17"/>
    <x v="459"/>
    <x v="0"/>
    <x v="0"/>
    <x v="0"/>
  </r>
  <r>
    <s v="ORD-01237"/>
    <x v="297"/>
    <s v="Yash Agarwal"/>
    <x v="1"/>
    <x v="2"/>
    <n v="14478.48"/>
    <n v="4"/>
    <x v="1"/>
    <x v="1"/>
    <x v="460"/>
    <x v="0"/>
    <x v="0"/>
    <x v="1"/>
  </r>
  <r>
    <s v="ORD-01758"/>
    <x v="65"/>
    <s v="Sneha Gupta"/>
    <x v="3"/>
    <x v="0"/>
    <n v="0"/>
    <n v="1"/>
    <x v="0"/>
    <x v="16"/>
    <x v="0"/>
    <x v="0"/>
    <x v="0"/>
    <x v="0"/>
  </r>
  <r>
    <s v="ORD-01786"/>
    <x v="211"/>
    <s v="Sarita Bansal"/>
    <x v="2"/>
    <x v="1"/>
    <n v="257.18"/>
    <n v="12"/>
    <x v="1"/>
    <x v="8"/>
    <x v="461"/>
    <x v="1"/>
    <x v="0"/>
    <x v="1"/>
  </r>
  <r>
    <s v="ORD-01530"/>
    <x v="393"/>
    <s v="Rohan Mehta"/>
    <x v="0"/>
    <x v="1"/>
    <n v="619.24"/>
    <n v="29"/>
    <x v="1"/>
    <x v="8"/>
    <x v="462"/>
    <x v="2"/>
    <x v="0"/>
    <x v="0"/>
  </r>
  <r>
    <s v="ORD-01570"/>
    <x v="394"/>
    <s v="Nikhil Desai"/>
    <x v="0"/>
    <x v="0"/>
    <n v="4922.3"/>
    <n v="5"/>
    <x v="1"/>
    <x v="6"/>
    <x v="463"/>
    <x v="0"/>
    <x v="0"/>
    <x v="1"/>
  </r>
  <r>
    <s v="ORD-01413"/>
    <x v="395"/>
    <s v="Smita Patil"/>
    <x v="3"/>
    <x v="0"/>
    <n v="14181.58"/>
    <n v="8"/>
    <x v="1"/>
    <x v="21"/>
    <x v="464"/>
    <x v="1"/>
    <x v="0"/>
    <x v="1"/>
  </r>
  <r>
    <s v="ORD-01178"/>
    <x v="44"/>
    <s v="Rahul Verma"/>
    <x v="2"/>
    <x v="0"/>
    <n v="1922.62"/>
    <n v="4"/>
    <x v="1"/>
    <x v="13"/>
    <x v="465"/>
    <x v="0"/>
    <x v="0"/>
    <x v="1"/>
  </r>
  <r>
    <s v="ORD-01400"/>
    <x v="224"/>
    <s v="Pooja Iyer"/>
    <x v="1"/>
    <x v="1"/>
    <n v="3318.11"/>
    <n v="7"/>
    <x v="1"/>
    <x v="0"/>
    <x v="466"/>
    <x v="1"/>
    <x v="0"/>
    <x v="0"/>
  </r>
  <r>
    <s v="ORD-01132"/>
    <x v="9"/>
    <s v="Geeta Pandey"/>
    <x v="2"/>
    <x v="0"/>
    <n v="14700.12"/>
    <n v="1"/>
    <x v="1"/>
    <x v="8"/>
    <x v="467"/>
    <x v="0"/>
    <x v="0"/>
    <x v="1"/>
  </r>
  <r>
    <s v="ORD-01440"/>
    <x v="284"/>
    <s v="Suresh Rao"/>
    <x v="2"/>
    <x v="0"/>
    <n v="14964.13"/>
    <n v="7"/>
    <x v="1"/>
    <x v="21"/>
    <x v="468"/>
    <x v="1"/>
    <x v="0"/>
    <x v="1"/>
  </r>
  <r>
    <s v="ORD-01053"/>
    <x v="8"/>
    <s v="Kavya Nair"/>
    <x v="1"/>
    <x v="1"/>
    <n v="3168.55"/>
    <n v="18"/>
    <x v="1"/>
    <x v="7"/>
    <x v="469"/>
    <x v="2"/>
    <x v="0"/>
    <x v="1"/>
  </r>
  <r>
    <s v="ORD-01403"/>
    <x v="396"/>
    <s v="Sanjay Joshi"/>
    <x v="2"/>
    <x v="1"/>
    <n v="142.86000000000001"/>
    <n v="24"/>
    <x v="1"/>
    <x v="9"/>
    <x v="470"/>
    <x v="2"/>
    <x v="0"/>
    <x v="1"/>
  </r>
  <r>
    <s v="ORD-01198"/>
    <x v="397"/>
    <s v="Ajay Rastogi"/>
    <x v="1"/>
    <x v="0"/>
    <n v="15259.25"/>
    <n v="1"/>
    <x v="1"/>
    <x v="1"/>
    <x v="471"/>
    <x v="0"/>
    <x v="0"/>
    <x v="1"/>
  </r>
  <r>
    <s v="ORD-02442"/>
    <x v="398"/>
    <s v="Bhavna Dubey"/>
    <x v="0"/>
    <x v="0"/>
    <n v="2881.91"/>
    <n v="1"/>
    <x v="1"/>
    <x v="15"/>
    <x v="472"/>
    <x v="0"/>
    <x v="0"/>
    <x v="0"/>
  </r>
  <r>
    <s v="ORD-01951"/>
    <x v="399"/>
    <s v="Divya Kaur"/>
    <x v="1"/>
    <x v="0"/>
    <n v="13150.18"/>
    <n v="3"/>
    <x v="1"/>
    <x v="16"/>
    <x v="473"/>
    <x v="0"/>
    <x v="0"/>
    <x v="1"/>
  </r>
  <r>
    <s v="ORD-01909"/>
    <x v="274"/>
    <s v="Yash Agarwal"/>
    <x v="1"/>
    <x v="0"/>
    <n v="16288.28"/>
    <n v="1"/>
    <x v="1"/>
    <x v="9"/>
    <x v="474"/>
    <x v="0"/>
    <x v="0"/>
    <x v="0"/>
  </r>
  <r>
    <s v="ORD-02382"/>
    <x v="400"/>
    <s v="Ananya Sharma"/>
    <x v="1"/>
    <x v="1"/>
    <n v="2668.35"/>
    <n v="4"/>
    <x v="1"/>
    <x v="0"/>
    <x v="475"/>
    <x v="0"/>
    <x v="0"/>
    <x v="0"/>
  </r>
  <r>
    <s v="ORD-01633"/>
    <x v="401"/>
    <s v="Varun Naik"/>
    <x v="1"/>
    <x v="1"/>
    <n v="0"/>
    <n v="11"/>
    <x v="2"/>
    <x v="22"/>
    <x v="0"/>
    <x v="1"/>
    <x v="0"/>
    <x v="0"/>
  </r>
  <r>
    <s v="ORD-01326"/>
    <x v="220"/>
    <s v="Bhavna Dubey"/>
    <x v="0"/>
    <x v="2"/>
    <n v="15416.24"/>
    <n v="4"/>
    <x v="1"/>
    <x v="15"/>
    <x v="476"/>
    <x v="0"/>
    <x v="0"/>
    <x v="1"/>
  </r>
  <r>
    <s v="ORD-01532"/>
    <x v="289"/>
    <s v="Dev Mathur"/>
    <x v="3"/>
    <x v="0"/>
    <n v="5563.99"/>
    <n v="2"/>
    <x v="1"/>
    <x v="9"/>
    <x v="477"/>
    <x v="0"/>
    <x v="0"/>
    <x v="0"/>
  </r>
  <r>
    <s v="ORD-01587"/>
    <x v="402"/>
    <s v="Ananya Sharma"/>
    <x v="1"/>
    <x v="2"/>
    <n v="10800.94"/>
    <n v="3"/>
    <x v="1"/>
    <x v="4"/>
    <x v="478"/>
    <x v="0"/>
    <x v="0"/>
    <x v="0"/>
  </r>
  <r>
    <s v="ORD-02053"/>
    <x v="403"/>
    <s v="Pooja Iyer"/>
    <x v="1"/>
    <x v="1"/>
    <n v="346.97"/>
    <n v="7"/>
    <x v="1"/>
    <x v="16"/>
    <x v="479"/>
    <x v="1"/>
    <x v="0"/>
    <x v="1"/>
  </r>
  <r>
    <s v="ORD-01027"/>
    <x v="130"/>
    <s v="Neha Tiwari"/>
    <x v="1"/>
    <x v="0"/>
    <n v="17914.14"/>
    <n v="6"/>
    <x v="1"/>
    <x v="9"/>
    <x v="480"/>
    <x v="1"/>
    <x v="0"/>
    <x v="0"/>
  </r>
  <r>
    <s v="ORD-01856"/>
    <x v="404"/>
    <s v="Lakshmi Venkat"/>
    <x v="1"/>
    <x v="2"/>
    <n v="19697.96"/>
    <n v="1"/>
    <x v="1"/>
    <x v="15"/>
    <x v="481"/>
    <x v="0"/>
    <x v="0"/>
    <x v="1"/>
  </r>
  <r>
    <s v="ORD-02222"/>
    <x v="405"/>
    <s v="Asha Kulkarni"/>
    <x v="0"/>
    <x v="0"/>
    <n v="17004.2"/>
    <n v="8"/>
    <x v="1"/>
    <x v="5"/>
    <x v="482"/>
    <x v="1"/>
    <x v="0"/>
    <x v="0"/>
  </r>
  <r>
    <s v="ORD-01580"/>
    <x v="406"/>
    <s v="Rahul Verma"/>
    <x v="2"/>
    <x v="0"/>
    <n v="9678.14"/>
    <n v="7"/>
    <x v="1"/>
    <x v="15"/>
    <x v="483"/>
    <x v="1"/>
    <x v="0"/>
    <x v="1"/>
  </r>
  <r>
    <s v="ORD-02134"/>
    <x v="217"/>
    <s v="Meena Krishnan"/>
    <x v="1"/>
    <x v="2"/>
    <n v="0"/>
    <n v="3"/>
    <x v="2"/>
    <x v="16"/>
    <x v="0"/>
    <x v="0"/>
    <x v="0"/>
    <x v="1"/>
  </r>
  <r>
    <s v="ORD-01248"/>
    <x v="1"/>
    <s v="Suresh Rao"/>
    <x v="2"/>
    <x v="2"/>
    <n v="11339.03"/>
    <n v="5"/>
    <x v="1"/>
    <x v="1"/>
    <x v="484"/>
    <x v="0"/>
    <x v="0"/>
    <x v="1"/>
  </r>
  <r>
    <s v="ORD-01425"/>
    <x v="407"/>
    <s v="Sunita Menon"/>
    <x v="3"/>
    <x v="1"/>
    <n v="1373.8"/>
    <n v="6"/>
    <x v="1"/>
    <x v="16"/>
    <x v="485"/>
    <x v="1"/>
    <x v="0"/>
    <x v="1"/>
  </r>
  <r>
    <s v="ORD-01645"/>
    <x v="275"/>
    <s v="Tara Saxena"/>
    <x v="3"/>
    <x v="1"/>
    <n v="0"/>
    <n v="6"/>
    <x v="2"/>
    <x v="13"/>
    <x v="0"/>
    <x v="1"/>
    <x v="0"/>
    <x v="1"/>
  </r>
  <r>
    <s v="ORD-02212"/>
    <x v="229"/>
    <s v="Gaurav Mishra"/>
    <x v="0"/>
    <x v="1"/>
    <n v="832.08"/>
    <n v="18"/>
    <x v="1"/>
    <x v="18"/>
    <x v="486"/>
    <x v="2"/>
    <x v="0"/>
    <x v="1"/>
  </r>
  <r>
    <s v="ORD-01275"/>
    <x v="145"/>
    <s v="Riya Malhotra"/>
    <x v="3"/>
    <x v="2"/>
    <n v="35809.300000000003"/>
    <n v="2"/>
    <x v="1"/>
    <x v="19"/>
    <x v="487"/>
    <x v="0"/>
    <x v="1"/>
    <x v="1"/>
  </r>
  <r>
    <s v="ORD-01978"/>
    <x v="82"/>
    <s v="Divya Kaur"/>
    <x v="1"/>
    <x v="1"/>
    <n v="2426.5100000000002"/>
    <n v="16"/>
    <x v="1"/>
    <x v="8"/>
    <x v="488"/>
    <x v="2"/>
    <x v="0"/>
    <x v="1"/>
  </r>
  <r>
    <s v="ORD-01520"/>
    <x v="10"/>
    <s v="Tara Saxena"/>
    <x v="3"/>
    <x v="1"/>
    <n v="56.2"/>
    <n v="23"/>
    <x v="1"/>
    <x v="8"/>
    <x v="489"/>
    <x v="2"/>
    <x v="0"/>
    <x v="1"/>
  </r>
  <r>
    <s v="ORD-01230"/>
    <x v="408"/>
    <s v="Arjun Reddy"/>
    <x v="0"/>
    <x v="0"/>
    <n v="11689.83"/>
    <n v="6"/>
    <x v="1"/>
    <x v="22"/>
    <x v="490"/>
    <x v="1"/>
    <x v="0"/>
    <x v="0"/>
  </r>
  <r>
    <s v="ORD-01384"/>
    <x v="409"/>
    <s v="Dev Mathur"/>
    <x v="3"/>
    <x v="1"/>
    <n v="0"/>
    <n v="23"/>
    <x v="2"/>
    <x v="16"/>
    <x v="0"/>
    <x v="2"/>
    <x v="0"/>
    <x v="0"/>
  </r>
  <r>
    <s v="ORD-02323"/>
    <x v="145"/>
    <s v="Nidhi Bhatt"/>
    <x v="0"/>
    <x v="2"/>
    <n v="32946.6"/>
    <n v="4"/>
    <x v="1"/>
    <x v="19"/>
    <x v="491"/>
    <x v="0"/>
    <x v="1"/>
    <x v="1"/>
  </r>
  <r>
    <s v="ORD-01406"/>
    <x v="410"/>
    <s v="Divya Kaur"/>
    <x v="2"/>
    <x v="1"/>
    <n v="0"/>
    <n v="17"/>
    <x v="2"/>
    <x v="10"/>
    <x v="0"/>
    <x v="2"/>
    <x v="0"/>
    <x v="0"/>
  </r>
  <r>
    <s v="ORD-02262"/>
    <x v="121"/>
    <s v="Sneha Gupta"/>
    <x v="3"/>
    <x v="0"/>
    <n v="16106.3"/>
    <n v="5"/>
    <x v="1"/>
    <x v="16"/>
    <x v="492"/>
    <x v="0"/>
    <x v="0"/>
    <x v="0"/>
  </r>
  <r>
    <s v="ORD-01476"/>
    <x v="137"/>
    <s v="Priya Patel"/>
    <x v="3"/>
    <x v="0"/>
    <n v="16588.009999999998"/>
    <n v="3"/>
    <x v="1"/>
    <x v="14"/>
    <x v="493"/>
    <x v="0"/>
    <x v="0"/>
    <x v="1"/>
  </r>
  <r>
    <s v="ORD-01360"/>
    <x v="400"/>
    <s v="Padma Subramaniam"/>
    <x v="2"/>
    <x v="2"/>
    <n v="39230.74"/>
    <n v="3"/>
    <x v="1"/>
    <x v="0"/>
    <x v="494"/>
    <x v="0"/>
    <x v="1"/>
    <x v="0"/>
  </r>
  <r>
    <s v="ORD-01860"/>
    <x v="362"/>
    <s v="Vikram Singh"/>
    <x v="2"/>
    <x v="0"/>
    <n v="0"/>
    <n v="5"/>
    <x v="0"/>
    <x v="17"/>
    <x v="0"/>
    <x v="0"/>
    <x v="0"/>
    <x v="1"/>
  </r>
  <r>
    <s v="ORD-01481"/>
    <x v="331"/>
    <s v="Vivek Chopra"/>
    <x v="2"/>
    <x v="2"/>
    <n v="21305.56"/>
    <n v="5"/>
    <x v="1"/>
    <x v="9"/>
    <x v="495"/>
    <x v="0"/>
    <x v="0"/>
    <x v="1"/>
  </r>
  <r>
    <s v="ORD-01201"/>
    <x v="395"/>
    <s v="Rohan Mehta"/>
    <x v="0"/>
    <x v="1"/>
    <n v="792.21"/>
    <n v="14"/>
    <x v="1"/>
    <x v="21"/>
    <x v="496"/>
    <x v="1"/>
    <x v="0"/>
    <x v="1"/>
  </r>
  <r>
    <s v="ORD-01753"/>
    <x v="411"/>
    <s v="Gaurav Mishra"/>
    <x v="0"/>
    <x v="1"/>
    <n v="2022.15"/>
    <n v="28"/>
    <x v="1"/>
    <x v="17"/>
    <x v="497"/>
    <x v="2"/>
    <x v="0"/>
    <x v="1"/>
  </r>
  <r>
    <s v="ORD-01621"/>
    <x v="412"/>
    <s v="Gaurav Mishra"/>
    <x v="0"/>
    <x v="2"/>
    <n v="36893.22"/>
    <n v="4"/>
    <x v="1"/>
    <x v="5"/>
    <x v="498"/>
    <x v="0"/>
    <x v="1"/>
    <x v="1"/>
  </r>
  <r>
    <s v="ORD-01960"/>
    <x v="262"/>
    <s v="Sneha Gupta"/>
    <x v="3"/>
    <x v="1"/>
    <n v="0"/>
    <n v="8"/>
    <x v="2"/>
    <x v="16"/>
    <x v="0"/>
    <x v="1"/>
    <x v="0"/>
    <x v="1"/>
  </r>
  <r>
    <s v="ORD-01751"/>
    <x v="131"/>
    <s v="Dev Mathur"/>
    <x v="3"/>
    <x v="0"/>
    <n v="0"/>
    <n v="8"/>
    <x v="0"/>
    <x v="0"/>
    <x v="0"/>
    <x v="1"/>
    <x v="0"/>
    <x v="1"/>
  </r>
  <r>
    <s v="ORD-01895"/>
    <x v="136"/>
    <s v="Gaurav Mishra"/>
    <x v="0"/>
    <x v="1"/>
    <n v="1893.24"/>
    <n v="6"/>
    <x v="1"/>
    <x v="20"/>
    <x v="499"/>
    <x v="1"/>
    <x v="0"/>
    <x v="1"/>
  </r>
  <r>
    <s v="ORD-02158"/>
    <x v="413"/>
    <s v="Divya Kaur"/>
    <x v="1"/>
    <x v="1"/>
    <n v="2110.33"/>
    <n v="3"/>
    <x v="1"/>
    <x v="2"/>
    <x v="500"/>
    <x v="0"/>
    <x v="0"/>
    <x v="0"/>
  </r>
  <r>
    <s v="ORD-01049"/>
    <x v="242"/>
    <s v="Amit Kumar"/>
    <x v="0"/>
    <x v="1"/>
    <n v="776.67"/>
    <n v="11"/>
    <x v="1"/>
    <x v="9"/>
    <x v="230"/>
    <x v="1"/>
    <x v="0"/>
    <x v="0"/>
  </r>
  <r>
    <s v="ORD-02122"/>
    <x v="414"/>
    <s v="Suresh Rao"/>
    <x v="2"/>
    <x v="1"/>
    <n v="2691.08"/>
    <n v="28"/>
    <x v="1"/>
    <x v="12"/>
    <x v="501"/>
    <x v="2"/>
    <x v="0"/>
    <x v="1"/>
  </r>
  <r>
    <s v="ORD-01956"/>
    <x v="415"/>
    <s v="Smita Patil"/>
    <x v="3"/>
    <x v="0"/>
    <n v="11105.59"/>
    <n v="5"/>
    <x v="1"/>
    <x v="19"/>
    <x v="502"/>
    <x v="0"/>
    <x v="0"/>
    <x v="1"/>
  </r>
  <r>
    <s v="ORD-01596"/>
    <x v="416"/>
    <s v="Sneha Gupta"/>
    <x v="3"/>
    <x v="0"/>
    <n v="11323.52"/>
    <n v="3"/>
    <x v="1"/>
    <x v="10"/>
    <x v="503"/>
    <x v="0"/>
    <x v="0"/>
    <x v="1"/>
  </r>
  <r>
    <s v="ORD-01921"/>
    <x v="417"/>
    <s v="Ajay Rastogi"/>
    <x v="1"/>
    <x v="2"/>
    <n v="26973.61"/>
    <n v="4"/>
    <x v="1"/>
    <x v="8"/>
    <x v="504"/>
    <x v="0"/>
    <x v="0"/>
    <x v="0"/>
  </r>
  <r>
    <s v="ORD-02479"/>
    <x v="404"/>
    <s v="Sneha Gupta"/>
    <x v="3"/>
    <x v="1"/>
    <n v="2023.95"/>
    <n v="10"/>
    <x v="1"/>
    <x v="15"/>
    <x v="505"/>
    <x v="1"/>
    <x v="0"/>
    <x v="1"/>
  </r>
  <r>
    <s v="ORD-01103"/>
    <x v="378"/>
    <s v="Nikhil Desai"/>
    <x v="0"/>
    <x v="1"/>
    <n v="3086.37"/>
    <n v="18"/>
    <x v="1"/>
    <x v="6"/>
    <x v="506"/>
    <x v="2"/>
    <x v="0"/>
    <x v="1"/>
  </r>
  <r>
    <s v="ORD-01558"/>
    <x v="418"/>
    <s v="Varun Naik"/>
    <x v="1"/>
    <x v="1"/>
    <n v="3083.7"/>
    <n v="1"/>
    <x v="1"/>
    <x v="11"/>
    <x v="507"/>
    <x v="0"/>
    <x v="0"/>
    <x v="1"/>
  </r>
  <r>
    <s v="ORD-02472"/>
    <x v="419"/>
    <s v="Meena Krishnan"/>
    <x v="1"/>
    <x v="1"/>
    <n v="544.19000000000005"/>
    <n v="7"/>
    <x v="1"/>
    <x v="18"/>
    <x v="508"/>
    <x v="1"/>
    <x v="0"/>
    <x v="1"/>
  </r>
  <r>
    <s v="ORD-01615"/>
    <x v="420"/>
    <s v="Deepa Pillai"/>
    <x v="3"/>
    <x v="0"/>
    <n v="15378.12"/>
    <n v="3"/>
    <x v="1"/>
    <x v="3"/>
    <x v="509"/>
    <x v="0"/>
    <x v="0"/>
    <x v="1"/>
  </r>
  <r>
    <s v="ORD-01422"/>
    <x v="421"/>
    <s v="Nidhi Bhatt"/>
    <x v="0"/>
    <x v="0"/>
    <n v="0"/>
    <n v="3"/>
    <x v="2"/>
    <x v="16"/>
    <x v="0"/>
    <x v="0"/>
    <x v="0"/>
    <x v="1"/>
  </r>
  <r>
    <s v="ORD-01647"/>
    <x v="422"/>
    <s v="Nidhi Bhatt"/>
    <x v="0"/>
    <x v="2"/>
    <n v="15410.88"/>
    <n v="2"/>
    <x v="1"/>
    <x v="12"/>
    <x v="510"/>
    <x v="0"/>
    <x v="0"/>
    <x v="1"/>
  </r>
  <r>
    <s v="ORD-01836"/>
    <x v="423"/>
    <s v="Rohan Mehta"/>
    <x v="0"/>
    <x v="1"/>
    <n v="1383.51"/>
    <n v="13"/>
    <x v="1"/>
    <x v="7"/>
    <x v="511"/>
    <x v="1"/>
    <x v="0"/>
    <x v="1"/>
  </r>
  <r>
    <s v="ORD-02193"/>
    <x v="51"/>
    <s v="Rahul Verma"/>
    <x v="2"/>
    <x v="0"/>
    <n v="12544.97"/>
    <n v="8"/>
    <x v="1"/>
    <x v="16"/>
    <x v="512"/>
    <x v="1"/>
    <x v="0"/>
    <x v="1"/>
  </r>
  <r>
    <s v="ORD-01849"/>
    <x v="262"/>
    <s v="Vivek Chopra"/>
    <x v="2"/>
    <x v="1"/>
    <n v="3269.71"/>
    <n v="9"/>
    <x v="1"/>
    <x v="16"/>
    <x v="513"/>
    <x v="1"/>
    <x v="0"/>
    <x v="1"/>
  </r>
  <r>
    <s v="ORD-01102"/>
    <x v="424"/>
    <s v="Geeta Pandey"/>
    <x v="2"/>
    <x v="2"/>
    <n v="22349.71"/>
    <n v="3"/>
    <x v="1"/>
    <x v="3"/>
    <x v="514"/>
    <x v="0"/>
    <x v="0"/>
    <x v="1"/>
  </r>
  <r>
    <s v="ORD-02177"/>
    <x v="125"/>
    <s v="Kavya Nair"/>
    <x v="1"/>
    <x v="1"/>
    <n v="1365.8"/>
    <n v="13"/>
    <x v="1"/>
    <x v="20"/>
    <x v="515"/>
    <x v="1"/>
    <x v="0"/>
    <x v="0"/>
  </r>
  <r>
    <s v="ORD-01814"/>
    <x v="182"/>
    <s v="Riya Malhotra"/>
    <x v="3"/>
    <x v="0"/>
    <n v="1926.72"/>
    <n v="7"/>
    <x v="1"/>
    <x v="14"/>
    <x v="516"/>
    <x v="1"/>
    <x v="0"/>
    <x v="1"/>
  </r>
  <r>
    <s v="ORD-01292"/>
    <x v="169"/>
    <s v="Divya Kaur"/>
    <x v="1"/>
    <x v="0"/>
    <n v="4694.38"/>
    <n v="3"/>
    <x v="1"/>
    <x v="1"/>
    <x v="517"/>
    <x v="0"/>
    <x v="0"/>
    <x v="1"/>
  </r>
  <r>
    <s v="ORD-02380"/>
    <x v="350"/>
    <s v="Lakshmi Venkat"/>
    <x v="1"/>
    <x v="1"/>
    <n v="1713.35"/>
    <n v="11"/>
    <x v="1"/>
    <x v="8"/>
    <x v="518"/>
    <x v="1"/>
    <x v="0"/>
    <x v="1"/>
  </r>
  <r>
    <s v="ORD-02320"/>
    <x v="425"/>
    <s v="Dev Mathur"/>
    <x v="3"/>
    <x v="0"/>
    <n v="5927.74"/>
    <n v="7"/>
    <x v="1"/>
    <x v="13"/>
    <x v="519"/>
    <x v="1"/>
    <x v="0"/>
    <x v="0"/>
  </r>
  <r>
    <s v="ORD-02061"/>
    <x v="315"/>
    <s v="Ajay Rastogi"/>
    <x v="1"/>
    <x v="0"/>
    <n v="0"/>
    <n v="8"/>
    <x v="2"/>
    <x v="15"/>
    <x v="0"/>
    <x v="1"/>
    <x v="0"/>
    <x v="1"/>
  </r>
  <r>
    <s v="ORD-02086"/>
    <x v="426"/>
    <s v="Yash Agarwal"/>
    <x v="1"/>
    <x v="0"/>
    <n v="5443.43"/>
    <n v="7"/>
    <x v="1"/>
    <x v="11"/>
    <x v="520"/>
    <x v="1"/>
    <x v="0"/>
    <x v="1"/>
  </r>
  <r>
    <s v="ORD-01610"/>
    <x v="427"/>
    <s v="Manish Srivastava"/>
    <x v="3"/>
    <x v="2"/>
    <n v="40031.65"/>
    <n v="4"/>
    <x v="1"/>
    <x v="21"/>
    <x v="521"/>
    <x v="0"/>
    <x v="1"/>
    <x v="0"/>
  </r>
  <r>
    <s v="ORD-01567"/>
    <x v="428"/>
    <s v="Smita Patil"/>
    <x v="3"/>
    <x v="2"/>
    <n v="21428.05"/>
    <n v="5"/>
    <x v="1"/>
    <x v="23"/>
    <x v="522"/>
    <x v="0"/>
    <x v="0"/>
    <x v="0"/>
  </r>
  <r>
    <s v="ORD-01182"/>
    <x v="427"/>
    <s v="Dev Mathur"/>
    <x v="3"/>
    <x v="2"/>
    <n v="5658.74"/>
    <n v="1"/>
    <x v="1"/>
    <x v="21"/>
    <x v="523"/>
    <x v="0"/>
    <x v="0"/>
    <x v="0"/>
  </r>
  <r>
    <s v="ORD-01807"/>
    <x v="429"/>
    <s v="Yash Agarwal"/>
    <x v="1"/>
    <x v="0"/>
    <n v="10036.44"/>
    <n v="6"/>
    <x v="1"/>
    <x v="22"/>
    <x v="524"/>
    <x v="1"/>
    <x v="0"/>
    <x v="1"/>
  </r>
  <r>
    <s v="ORD-01708"/>
    <x v="430"/>
    <s v="Tarun Mukerjee"/>
    <x v="3"/>
    <x v="0"/>
    <n v="0"/>
    <n v="1"/>
    <x v="2"/>
    <x v="1"/>
    <x v="0"/>
    <x v="0"/>
    <x v="0"/>
    <x v="1"/>
  </r>
  <r>
    <s v="ORD-01042"/>
    <x v="2"/>
    <s v="Rajesh Choudhury"/>
    <x v="0"/>
    <x v="1"/>
    <n v="899.44"/>
    <n v="20"/>
    <x v="1"/>
    <x v="2"/>
    <x v="2"/>
    <x v="2"/>
    <x v="0"/>
    <x v="1"/>
  </r>
  <r>
    <s v="ORD-01725"/>
    <x v="115"/>
    <s v="Ajay Rastogi"/>
    <x v="0"/>
    <x v="0"/>
    <n v="9260.41"/>
    <n v="2"/>
    <x v="1"/>
    <x v="16"/>
    <x v="525"/>
    <x v="0"/>
    <x v="0"/>
    <x v="0"/>
  </r>
  <r>
    <s v="ORD-01675"/>
    <x v="431"/>
    <s v="Lakshmi Venkat"/>
    <x v="1"/>
    <x v="2"/>
    <n v="32279.200000000001"/>
    <n v="4"/>
    <x v="1"/>
    <x v="3"/>
    <x v="526"/>
    <x v="0"/>
    <x v="1"/>
    <x v="1"/>
  </r>
  <r>
    <s v="ORD-01975"/>
    <x v="21"/>
    <s v="Dev Mathur"/>
    <x v="3"/>
    <x v="0"/>
    <n v="6201.88"/>
    <n v="5"/>
    <x v="1"/>
    <x v="0"/>
    <x v="527"/>
    <x v="0"/>
    <x v="0"/>
    <x v="0"/>
  </r>
  <r>
    <s v="ORD-02416"/>
    <x v="206"/>
    <s v="Arjun Reddy"/>
    <x v="0"/>
    <x v="0"/>
    <n v="2506.86"/>
    <n v="2"/>
    <x v="1"/>
    <x v="12"/>
    <x v="528"/>
    <x v="0"/>
    <x v="0"/>
    <x v="1"/>
  </r>
  <r>
    <s v="ORD-01437"/>
    <x v="432"/>
    <s v="Smita Patil"/>
    <x v="3"/>
    <x v="1"/>
    <n v="0"/>
    <n v="11"/>
    <x v="2"/>
    <x v="0"/>
    <x v="0"/>
    <x v="1"/>
    <x v="0"/>
    <x v="1"/>
  </r>
  <r>
    <s v="ORD-02139"/>
    <x v="433"/>
    <s v="Divya Kaur"/>
    <x v="2"/>
    <x v="0"/>
    <n v="5625.72"/>
    <n v="4"/>
    <x v="1"/>
    <x v="10"/>
    <x v="529"/>
    <x v="0"/>
    <x v="0"/>
    <x v="1"/>
  </r>
  <r>
    <s v="ORD-01638"/>
    <x v="382"/>
    <s v="Amit Kumar"/>
    <x v="1"/>
    <x v="2"/>
    <n v="12600.44"/>
    <n v="2"/>
    <x v="1"/>
    <x v="23"/>
    <x v="530"/>
    <x v="0"/>
    <x v="0"/>
    <x v="1"/>
  </r>
  <r>
    <s v="ORD-02242"/>
    <x v="393"/>
    <s v="Varun Naik"/>
    <x v="1"/>
    <x v="2"/>
    <n v="31495.61"/>
    <n v="4"/>
    <x v="1"/>
    <x v="8"/>
    <x v="531"/>
    <x v="0"/>
    <x v="1"/>
    <x v="0"/>
  </r>
  <r>
    <s v="ORD-01421"/>
    <x v="338"/>
    <s v="Geeta Pandey"/>
    <x v="2"/>
    <x v="1"/>
    <n v="1131.24"/>
    <n v="13"/>
    <x v="1"/>
    <x v="4"/>
    <x v="532"/>
    <x v="1"/>
    <x v="0"/>
    <x v="0"/>
  </r>
  <r>
    <s v="ORD-01804"/>
    <x v="434"/>
    <s v="Suresh Rao"/>
    <x v="2"/>
    <x v="2"/>
    <n v="25482.32"/>
    <n v="5"/>
    <x v="1"/>
    <x v="4"/>
    <x v="533"/>
    <x v="0"/>
    <x v="0"/>
    <x v="0"/>
  </r>
  <r>
    <s v="ORD-01467"/>
    <x v="419"/>
    <s v="Vivek Chopra"/>
    <x v="0"/>
    <x v="2"/>
    <n v="24508.45"/>
    <n v="4"/>
    <x v="1"/>
    <x v="18"/>
    <x v="534"/>
    <x v="0"/>
    <x v="0"/>
    <x v="1"/>
  </r>
  <r>
    <s v="ORD-01677"/>
    <x v="356"/>
    <s v="Vivek Chopra"/>
    <x v="2"/>
    <x v="2"/>
    <n v="8569.0400000000009"/>
    <n v="5"/>
    <x v="1"/>
    <x v="23"/>
    <x v="535"/>
    <x v="0"/>
    <x v="0"/>
    <x v="1"/>
  </r>
  <r>
    <s v="ORD-01128"/>
    <x v="307"/>
    <s v="Tarun Mukerjee"/>
    <x v="3"/>
    <x v="2"/>
    <n v="10918.46"/>
    <n v="5"/>
    <x v="1"/>
    <x v="11"/>
    <x v="536"/>
    <x v="0"/>
    <x v="0"/>
    <x v="1"/>
  </r>
  <r>
    <s v="ORD-01923"/>
    <x v="361"/>
    <s v="Sneha Gupta"/>
    <x v="3"/>
    <x v="1"/>
    <n v="2711.13"/>
    <n v="13"/>
    <x v="1"/>
    <x v="22"/>
    <x v="537"/>
    <x v="1"/>
    <x v="0"/>
    <x v="1"/>
  </r>
  <r>
    <s v="ORD-02368"/>
    <x v="435"/>
    <s v="Ananya Sharma"/>
    <x v="1"/>
    <x v="2"/>
    <n v="20277.080000000002"/>
    <n v="2"/>
    <x v="1"/>
    <x v="18"/>
    <x v="538"/>
    <x v="0"/>
    <x v="0"/>
    <x v="1"/>
  </r>
  <r>
    <s v="ORD-02151"/>
    <x v="100"/>
    <s v="Deepa Pillai"/>
    <x v="2"/>
    <x v="1"/>
    <n v="947.54"/>
    <n v="3"/>
    <x v="1"/>
    <x v="8"/>
    <x v="539"/>
    <x v="0"/>
    <x v="0"/>
    <x v="1"/>
  </r>
  <r>
    <s v="ORD-01110"/>
    <x v="436"/>
    <s v="Nikhil Desai"/>
    <x v="0"/>
    <x v="1"/>
    <n v="2108.9299999999998"/>
    <n v="4"/>
    <x v="1"/>
    <x v="15"/>
    <x v="540"/>
    <x v="0"/>
    <x v="0"/>
    <x v="1"/>
  </r>
  <r>
    <s v="ORD-02502"/>
    <x v="20"/>
    <s v="Sunita Menon"/>
    <x v="3"/>
    <x v="2"/>
    <n v="0"/>
    <n v="0"/>
    <x v="1"/>
    <x v="10"/>
    <x v="0"/>
    <x v="0"/>
    <x v="0"/>
    <x v="1"/>
  </r>
  <r>
    <s v="ORD-01380"/>
    <x v="183"/>
    <s v="Ajay Rastogi"/>
    <x v="1"/>
    <x v="2"/>
    <n v="40349.769999999997"/>
    <n v="1"/>
    <x v="1"/>
    <x v="6"/>
    <x v="541"/>
    <x v="0"/>
    <x v="1"/>
    <x v="1"/>
  </r>
  <r>
    <s v="ORD-02110"/>
    <x v="364"/>
    <s v="Sunita Menon"/>
    <x v="3"/>
    <x v="1"/>
    <n v="1670.46"/>
    <n v="1"/>
    <x v="1"/>
    <x v="19"/>
    <x v="542"/>
    <x v="0"/>
    <x v="0"/>
    <x v="1"/>
  </r>
  <r>
    <s v="ORD-01839"/>
    <x v="437"/>
    <s v="Asha Kulkarni"/>
    <x v="0"/>
    <x v="0"/>
    <n v="7263.18"/>
    <n v="3"/>
    <x v="1"/>
    <x v="14"/>
    <x v="543"/>
    <x v="0"/>
    <x v="0"/>
    <x v="1"/>
  </r>
  <r>
    <s v="ORD-01196"/>
    <x v="429"/>
    <s v="Vivek Chopra"/>
    <x v="2"/>
    <x v="1"/>
    <n v="1800.57"/>
    <n v="5"/>
    <x v="1"/>
    <x v="22"/>
    <x v="544"/>
    <x v="0"/>
    <x v="0"/>
    <x v="1"/>
  </r>
  <r>
    <s v="ORD-01215"/>
    <x v="219"/>
    <s v="Smita Patil"/>
    <x v="3"/>
    <x v="1"/>
    <n v="2861.88"/>
    <n v="8"/>
    <x v="1"/>
    <x v="6"/>
    <x v="545"/>
    <x v="1"/>
    <x v="0"/>
    <x v="0"/>
  </r>
  <r>
    <s v="ORD-01357"/>
    <x v="399"/>
    <s v="Sunita Menon"/>
    <x v="3"/>
    <x v="2"/>
    <n v="17968.12"/>
    <n v="3"/>
    <x v="1"/>
    <x v="16"/>
    <x v="546"/>
    <x v="0"/>
    <x v="0"/>
    <x v="1"/>
  </r>
  <r>
    <s v="ORD-01222"/>
    <x v="224"/>
    <s v="Varun Naik"/>
    <x v="1"/>
    <x v="1"/>
    <n v="0"/>
    <n v="26"/>
    <x v="2"/>
    <x v="0"/>
    <x v="0"/>
    <x v="2"/>
    <x v="0"/>
    <x v="0"/>
  </r>
  <r>
    <s v="ORD-02105"/>
    <x v="438"/>
    <s v="Vikram Singh"/>
    <x v="1"/>
    <x v="2"/>
    <n v="0"/>
    <n v="3"/>
    <x v="2"/>
    <x v="11"/>
    <x v="0"/>
    <x v="0"/>
    <x v="0"/>
    <x v="0"/>
  </r>
  <r>
    <s v="ORD-02081"/>
    <x v="439"/>
    <s v="Dev Mathur"/>
    <x v="1"/>
    <x v="2"/>
    <n v="41485.089999999997"/>
    <n v="4"/>
    <x v="1"/>
    <x v="12"/>
    <x v="547"/>
    <x v="0"/>
    <x v="1"/>
    <x v="0"/>
  </r>
  <r>
    <s v="ORD-02285"/>
    <x v="440"/>
    <s v="Tarun Mukerjee"/>
    <x v="3"/>
    <x v="2"/>
    <n v="26796.87"/>
    <n v="1"/>
    <x v="1"/>
    <x v="4"/>
    <x v="548"/>
    <x v="0"/>
    <x v="0"/>
    <x v="1"/>
  </r>
  <r>
    <s v="ORD-01560"/>
    <x v="393"/>
    <s v="Neha Tiwari"/>
    <x v="1"/>
    <x v="0"/>
    <n v="0"/>
    <n v="2"/>
    <x v="2"/>
    <x v="8"/>
    <x v="0"/>
    <x v="0"/>
    <x v="0"/>
    <x v="0"/>
  </r>
  <r>
    <s v="ORD-02293"/>
    <x v="95"/>
    <s v="Sneha Gupta"/>
    <x v="2"/>
    <x v="2"/>
    <n v="26989.86"/>
    <n v="3"/>
    <x v="1"/>
    <x v="18"/>
    <x v="549"/>
    <x v="0"/>
    <x v="0"/>
    <x v="1"/>
  </r>
  <r>
    <s v="ORD-01961"/>
    <x v="430"/>
    <s v="Meena Krishnan"/>
    <x v="1"/>
    <x v="2"/>
    <n v="28177.360000000001"/>
    <n v="1"/>
    <x v="1"/>
    <x v="1"/>
    <x v="550"/>
    <x v="0"/>
    <x v="1"/>
    <x v="1"/>
  </r>
  <r>
    <s v="ORD-01224"/>
    <x v="441"/>
    <s v="Varun Naik"/>
    <x v="1"/>
    <x v="2"/>
    <n v="0"/>
    <n v="3"/>
    <x v="2"/>
    <x v="15"/>
    <x v="0"/>
    <x v="0"/>
    <x v="0"/>
    <x v="1"/>
  </r>
  <r>
    <s v="ORD-01038"/>
    <x v="321"/>
    <s v="Divya Kaur"/>
    <x v="1"/>
    <x v="0"/>
    <n v="5348.91"/>
    <n v="8"/>
    <x v="1"/>
    <x v="3"/>
    <x v="551"/>
    <x v="1"/>
    <x v="0"/>
    <x v="1"/>
  </r>
  <r>
    <s v="ORD-02106"/>
    <x v="442"/>
    <s v="Rohan Mehta"/>
    <x v="0"/>
    <x v="1"/>
    <n v="1227.3399999999999"/>
    <n v="4"/>
    <x v="1"/>
    <x v="0"/>
    <x v="552"/>
    <x v="0"/>
    <x v="0"/>
    <x v="1"/>
  </r>
  <r>
    <s v="ORD-01687"/>
    <x v="170"/>
    <s v="Lakshmi Venkat"/>
    <x v="1"/>
    <x v="1"/>
    <n v="0"/>
    <n v="9"/>
    <x v="2"/>
    <x v="20"/>
    <x v="0"/>
    <x v="1"/>
    <x v="0"/>
    <x v="1"/>
  </r>
  <r>
    <s v="ORD-01655"/>
    <x v="29"/>
    <s v="Rohan Mehta"/>
    <x v="0"/>
    <x v="0"/>
    <n v="9403.27"/>
    <n v="8"/>
    <x v="1"/>
    <x v="1"/>
    <x v="553"/>
    <x v="1"/>
    <x v="0"/>
    <x v="1"/>
  </r>
  <r>
    <s v="ORD-01802"/>
    <x v="443"/>
    <s v="Priya Patel"/>
    <x v="3"/>
    <x v="0"/>
    <n v="1679.46"/>
    <n v="4"/>
    <x v="1"/>
    <x v="19"/>
    <x v="554"/>
    <x v="0"/>
    <x v="0"/>
    <x v="1"/>
  </r>
  <r>
    <s v="ORD-01650"/>
    <x v="444"/>
    <s v="Sanjay Joshi"/>
    <x v="2"/>
    <x v="1"/>
    <n v="599.83000000000004"/>
    <n v="18"/>
    <x v="1"/>
    <x v="2"/>
    <x v="555"/>
    <x v="2"/>
    <x v="0"/>
    <x v="1"/>
  </r>
  <r>
    <s v="ORD-02246"/>
    <x v="445"/>
    <s v="Amit Kumar"/>
    <x v="0"/>
    <x v="0"/>
    <n v="1161.1199999999999"/>
    <n v="5"/>
    <x v="1"/>
    <x v="21"/>
    <x v="556"/>
    <x v="0"/>
    <x v="0"/>
    <x v="0"/>
  </r>
  <r>
    <s v="ORD-01462"/>
    <x v="398"/>
    <s v="Tarun Mukerjee"/>
    <x v="1"/>
    <x v="0"/>
    <n v="16830.46"/>
    <n v="3"/>
    <x v="1"/>
    <x v="15"/>
    <x v="557"/>
    <x v="0"/>
    <x v="0"/>
    <x v="0"/>
  </r>
  <r>
    <s v="ORD-01004"/>
    <x v="444"/>
    <s v="Yash Agarwal"/>
    <x v="1"/>
    <x v="2"/>
    <n v="0"/>
    <n v="2"/>
    <x v="2"/>
    <x v="2"/>
    <x v="0"/>
    <x v="0"/>
    <x v="0"/>
    <x v="1"/>
  </r>
  <r>
    <s v="ORD-01534"/>
    <x v="446"/>
    <s v="Arjun Reddy"/>
    <x v="0"/>
    <x v="1"/>
    <n v="2206.56"/>
    <n v="16"/>
    <x v="1"/>
    <x v="10"/>
    <x v="558"/>
    <x v="2"/>
    <x v="0"/>
    <x v="1"/>
  </r>
  <r>
    <s v="ORD-01850"/>
    <x v="77"/>
    <s v="Sneha Gupta"/>
    <x v="3"/>
    <x v="2"/>
    <n v="34500.18"/>
    <n v="5"/>
    <x v="1"/>
    <x v="13"/>
    <x v="559"/>
    <x v="0"/>
    <x v="1"/>
    <x v="1"/>
  </r>
  <r>
    <s v="ORD-02089"/>
    <x v="51"/>
    <s v="Rajesh Choudhury"/>
    <x v="0"/>
    <x v="2"/>
    <n v="33571.300000000003"/>
    <n v="2"/>
    <x v="1"/>
    <x v="16"/>
    <x v="560"/>
    <x v="0"/>
    <x v="1"/>
    <x v="1"/>
  </r>
  <r>
    <s v="ORD-01117"/>
    <x v="447"/>
    <s v="Tarun Mukerjee"/>
    <x v="3"/>
    <x v="1"/>
    <n v="828.62"/>
    <n v="17"/>
    <x v="1"/>
    <x v="10"/>
    <x v="561"/>
    <x v="2"/>
    <x v="0"/>
    <x v="0"/>
  </r>
  <r>
    <s v="ORD-01682"/>
    <x v="169"/>
    <s v="Pooja Iyer"/>
    <x v="1"/>
    <x v="1"/>
    <n v="362.41"/>
    <n v="12"/>
    <x v="1"/>
    <x v="1"/>
    <x v="562"/>
    <x v="1"/>
    <x v="0"/>
    <x v="1"/>
  </r>
  <r>
    <s v="ORD-01512"/>
    <x v="331"/>
    <s v="Amit Kumar"/>
    <x v="0"/>
    <x v="2"/>
    <n v="37782"/>
    <n v="4"/>
    <x v="1"/>
    <x v="9"/>
    <x v="563"/>
    <x v="0"/>
    <x v="1"/>
    <x v="1"/>
  </r>
  <r>
    <s v="ORD-02062"/>
    <x v="276"/>
    <s v="Harsh Shah"/>
    <x v="2"/>
    <x v="1"/>
    <n v="110.53"/>
    <n v="9"/>
    <x v="1"/>
    <x v="21"/>
    <x v="564"/>
    <x v="1"/>
    <x v="0"/>
    <x v="1"/>
  </r>
  <r>
    <s v="ORD-02468"/>
    <x v="341"/>
    <s v="Lakshmi Venkat"/>
    <x v="1"/>
    <x v="0"/>
    <n v="0"/>
    <n v="4"/>
    <x v="2"/>
    <x v="15"/>
    <x v="0"/>
    <x v="0"/>
    <x v="0"/>
    <x v="1"/>
  </r>
  <r>
    <s v="ORD-01155"/>
    <x v="250"/>
    <s v="Geeta Pandey"/>
    <x v="2"/>
    <x v="2"/>
    <n v="11062.73"/>
    <n v="3"/>
    <x v="1"/>
    <x v="14"/>
    <x v="565"/>
    <x v="0"/>
    <x v="0"/>
    <x v="1"/>
  </r>
  <r>
    <s v="ORD-01015"/>
    <x v="448"/>
    <s v="Pooja Iyer"/>
    <x v="1"/>
    <x v="1"/>
    <n v="1909.47"/>
    <n v="24"/>
    <x v="1"/>
    <x v="14"/>
    <x v="566"/>
    <x v="2"/>
    <x v="0"/>
    <x v="1"/>
  </r>
  <r>
    <s v="ORD-01922"/>
    <x v="155"/>
    <s v="Sneha Gupta"/>
    <x v="3"/>
    <x v="2"/>
    <n v="14415.18"/>
    <n v="4"/>
    <x v="1"/>
    <x v="9"/>
    <x v="567"/>
    <x v="0"/>
    <x v="0"/>
    <x v="1"/>
  </r>
  <r>
    <s v="ORD-01681"/>
    <x v="449"/>
    <s v="Amit Kumar"/>
    <x v="0"/>
    <x v="2"/>
    <n v="0"/>
    <n v="5"/>
    <x v="2"/>
    <x v="5"/>
    <x v="0"/>
    <x v="0"/>
    <x v="0"/>
    <x v="0"/>
  </r>
  <r>
    <s v="ORD-01332"/>
    <x v="253"/>
    <s v="Bhavna Dubey"/>
    <x v="0"/>
    <x v="0"/>
    <n v="0"/>
    <n v="5"/>
    <x v="2"/>
    <x v="21"/>
    <x v="0"/>
    <x v="0"/>
    <x v="0"/>
    <x v="1"/>
  </r>
  <r>
    <s v="ORD-01149"/>
    <x v="187"/>
    <s v="Gaurav Mishra"/>
    <x v="0"/>
    <x v="1"/>
    <n v="1361.03"/>
    <n v="11"/>
    <x v="1"/>
    <x v="18"/>
    <x v="568"/>
    <x v="1"/>
    <x v="0"/>
    <x v="1"/>
  </r>
  <r>
    <s v="ORD-01632"/>
    <x v="450"/>
    <s v="Gaurav Mishra"/>
    <x v="0"/>
    <x v="0"/>
    <n v="14544.9"/>
    <n v="3"/>
    <x v="1"/>
    <x v="16"/>
    <x v="569"/>
    <x v="0"/>
    <x v="0"/>
    <x v="1"/>
  </r>
  <r>
    <s v="ORD-02499"/>
    <x v="451"/>
    <s v="Kiran Nambiar"/>
    <x v="2"/>
    <x v="2"/>
    <n v="24186.07"/>
    <n v="2"/>
    <x v="1"/>
    <x v="7"/>
    <x v="570"/>
    <x v="0"/>
    <x v="0"/>
    <x v="1"/>
  </r>
  <r>
    <s v="ORD-02156"/>
    <x v="84"/>
    <s v="Suresh Rao"/>
    <x v="2"/>
    <x v="2"/>
    <n v="17137.990000000002"/>
    <n v="4"/>
    <x v="1"/>
    <x v="14"/>
    <x v="571"/>
    <x v="0"/>
    <x v="0"/>
    <x v="1"/>
  </r>
  <r>
    <s v="ORD-02127"/>
    <x v="452"/>
    <s v="Padma Subramaniam"/>
    <x v="2"/>
    <x v="2"/>
    <n v="43399.38"/>
    <n v="4"/>
    <x v="1"/>
    <x v="4"/>
    <x v="572"/>
    <x v="0"/>
    <x v="1"/>
    <x v="1"/>
  </r>
  <r>
    <s v="ORD-01704"/>
    <x v="130"/>
    <s v="Ananya Sharma"/>
    <x v="1"/>
    <x v="1"/>
    <n v="2289.85"/>
    <n v="17"/>
    <x v="1"/>
    <x v="9"/>
    <x v="573"/>
    <x v="2"/>
    <x v="0"/>
    <x v="0"/>
  </r>
  <r>
    <s v="ORD-01966"/>
    <x v="453"/>
    <s v="Meena Krishnan"/>
    <x v="1"/>
    <x v="2"/>
    <n v="13056.11"/>
    <n v="1"/>
    <x v="1"/>
    <x v="11"/>
    <x v="574"/>
    <x v="0"/>
    <x v="0"/>
    <x v="1"/>
  </r>
  <r>
    <s v="ORD-01792"/>
    <x v="258"/>
    <s v="Amit Kumar"/>
    <x v="0"/>
    <x v="0"/>
    <n v="9886.43"/>
    <n v="8"/>
    <x v="1"/>
    <x v="19"/>
    <x v="575"/>
    <x v="1"/>
    <x v="0"/>
    <x v="1"/>
  </r>
  <r>
    <s v="ORD-01011"/>
    <x v="61"/>
    <s v="Deepa Pillai"/>
    <x v="3"/>
    <x v="2"/>
    <n v="8022.39"/>
    <n v="4"/>
    <x v="1"/>
    <x v="17"/>
    <x v="576"/>
    <x v="0"/>
    <x v="0"/>
    <x v="0"/>
  </r>
  <r>
    <s v="ORD-01399"/>
    <x v="135"/>
    <s v="Divya Kaur"/>
    <x v="1"/>
    <x v="0"/>
    <n v="8091.95"/>
    <n v="7"/>
    <x v="1"/>
    <x v="22"/>
    <x v="577"/>
    <x v="1"/>
    <x v="0"/>
    <x v="1"/>
  </r>
  <r>
    <s v="ORD-02421"/>
    <x v="344"/>
    <s v="Harsh Shah"/>
    <x v="2"/>
    <x v="0"/>
    <n v="11111.32"/>
    <n v="6"/>
    <x v="1"/>
    <x v="14"/>
    <x v="578"/>
    <x v="1"/>
    <x v="0"/>
    <x v="0"/>
  </r>
  <r>
    <s v="ORD-02385"/>
    <x v="361"/>
    <s v="Yash Agarwal"/>
    <x v="1"/>
    <x v="0"/>
    <n v="2676.53"/>
    <n v="6"/>
    <x v="1"/>
    <x v="22"/>
    <x v="579"/>
    <x v="1"/>
    <x v="0"/>
    <x v="1"/>
  </r>
  <r>
    <s v="ORD-01448"/>
    <x v="10"/>
    <s v="Pooja Iyer"/>
    <x v="1"/>
    <x v="0"/>
    <n v="3113.9"/>
    <n v="5"/>
    <x v="1"/>
    <x v="8"/>
    <x v="580"/>
    <x v="0"/>
    <x v="0"/>
    <x v="1"/>
  </r>
  <r>
    <s v="ORD-02251"/>
    <x v="454"/>
    <s v="Sarita Bansal"/>
    <x v="2"/>
    <x v="2"/>
    <n v="40590.800000000003"/>
    <n v="3"/>
    <x v="1"/>
    <x v="4"/>
    <x v="581"/>
    <x v="0"/>
    <x v="1"/>
    <x v="1"/>
  </r>
  <r>
    <s v="ORD-02209"/>
    <x v="26"/>
    <s v="Manish Srivastava"/>
    <x v="3"/>
    <x v="2"/>
    <n v="7709.08"/>
    <n v="4"/>
    <x v="1"/>
    <x v="18"/>
    <x v="582"/>
    <x v="0"/>
    <x v="0"/>
    <x v="1"/>
  </r>
  <r>
    <s v="ORD-01487"/>
    <x v="405"/>
    <s v="Arjun Reddy"/>
    <x v="0"/>
    <x v="1"/>
    <n v="510.62"/>
    <n v="27"/>
    <x v="1"/>
    <x v="5"/>
    <x v="583"/>
    <x v="2"/>
    <x v="0"/>
    <x v="0"/>
  </r>
  <r>
    <s v="ORD-01494"/>
    <x v="414"/>
    <s v="Arjun Reddy"/>
    <x v="0"/>
    <x v="0"/>
    <n v="0"/>
    <n v="1"/>
    <x v="2"/>
    <x v="12"/>
    <x v="0"/>
    <x v="0"/>
    <x v="0"/>
    <x v="1"/>
  </r>
  <r>
    <s v="ORD-02082"/>
    <x v="455"/>
    <s v="Nidhi Bhatt"/>
    <x v="0"/>
    <x v="1"/>
    <n v="3354.23"/>
    <n v="6"/>
    <x v="1"/>
    <x v="8"/>
    <x v="584"/>
    <x v="1"/>
    <x v="0"/>
    <x v="0"/>
  </r>
  <r>
    <s v="ORD-01777"/>
    <x v="389"/>
    <s v="Priya Patel"/>
    <x v="3"/>
    <x v="2"/>
    <n v="3276.89"/>
    <n v="4"/>
    <x v="1"/>
    <x v="5"/>
    <x v="585"/>
    <x v="0"/>
    <x v="0"/>
    <x v="1"/>
  </r>
  <r>
    <s v="ORD-01204"/>
    <x v="433"/>
    <s v="Kiran Nambiar"/>
    <x v="2"/>
    <x v="0"/>
    <n v="0"/>
    <n v="4"/>
    <x v="0"/>
    <x v="10"/>
    <x v="0"/>
    <x v="0"/>
    <x v="0"/>
    <x v="1"/>
  </r>
  <r>
    <s v="ORD-01990"/>
    <x v="283"/>
    <s v="Deepa Pillai"/>
    <x v="3"/>
    <x v="1"/>
    <n v="619.27"/>
    <n v="8"/>
    <x v="1"/>
    <x v="10"/>
    <x v="586"/>
    <x v="1"/>
    <x v="0"/>
    <x v="1"/>
  </r>
  <r>
    <s v="ORD-02133"/>
    <x v="390"/>
    <s v="Kiran Nambiar"/>
    <x v="2"/>
    <x v="2"/>
    <n v="8541.82"/>
    <n v="3"/>
    <x v="1"/>
    <x v="2"/>
    <x v="587"/>
    <x v="0"/>
    <x v="0"/>
    <x v="1"/>
  </r>
  <r>
    <s v="ORD-01795"/>
    <x v="44"/>
    <s v="Asha Kulkarni"/>
    <x v="0"/>
    <x v="1"/>
    <n v="581.75"/>
    <n v="10"/>
    <x v="1"/>
    <x v="13"/>
    <x v="588"/>
    <x v="1"/>
    <x v="0"/>
    <x v="1"/>
  </r>
  <r>
    <s v="ORD-01439"/>
    <x v="167"/>
    <s v="Sunita Menon"/>
    <x v="3"/>
    <x v="0"/>
    <n v="0"/>
    <n v="3"/>
    <x v="2"/>
    <x v="21"/>
    <x v="0"/>
    <x v="0"/>
    <x v="0"/>
    <x v="1"/>
  </r>
  <r>
    <s v="ORD-02021"/>
    <x v="187"/>
    <s v="Sarita Bansal"/>
    <x v="2"/>
    <x v="1"/>
    <n v="0"/>
    <n v="17"/>
    <x v="2"/>
    <x v="18"/>
    <x v="0"/>
    <x v="2"/>
    <x v="0"/>
    <x v="1"/>
  </r>
  <r>
    <s v="ORD-01733"/>
    <x v="456"/>
    <s v="Neha Tiwari"/>
    <x v="1"/>
    <x v="2"/>
    <n v="11180.87"/>
    <n v="2"/>
    <x v="1"/>
    <x v="4"/>
    <x v="589"/>
    <x v="0"/>
    <x v="0"/>
    <x v="0"/>
  </r>
  <r>
    <s v="ORD-02164"/>
    <x v="178"/>
    <s v="Kiran Nambiar"/>
    <x v="2"/>
    <x v="0"/>
    <n v="11148.89"/>
    <n v="5"/>
    <x v="1"/>
    <x v="23"/>
    <x v="590"/>
    <x v="0"/>
    <x v="0"/>
    <x v="1"/>
  </r>
  <r>
    <s v="ORD-01266"/>
    <x v="457"/>
    <s v="Deepa Pillai"/>
    <x v="3"/>
    <x v="2"/>
    <n v="38311.18"/>
    <n v="4"/>
    <x v="1"/>
    <x v="19"/>
    <x v="591"/>
    <x v="0"/>
    <x v="1"/>
    <x v="0"/>
  </r>
  <r>
    <s v="ORD-02454"/>
    <x v="364"/>
    <s v="Gaurav Mishra"/>
    <x v="0"/>
    <x v="2"/>
    <n v="28512.19"/>
    <n v="4"/>
    <x v="1"/>
    <x v="19"/>
    <x v="592"/>
    <x v="0"/>
    <x v="1"/>
    <x v="1"/>
  </r>
  <r>
    <s v="ORD-01220"/>
    <x v="458"/>
    <s v="Vikram Singh"/>
    <x v="2"/>
    <x v="2"/>
    <n v="14520.03"/>
    <n v="4"/>
    <x v="1"/>
    <x v="0"/>
    <x v="593"/>
    <x v="0"/>
    <x v="0"/>
    <x v="1"/>
  </r>
  <r>
    <s v="ORD-01538"/>
    <x v="213"/>
    <s v="Priya Patel"/>
    <x v="3"/>
    <x v="0"/>
    <n v="4962.1899999999996"/>
    <n v="5"/>
    <x v="1"/>
    <x v="5"/>
    <x v="594"/>
    <x v="0"/>
    <x v="0"/>
    <x v="1"/>
  </r>
  <r>
    <s v="ORD-01430"/>
    <x v="16"/>
    <s v="Arjun Reddy"/>
    <x v="0"/>
    <x v="2"/>
    <n v="13710.37"/>
    <n v="3"/>
    <x v="1"/>
    <x v="12"/>
    <x v="595"/>
    <x v="0"/>
    <x v="0"/>
    <x v="1"/>
  </r>
  <r>
    <s v="ORD-02288"/>
    <x v="459"/>
    <s v="Padma Subramaniam"/>
    <x v="2"/>
    <x v="2"/>
    <n v="42254.75"/>
    <n v="1"/>
    <x v="1"/>
    <x v="4"/>
    <x v="596"/>
    <x v="0"/>
    <x v="1"/>
    <x v="1"/>
  </r>
  <r>
    <s v="ORD-01306"/>
    <x v="48"/>
    <s v="Rohan Mehta"/>
    <x v="0"/>
    <x v="0"/>
    <n v="0"/>
    <n v="4"/>
    <x v="2"/>
    <x v="11"/>
    <x v="0"/>
    <x v="0"/>
    <x v="0"/>
    <x v="0"/>
  </r>
  <r>
    <s v="ORD-02427"/>
    <x v="328"/>
    <s v="Manish Srivastava"/>
    <x v="3"/>
    <x v="1"/>
    <n v="3172.95"/>
    <n v="24"/>
    <x v="1"/>
    <x v="10"/>
    <x v="597"/>
    <x v="2"/>
    <x v="0"/>
    <x v="1"/>
  </r>
  <r>
    <s v="ORD-01993"/>
    <x v="325"/>
    <s v="Nidhi Bhatt"/>
    <x v="0"/>
    <x v="0"/>
    <n v="0"/>
    <n v="8"/>
    <x v="2"/>
    <x v="17"/>
    <x v="0"/>
    <x v="1"/>
    <x v="0"/>
    <x v="1"/>
  </r>
  <r>
    <s v="ORD-01281"/>
    <x v="460"/>
    <s v="Deepa Pillai"/>
    <x v="3"/>
    <x v="1"/>
    <n v="827.87"/>
    <n v="17"/>
    <x v="1"/>
    <x v="11"/>
    <x v="598"/>
    <x v="2"/>
    <x v="0"/>
    <x v="1"/>
  </r>
  <r>
    <s v="ORD-01071"/>
    <x v="98"/>
    <s v="Arjun Reddy"/>
    <x v="0"/>
    <x v="1"/>
    <n v="2233.65"/>
    <n v="11"/>
    <x v="1"/>
    <x v="12"/>
    <x v="599"/>
    <x v="1"/>
    <x v="0"/>
    <x v="1"/>
  </r>
  <r>
    <s v="ORD-01146"/>
    <x v="461"/>
    <s v="Amit Kumar"/>
    <x v="0"/>
    <x v="2"/>
    <n v="6380.09"/>
    <n v="5"/>
    <x v="1"/>
    <x v="4"/>
    <x v="600"/>
    <x v="0"/>
    <x v="0"/>
    <x v="0"/>
  </r>
  <r>
    <s v="ORD-01806"/>
    <x v="206"/>
    <s v="Sanjay Joshi"/>
    <x v="2"/>
    <x v="1"/>
    <n v="1214.42"/>
    <n v="6"/>
    <x v="1"/>
    <x v="12"/>
    <x v="601"/>
    <x v="1"/>
    <x v="0"/>
    <x v="1"/>
  </r>
  <r>
    <s v="ORD-01181"/>
    <x v="462"/>
    <s v="Amit Kumar"/>
    <x v="0"/>
    <x v="1"/>
    <n v="59.78"/>
    <n v="28"/>
    <x v="1"/>
    <x v="6"/>
    <x v="602"/>
    <x v="2"/>
    <x v="0"/>
    <x v="0"/>
  </r>
  <r>
    <s v="ORD-01651"/>
    <x v="115"/>
    <s v="Arjun Reddy"/>
    <x v="0"/>
    <x v="2"/>
    <n v="30119.38"/>
    <n v="3"/>
    <x v="1"/>
    <x v="16"/>
    <x v="603"/>
    <x v="0"/>
    <x v="1"/>
    <x v="0"/>
  </r>
  <r>
    <s v="ORD-01002"/>
    <x v="396"/>
    <s v="Arjun Reddy"/>
    <x v="0"/>
    <x v="2"/>
    <n v="2117.04"/>
    <n v="2"/>
    <x v="1"/>
    <x v="9"/>
    <x v="604"/>
    <x v="0"/>
    <x v="0"/>
    <x v="1"/>
  </r>
  <r>
    <s v="ORD-01983"/>
    <x v="231"/>
    <s v="Amit Kumar"/>
    <x v="0"/>
    <x v="2"/>
    <n v="0"/>
    <n v="1"/>
    <x v="2"/>
    <x v="9"/>
    <x v="0"/>
    <x v="0"/>
    <x v="0"/>
    <x v="1"/>
  </r>
  <r>
    <s v="ORD-01434"/>
    <x v="157"/>
    <s v="Yash Agarwal"/>
    <x v="1"/>
    <x v="2"/>
    <n v="0"/>
    <n v="1"/>
    <x v="0"/>
    <x v="20"/>
    <x v="0"/>
    <x v="0"/>
    <x v="0"/>
    <x v="1"/>
  </r>
  <r>
    <s v="ORD-01069"/>
    <x v="128"/>
    <s v="Aakash Bhat"/>
    <x v="0"/>
    <x v="1"/>
    <n v="2142.98"/>
    <n v="11"/>
    <x v="1"/>
    <x v="1"/>
    <x v="111"/>
    <x v="1"/>
    <x v="0"/>
    <x v="0"/>
  </r>
  <r>
    <s v="ORD-01024"/>
    <x v="344"/>
    <s v="Vikram Singh"/>
    <x v="2"/>
    <x v="1"/>
    <n v="0"/>
    <n v="3"/>
    <x v="2"/>
    <x v="14"/>
    <x v="0"/>
    <x v="0"/>
    <x v="0"/>
    <x v="0"/>
  </r>
  <r>
    <s v="ORD-02420"/>
    <x v="194"/>
    <s v="Gaurav Mishra"/>
    <x v="0"/>
    <x v="0"/>
    <n v="6862.9"/>
    <n v="6"/>
    <x v="1"/>
    <x v="5"/>
    <x v="605"/>
    <x v="1"/>
    <x v="0"/>
    <x v="1"/>
  </r>
  <r>
    <s v="ORD-02424"/>
    <x v="463"/>
    <s v="Harsh Shah"/>
    <x v="2"/>
    <x v="1"/>
    <n v="2323.12"/>
    <n v="16"/>
    <x v="1"/>
    <x v="14"/>
    <x v="606"/>
    <x v="2"/>
    <x v="0"/>
    <x v="1"/>
  </r>
  <r>
    <s v="ORD-02476"/>
    <x v="391"/>
    <s v="Padma Subramaniam"/>
    <x v="2"/>
    <x v="0"/>
    <n v="11631.14"/>
    <n v="6"/>
    <x v="1"/>
    <x v="7"/>
    <x v="607"/>
    <x v="1"/>
    <x v="0"/>
    <x v="0"/>
  </r>
  <r>
    <s v="ORD-01829"/>
    <x v="464"/>
    <s v="Rahul Verma"/>
    <x v="2"/>
    <x v="2"/>
    <n v="42743.19"/>
    <n v="2"/>
    <x v="1"/>
    <x v="18"/>
    <x v="608"/>
    <x v="0"/>
    <x v="1"/>
    <x v="1"/>
  </r>
  <r>
    <s v="ORD-01441"/>
    <x v="395"/>
    <s v="Ajay Rastogi"/>
    <x v="1"/>
    <x v="1"/>
    <n v="1479.08"/>
    <n v="15"/>
    <x v="1"/>
    <x v="21"/>
    <x v="609"/>
    <x v="1"/>
    <x v="0"/>
    <x v="1"/>
  </r>
  <r>
    <s v="ORD-01371"/>
    <x v="152"/>
    <s v="Sunita Menon"/>
    <x v="3"/>
    <x v="1"/>
    <n v="848.45"/>
    <n v="23"/>
    <x v="1"/>
    <x v="3"/>
    <x v="610"/>
    <x v="2"/>
    <x v="0"/>
    <x v="0"/>
  </r>
  <r>
    <s v="ORD-01064"/>
    <x v="44"/>
    <s v="Meena Krishnan"/>
    <x v="2"/>
    <x v="2"/>
    <n v="0"/>
    <n v="5"/>
    <x v="2"/>
    <x v="13"/>
    <x v="0"/>
    <x v="0"/>
    <x v="0"/>
    <x v="1"/>
  </r>
  <r>
    <s v="ORD-01991"/>
    <x v="246"/>
    <s v="Pooja Iyer"/>
    <x v="1"/>
    <x v="1"/>
    <n v="2162.92"/>
    <n v="25"/>
    <x v="1"/>
    <x v="20"/>
    <x v="611"/>
    <x v="2"/>
    <x v="0"/>
    <x v="0"/>
  </r>
  <r>
    <s v="ORD-01616"/>
    <x v="376"/>
    <s v="Lakshmi Venkat"/>
    <x v="1"/>
    <x v="0"/>
    <n v="1191.21"/>
    <n v="4"/>
    <x v="1"/>
    <x v="15"/>
    <x v="612"/>
    <x v="0"/>
    <x v="0"/>
    <x v="0"/>
  </r>
  <r>
    <s v="ORD-02270"/>
    <x v="295"/>
    <s v="Manish Srivastava"/>
    <x v="3"/>
    <x v="0"/>
    <n v="15158.93"/>
    <n v="7"/>
    <x v="1"/>
    <x v="18"/>
    <x v="613"/>
    <x v="1"/>
    <x v="0"/>
    <x v="1"/>
  </r>
  <r>
    <s v="ORD-01582"/>
    <x v="465"/>
    <s v="Sanjay Joshi"/>
    <x v="2"/>
    <x v="0"/>
    <n v="6187.54"/>
    <n v="3"/>
    <x v="1"/>
    <x v="11"/>
    <x v="614"/>
    <x v="0"/>
    <x v="0"/>
    <x v="1"/>
  </r>
  <r>
    <s v="ORD-02322"/>
    <x v="222"/>
    <s v="Lakshmi Venkat"/>
    <x v="1"/>
    <x v="1"/>
    <n v="2794.86"/>
    <n v="28"/>
    <x v="1"/>
    <x v="12"/>
    <x v="615"/>
    <x v="2"/>
    <x v="0"/>
    <x v="1"/>
  </r>
  <r>
    <s v="ORD-01219"/>
    <x v="466"/>
    <s v="Lakshmi Venkat"/>
    <x v="1"/>
    <x v="2"/>
    <n v="21526.31"/>
    <n v="3"/>
    <x v="1"/>
    <x v="17"/>
    <x v="616"/>
    <x v="0"/>
    <x v="0"/>
    <x v="1"/>
  </r>
  <r>
    <s v="ORD-02308"/>
    <x v="467"/>
    <s v="Neha Tiwari"/>
    <x v="1"/>
    <x v="2"/>
    <n v="35508.660000000003"/>
    <n v="3"/>
    <x v="1"/>
    <x v="13"/>
    <x v="617"/>
    <x v="0"/>
    <x v="1"/>
    <x v="1"/>
  </r>
  <r>
    <s v="ORD-01150"/>
    <x v="468"/>
    <s v="Dev Mathur"/>
    <x v="1"/>
    <x v="2"/>
    <n v="28697.32"/>
    <n v="3"/>
    <x v="1"/>
    <x v="15"/>
    <x v="618"/>
    <x v="0"/>
    <x v="1"/>
    <x v="1"/>
  </r>
  <r>
    <s v="ORD-02092"/>
    <x v="309"/>
    <s v="Rajesh Choudhury"/>
    <x v="0"/>
    <x v="1"/>
    <n v="2130.92"/>
    <n v="13"/>
    <x v="1"/>
    <x v="17"/>
    <x v="619"/>
    <x v="1"/>
    <x v="0"/>
    <x v="1"/>
  </r>
  <r>
    <s v="ORD-01160"/>
    <x v="59"/>
    <s v="Rajesh Choudhury"/>
    <x v="0"/>
    <x v="1"/>
    <n v="0"/>
    <n v="25"/>
    <x v="0"/>
    <x v="3"/>
    <x v="0"/>
    <x v="2"/>
    <x v="0"/>
    <x v="1"/>
  </r>
  <r>
    <s v="ORD-01559"/>
    <x v="353"/>
    <s v="Neha Tiwari"/>
    <x v="1"/>
    <x v="2"/>
    <n v="2261.7399999999998"/>
    <n v="1"/>
    <x v="1"/>
    <x v="13"/>
    <x v="620"/>
    <x v="0"/>
    <x v="0"/>
    <x v="1"/>
  </r>
  <r>
    <s v="ORD-01040"/>
    <x v="64"/>
    <s v="Vikram Singh"/>
    <x v="2"/>
    <x v="1"/>
    <n v="3221.89"/>
    <n v="17"/>
    <x v="1"/>
    <x v="11"/>
    <x v="621"/>
    <x v="2"/>
    <x v="0"/>
    <x v="0"/>
  </r>
  <r>
    <s v="ORD-01846"/>
    <x v="225"/>
    <s v="Asha Kulkarni"/>
    <x v="0"/>
    <x v="0"/>
    <n v="17923.64"/>
    <n v="3"/>
    <x v="1"/>
    <x v="11"/>
    <x v="622"/>
    <x v="0"/>
    <x v="0"/>
    <x v="1"/>
  </r>
  <r>
    <s v="ORD-02292"/>
    <x v="232"/>
    <s v="Kiran Nambiar"/>
    <x v="2"/>
    <x v="2"/>
    <n v="9501.9599999999991"/>
    <n v="3"/>
    <x v="1"/>
    <x v="2"/>
    <x v="623"/>
    <x v="0"/>
    <x v="0"/>
    <x v="0"/>
  </r>
  <r>
    <s v="ORD-02277"/>
    <x v="71"/>
    <s v="Geeta Pandey"/>
    <x v="2"/>
    <x v="1"/>
    <n v="329.96"/>
    <n v="29"/>
    <x v="1"/>
    <x v="9"/>
    <x v="624"/>
    <x v="2"/>
    <x v="0"/>
    <x v="1"/>
  </r>
  <r>
    <s v="ORD-02302"/>
    <x v="469"/>
    <s v="Tarun Mukerjee"/>
    <x v="3"/>
    <x v="1"/>
    <n v="2773.49"/>
    <n v="7"/>
    <x v="1"/>
    <x v="3"/>
    <x v="625"/>
    <x v="1"/>
    <x v="0"/>
    <x v="1"/>
  </r>
  <r>
    <s v="ORD-01928"/>
    <x v="233"/>
    <s v="Vikram Singh"/>
    <x v="2"/>
    <x v="1"/>
    <n v="0"/>
    <n v="1"/>
    <x v="2"/>
    <x v="1"/>
    <x v="0"/>
    <x v="0"/>
    <x v="0"/>
    <x v="0"/>
  </r>
  <r>
    <s v="ORD-02063"/>
    <x v="0"/>
    <s v="Vikram Singh"/>
    <x v="2"/>
    <x v="0"/>
    <n v="15846.22"/>
    <n v="3"/>
    <x v="1"/>
    <x v="0"/>
    <x v="626"/>
    <x v="0"/>
    <x v="0"/>
    <x v="0"/>
  </r>
  <r>
    <s v="ORD-01498"/>
    <x v="211"/>
    <s v="Arjun Reddy"/>
    <x v="0"/>
    <x v="0"/>
    <n v="16538.490000000002"/>
    <n v="2"/>
    <x v="1"/>
    <x v="8"/>
    <x v="627"/>
    <x v="0"/>
    <x v="0"/>
    <x v="1"/>
  </r>
  <r>
    <s v="ORD-01619"/>
    <x v="261"/>
    <s v="Rohan Mehta"/>
    <x v="0"/>
    <x v="0"/>
    <n v="934.23"/>
    <n v="1"/>
    <x v="1"/>
    <x v="17"/>
    <x v="628"/>
    <x v="0"/>
    <x v="0"/>
    <x v="1"/>
  </r>
  <r>
    <s v="ORD-02306"/>
    <x v="225"/>
    <s v="Tarun Mukerjee"/>
    <x v="3"/>
    <x v="0"/>
    <n v="17473.8"/>
    <n v="3"/>
    <x v="1"/>
    <x v="11"/>
    <x v="629"/>
    <x v="0"/>
    <x v="0"/>
    <x v="1"/>
  </r>
  <r>
    <s v="ORD-01325"/>
    <x v="470"/>
    <s v="Tarun Mukerjee"/>
    <x v="3"/>
    <x v="0"/>
    <n v="5336.74"/>
    <n v="8"/>
    <x v="1"/>
    <x v="0"/>
    <x v="630"/>
    <x v="1"/>
    <x v="0"/>
    <x v="0"/>
  </r>
  <r>
    <s v="ORD-01968"/>
    <x v="471"/>
    <s v="Kavya Nair"/>
    <x v="1"/>
    <x v="2"/>
    <n v="27775.34"/>
    <n v="2"/>
    <x v="1"/>
    <x v="10"/>
    <x v="631"/>
    <x v="0"/>
    <x v="1"/>
    <x v="1"/>
  </r>
  <r>
    <s v="ORD-01337"/>
    <x v="472"/>
    <s v="Varun Naik"/>
    <x v="1"/>
    <x v="1"/>
    <n v="566.99"/>
    <n v="11"/>
    <x v="1"/>
    <x v="9"/>
    <x v="632"/>
    <x v="1"/>
    <x v="0"/>
    <x v="0"/>
  </r>
  <r>
    <s v="ORD-01412"/>
    <x v="473"/>
    <s v="Manish Srivastava"/>
    <x v="3"/>
    <x v="0"/>
    <n v="16593.689999999999"/>
    <n v="2"/>
    <x v="1"/>
    <x v="3"/>
    <x v="633"/>
    <x v="0"/>
    <x v="0"/>
    <x v="1"/>
  </r>
  <r>
    <s v="ORD-02219"/>
    <x v="283"/>
    <s v="Ananya Sharma"/>
    <x v="1"/>
    <x v="0"/>
    <n v="6341.37"/>
    <n v="3"/>
    <x v="1"/>
    <x v="10"/>
    <x v="634"/>
    <x v="0"/>
    <x v="0"/>
    <x v="1"/>
  </r>
  <r>
    <s v="ORD-01444"/>
    <x v="405"/>
    <s v="Smita Patil"/>
    <x v="3"/>
    <x v="1"/>
    <n v="1422.12"/>
    <n v="14"/>
    <x v="1"/>
    <x v="5"/>
    <x v="635"/>
    <x v="1"/>
    <x v="0"/>
    <x v="0"/>
  </r>
  <r>
    <s v="ORD-02481"/>
    <x v="193"/>
    <s v="Dev Mathur"/>
    <x v="3"/>
    <x v="0"/>
    <n v="8740.4599999999991"/>
    <n v="3"/>
    <x v="1"/>
    <x v="6"/>
    <x v="636"/>
    <x v="0"/>
    <x v="0"/>
    <x v="1"/>
  </r>
  <r>
    <s v="ORD-02064"/>
    <x v="474"/>
    <s v="Vikram Singh"/>
    <x v="2"/>
    <x v="0"/>
    <n v="11561.57"/>
    <n v="6"/>
    <x v="1"/>
    <x v="12"/>
    <x v="637"/>
    <x v="1"/>
    <x v="0"/>
    <x v="0"/>
  </r>
  <r>
    <s v="ORD-02359"/>
    <x v="266"/>
    <s v="Priya Patel"/>
    <x v="3"/>
    <x v="2"/>
    <n v="12900.91"/>
    <n v="5"/>
    <x v="1"/>
    <x v="16"/>
    <x v="638"/>
    <x v="0"/>
    <x v="0"/>
    <x v="1"/>
  </r>
  <r>
    <s v="ORD-01185"/>
    <x v="108"/>
    <s v="Harsh Shah"/>
    <x v="2"/>
    <x v="2"/>
    <n v="20778.64"/>
    <n v="2"/>
    <x v="1"/>
    <x v="5"/>
    <x v="639"/>
    <x v="0"/>
    <x v="0"/>
    <x v="1"/>
  </r>
  <r>
    <s v="ORD-01953"/>
    <x v="441"/>
    <s v="Vivek Chopra"/>
    <x v="2"/>
    <x v="1"/>
    <n v="0"/>
    <n v="22"/>
    <x v="2"/>
    <x v="15"/>
    <x v="0"/>
    <x v="2"/>
    <x v="0"/>
    <x v="1"/>
  </r>
  <r>
    <s v="ORD-02248"/>
    <x v="475"/>
    <s v="Sunita Menon"/>
    <x v="3"/>
    <x v="0"/>
    <n v="10314.02"/>
    <n v="6"/>
    <x v="1"/>
    <x v="20"/>
    <x v="640"/>
    <x v="1"/>
    <x v="0"/>
    <x v="1"/>
  </r>
  <r>
    <s v="ORD-01477"/>
    <x v="242"/>
    <s v="Sunita Menon"/>
    <x v="3"/>
    <x v="2"/>
    <n v="19198.54"/>
    <n v="3"/>
    <x v="1"/>
    <x v="9"/>
    <x v="641"/>
    <x v="0"/>
    <x v="0"/>
    <x v="0"/>
  </r>
  <r>
    <s v="ORD-02188"/>
    <x v="476"/>
    <s v="Nidhi Bhatt"/>
    <x v="0"/>
    <x v="1"/>
    <n v="106.13"/>
    <n v="24"/>
    <x v="1"/>
    <x v="14"/>
    <x v="642"/>
    <x v="2"/>
    <x v="0"/>
    <x v="1"/>
  </r>
  <r>
    <s v="ORD-01994"/>
    <x v="334"/>
    <s v="Aakash Bhat"/>
    <x v="0"/>
    <x v="0"/>
    <n v="9558.64"/>
    <n v="7"/>
    <x v="1"/>
    <x v="21"/>
    <x v="643"/>
    <x v="1"/>
    <x v="0"/>
    <x v="1"/>
  </r>
  <r>
    <s v="ORD-01998"/>
    <x v="477"/>
    <s v="Aakash Bhat"/>
    <x v="0"/>
    <x v="2"/>
    <n v="0"/>
    <n v="2"/>
    <x v="2"/>
    <x v="17"/>
    <x v="0"/>
    <x v="0"/>
    <x v="0"/>
    <x v="1"/>
  </r>
  <r>
    <s v="ORD-01478"/>
    <x v="435"/>
    <s v="Ajay Rastogi"/>
    <x v="1"/>
    <x v="1"/>
    <n v="2372.9699999999998"/>
    <n v="2"/>
    <x v="1"/>
    <x v="18"/>
    <x v="644"/>
    <x v="0"/>
    <x v="0"/>
    <x v="1"/>
  </r>
  <r>
    <s v="ORD-01358"/>
    <x v="478"/>
    <s v="Arjun Reddy"/>
    <x v="0"/>
    <x v="0"/>
    <n v="1936.61"/>
    <n v="4"/>
    <x v="1"/>
    <x v="6"/>
    <x v="645"/>
    <x v="0"/>
    <x v="0"/>
    <x v="1"/>
  </r>
  <r>
    <s v="ORD-01899"/>
    <x v="41"/>
    <s v="Arjun Reddy"/>
    <x v="0"/>
    <x v="2"/>
    <n v="36116.92"/>
    <n v="5"/>
    <x v="1"/>
    <x v="13"/>
    <x v="646"/>
    <x v="0"/>
    <x v="1"/>
    <x v="1"/>
  </r>
  <r>
    <s v="ORD-02147"/>
    <x v="427"/>
    <s v="Tarun Mukerjee"/>
    <x v="3"/>
    <x v="0"/>
    <n v="8291.3700000000008"/>
    <n v="3"/>
    <x v="1"/>
    <x v="21"/>
    <x v="647"/>
    <x v="0"/>
    <x v="0"/>
    <x v="0"/>
  </r>
  <r>
    <s v="ORD-02448"/>
    <x v="323"/>
    <s v="Rajesh Choudhury"/>
    <x v="3"/>
    <x v="0"/>
    <n v="0"/>
    <n v="4"/>
    <x v="2"/>
    <x v="16"/>
    <x v="0"/>
    <x v="0"/>
    <x v="0"/>
    <x v="1"/>
  </r>
  <r>
    <s v="ORD-01398"/>
    <x v="479"/>
    <s v="Neha Tiwari"/>
    <x v="1"/>
    <x v="2"/>
    <n v="14265.88"/>
    <n v="4"/>
    <x v="1"/>
    <x v="22"/>
    <x v="648"/>
    <x v="0"/>
    <x v="0"/>
    <x v="1"/>
  </r>
  <r>
    <s v="ORD-02409"/>
    <x v="48"/>
    <s v="Sunita Menon"/>
    <x v="3"/>
    <x v="1"/>
    <n v="3049.49"/>
    <n v="4"/>
    <x v="1"/>
    <x v="11"/>
    <x v="649"/>
    <x v="0"/>
    <x v="0"/>
    <x v="0"/>
  </r>
  <r>
    <s v="ORD-01075"/>
    <x v="106"/>
    <s v="Kiran Nambiar"/>
    <x v="2"/>
    <x v="1"/>
    <n v="1836.95"/>
    <n v="2"/>
    <x v="1"/>
    <x v="7"/>
    <x v="650"/>
    <x v="0"/>
    <x v="0"/>
    <x v="1"/>
  </r>
  <r>
    <s v="ORD-02457"/>
    <x v="290"/>
    <s v="Harsh Shah"/>
    <x v="1"/>
    <x v="2"/>
    <n v="6194.68"/>
    <n v="5"/>
    <x v="1"/>
    <x v="10"/>
    <x v="651"/>
    <x v="0"/>
    <x v="0"/>
    <x v="0"/>
  </r>
  <r>
    <s v="ORD-01957"/>
    <x v="480"/>
    <s v="Nikhil Desai"/>
    <x v="0"/>
    <x v="0"/>
    <n v="11881.88"/>
    <n v="7"/>
    <x v="1"/>
    <x v="1"/>
    <x v="652"/>
    <x v="1"/>
    <x v="0"/>
    <x v="1"/>
  </r>
  <r>
    <s v="ORD-01163"/>
    <x v="481"/>
    <s v="Pooja Iyer"/>
    <x v="1"/>
    <x v="1"/>
    <n v="2279.88"/>
    <n v="10"/>
    <x v="1"/>
    <x v="4"/>
    <x v="653"/>
    <x v="1"/>
    <x v="0"/>
    <x v="1"/>
  </r>
  <r>
    <s v="ORD-02231"/>
    <x v="61"/>
    <s v="Deepa Pillai"/>
    <x v="3"/>
    <x v="2"/>
    <n v="0"/>
    <n v="3"/>
    <x v="2"/>
    <x v="17"/>
    <x v="0"/>
    <x v="0"/>
    <x v="0"/>
    <x v="0"/>
  </r>
  <r>
    <s v="ORD-02124"/>
    <x v="128"/>
    <s v="Deepa Pillai"/>
    <x v="3"/>
    <x v="1"/>
    <n v="864.65"/>
    <n v="8"/>
    <x v="1"/>
    <x v="1"/>
    <x v="654"/>
    <x v="1"/>
    <x v="0"/>
    <x v="0"/>
  </r>
  <r>
    <s v="ORD-01108"/>
    <x v="36"/>
    <s v="Bhavna Dubey"/>
    <x v="0"/>
    <x v="0"/>
    <n v="4380.5200000000004"/>
    <n v="4"/>
    <x v="1"/>
    <x v="8"/>
    <x v="655"/>
    <x v="0"/>
    <x v="0"/>
    <x v="1"/>
  </r>
  <r>
    <s v="ORD-01159"/>
    <x v="379"/>
    <s v="Divya Kaur"/>
    <x v="1"/>
    <x v="1"/>
    <n v="1070.76"/>
    <n v="23"/>
    <x v="1"/>
    <x v="2"/>
    <x v="656"/>
    <x v="2"/>
    <x v="0"/>
    <x v="1"/>
  </r>
  <r>
    <s v="ORD-02327"/>
    <x v="482"/>
    <s v="Neha Tiwari"/>
    <x v="1"/>
    <x v="2"/>
    <n v="18298.78"/>
    <n v="3"/>
    <x v="1"/>
    <x v="2"/>
    <x v="657"/>
    <x v="0"/>
    <x v="0"/>
    <x v="0"/>
  </r>
  <r>
    <s v="ORD-02450"/>
    <x v="460"/>
    <s v="Bhavna Dubey"/>
    <x v="0"/>
    <x v="1"/>
    <n v="524.59"/>
    <n v="23"/>
    <x v="1"/>
    <x v="11"/>
    <x v="658"/>
    <x v="2"/>
    <x v="0"/>
    <x v="1"/>
  </r>
  <r>
    <s v="ORD-01717"/>
    <x v="483"/>
    <s v="Kavya Nair"/>
    <x v="1"/>
    <x v="0"/>
    <n v="0"/>
    <n v="1"/>
    <x v="2"/>
    <x v="7"/>
    <x v="0"/>
    <x v="0"/>
    <x v="0"/>
    <x v="0"/>
  </r>
  <r>
    <s v="ORD-01251"/>
    <x v="192"/>
    <s v="Suresh Rao"/>
    <x v="2"/>
    <x v="2"/>
    <n v="30165.21"/>
    <n v="1"/>
    <x v="1"/>
    <x v="6"/>
    <x v="659"/>
    <x v="0"/>
    <x v="1"/>
    <x v="1"/>
  </r>
  <r>
    <s v="ORD-01759"/>
    <x v="65"/>
    <s v="Asha Kulkarni"/>
    <x v="0"/>
    <x v="2"/>
    <n v="5393.64"/>
    <n v="5"/>
    <x v="1"/>
    <x v="16"/>
    <x v="660"/>
    <x v="0"/>
    <x v="0"/>
    <x v="0"/>
  </r>
  <r>
    <s v="ORD-01059"/>
    <x v="55"/>
    <s v="Riya Malhotra"/>
    <x v="3"/>
    <x v="0"/>
    <n v="6488.95"/>
    <n v="4"/>
    <x v="1"/>
    <x v="5"/>
    <x v="661"/>
    <x v="0"/>
    <x v="0"/>
    <x v="1"/>
  </r>
  <r>
    <s v="ORD-01660"/>
    <x v="484"/>
    <s v="Padma Subramaniam"/>
    <x v="0"/>
    <x v="0"/>
    <n v="7515.1"/>
    <n v="8"/>
    <x v="1"/>
    <x v="14"/>
    <x v="662"/>
    <x v="1"/>
    <x v="0"/>
    <x v="1"/>
  </r>
  <r>
    <s v="ORD-02235"/>
    <x v="466"/>
    <s v="Dev Mathur"/>
    <x v="3"/>
    <x v="2"/>
    <n v="0"/>
    <n v="3"/>
    <x v="2"/>
    <x v="17"/>
    <x v="0"/>
    <x v="0"/>
    <x v="0"/>
    <x v="1"/>
  </r>
  <r>
    <s v="ORD-02185"/>
    <x v="169"/>
    <s v="Bhavna Dubey"/>
    <x v="0"/>
    <x v="0"/>
    <n v="0"/>
    <n v="3"/>
    <x v="2"/>
    <x v="1"/>
    <x v="0"/>
    <x v="0"/>
    <x v="0"/>
    <x v="1"/>
  </r>
  <r>
    <s v="ORD-02482"/>
    <x v="203"/>
    <s v="Varun Naik"/>
    <x v="1"/>
    <x v="1"/>
    <n v="485.97"/>
    <n v="13"/>
    <x v="1"/>
    <x v="3"/>
    <x v="663"/>
    <x v="1"/>
    <x v="0"/>
    <x v="1"/>
  </r>
  <r>
    <s v="ORD-01029"/>
    <x v="289"/>
    <s v="Riya Malhotra"/>
    <x v="3"/>
    <x v="2"/>
    <n v="3937.89"/>
    <n v="1"/>
    <x v="1"/>
    <x v="9"/>
    <x v="664"/>
    <x v="0"/>
    <x v="0"/>
    <x v="0"/>
  </r>
  <r>
    <s v="ORD-01461"/>
    <x v="485"/>
    <s v="Vikram Singh"/>
    <x v="2"/>
    <x v="2"/>
    <n v="22674.04"/>
    <n v="1"/>
    <x v="1"/>
    <x v="1"/>
    <x v="665"/>
    <x v="0"/>
    <x v="0"/>
    <x v="1"/>
  </r>
  <r>
    <s v="ORD-01519"/>
    <x v="243"/>
    <s v="Smita Patil"/>
    <x v="3"/>
    <x v="1"/>
    <n v="2859.87"/>
    <n v="13"/>
    <x v="1"/>
    <x v="22"/>
    <x v="666"/>
    <x v="1"/>
    <x v="0"/>
    <x v="1"/>
  </r>
  <r>
    <s v="ORD-02325"/>
    <x v="352"/>
    <s v="Bhavna Dubey"/>
    <x v="0"/>
    <x v="1"/>
    <n v="1339.88"/>
    <n v="23"/>
    <x v="1"/>
    <x v="19"/>
    <x v="667"/>
    <x v="2"/>
    <x v="0"/>
    <x v="0"/>
  </r>
  <r>
    <s v="ORD-01903"/>
    <x v="418"/>
    <s v="Priya Patel"/>
    <x v="3"/>
    <x v="1"/>
    <n v="3057.97"/>
    <n v="11"/>
    <x v="1"/>
    <x v="11"/>
    <x v="668"/>
    <x v="1"/>
    <x v="0"/>
    <x v="1"/>
  </r>
  <r>
    <s v="ORD-01086"/>
    <x v="381"/>
    <s v="Bhavna Dubey"/>
    <x v="0"/>
    <x v="1"/>
    <n v="1892.73"/>
    <n v="30"/>
    <x v="1"/>
    <x v="12"/>
    <x v="669"/>
    <x v="2"/>
    <x v="0"/>
    <x v="1"/>
  </r>
  <r>
    <s v="ORD-02490"/>
    <x v="455"/>
    <s v="Rahul Verma"/>
    <x v="2"/>
    <x v="1"/>
    <n v="0"/>
    <n v="27"/>
    <x v="0"/>
    <x v="8"/>
    <x v="0"/>
    <x v="2"/>
    <x v="0"/>
    <x v="0"/>
  </r>
  <r>
    <s v="ORD-01845"/>
    <x v="159"/>
    <s v="Pooja Iyer"/>
    <x v="1"/>
    <x v="1"/>
    <n v="2810.36"/>
    <n v="28"/>
    <x v="1"/>
    <x v="13"/>
    <x v="670"/>
    <x v="2"/>
    <x v="0"/>
    <x v="1"/>
  </r>
  <r>
    <s v="ORD-01640"/>
    <x v="486"/>
    <s v="Priya Patel"/>
    <x v="3"/>
    <x v="0"/>
    <n v="0"/>
    <n v="4"/>
    <x v="0"/>
    <x v="9"/>
    <x v="0"/>
    <x v="0"/>
    <x v="0"/>
    <x v="1"/>
  </r>
  <r>
    <s v="ORD-02271"/>
    <x v="88"/>
    <s v="Aakash Bhat"/>
    <x v="0"/>
    <x v="1"/>
    <n v="0"/>
    <n v="6"/>
    <x v="2"/>
    <x v="17"/>
    <x v="0"/>
    <x v="1"/>
    <x v="0"/>
    <x v="1"/>
  </r>
  <r>
    <s v="ORD-01376"/>
    <x v="487"/>
    <s v="Nikhil Desai"/>
    <x v="0"/>
    <x v="2"/>
    <n v="17288.88"/>
    <n v="4"/>
    <x v="1"/>
    <x v="6"/>
    <x v="671"/>
    <x v="0"/>
    <x v="0"/>
    <x v="1"/>
  </r>
  <r>
    <s v="ORD-02260"/>
    <x v="375"/>
    <s v="Tara Saxena"/>
    <x v="3"/>
    <x v="0"/>
    <n v="13898.99"/>
    <n v="3"/>
    <x v="1"/>
    <x v="12"/>
    <x v="672"/>
    <x v="0"/>
    <x v="0"/>
    <x v="1"/>
  </r>
  <r>
    <s v="ORD-01929"/>
    <x v="272"/>
    <s v="Smita Patil"/>
    <x v="3"/>
    <x v="0"/>
    <n v="15622.53"/>
    <n v="4"/>
    <x v="1"/>
    <x v="9"/>
    <x v="673"/>
    <x v="0"/>
    <x v="0"/>
    <x v="0"/>
  </r>
  <r>
    <s v="ORD-01697"/>
    <x v="86"/>
    <s v="Tarun Mukerjee"/>
    <x v="3"/>
    <x v="1"/>
    <n v="0"/>
    <n v="24"/>
    <x v="2"/>
    <x v="16"/>
    <x v="0"/>
    <x v="2"/>
    <x v="0"/>
    <x v="1"/>
  </r>
  <r>
    <s v="ORD-01635"/>
    <x v="488"/>
    <s v="Pooja Iyer"/>
    <x v="1"/>
    <x v="1"/>
    <n v="3414.37"/>
    <n v="6"/>
    <x v="1"/>
    <x v="4"/>
    <x v="674"/>
    <x v="1"/>
    <x v="0"/>
    <x v="1"/>
  </r>
  <r>
    <s v="ORD-01419"/>
    <x v="393"/>
    <s v="Aakash Bhat"/>
    <x v="0"/>
    <x v="1"/>
    <n v="2840.12"/>
    <n v="3"/>
    <x v="1"/>
    <x v="8"/>
    <x v="675"/>
    <x v="0"/>
    <x v="0"/>
    <x v="0"/>
  </r>
  <r>
    <s v="ORD-02187"/>
    <x v="457"/>
    <s v="Sneha Gupta"/>
    <x v="3"/>
    <x v="0"/>
    <n v="1972.37"/>
    <n v="5"/>
    <x v="1"/>
    <x v="19"/>
    <x v="676"/>
    <x v="0"/>
    <x v="0"/>
    <x v="0"/>
  </r>
  <r>
    <s v="ORD-02069"/>
    <x v="149"/>
    <s v="Sneha Gupta"/>
    <x v="3"/>
    <x v="1"/>
    <n v="812.84"/>
    <n v="7"/>
    <x v="1"/>
    <x v="12"/>
    <x v="677"/>
    <x v="1"/>
    <x v="0"/>
    <x v="1"/>
  </r>
  <r>
    <s v="ORD-01838"/>
    <x v="489"/>
    <s v="Varun Naik"/>
    <x v="1"/>
    <x v="1"/>
    <n v="3245.91"/>
    <n v="1"/>
    <x v="1"/>
    <x v="13"/>
    <x v="678"/>
    <x v="0"/>
    <x v="0"/>
    <x v="0"/>
  </r>
  <r>
    <s v="ORD-01872"/>
    <x v="490"/>
    <s v="Suresh Rao"/>
    <x v="2"/>
    <x v="1"/>
    <n v="1691.21"/>
    <n v="14"/>
    <x v="1"/>
    <x v="15"/>
    <x v="679"/>
    <x v="1"/>
    <x v="0"/>
    <x v="1"/>
  </r>
  <r>
    <s v="ORD-02191"/>
    <x v="448"/>
    <s v="Gaurav Mishra"/>
    <x v="0"/>
    <x v="2"/>
    <n v="0"/>
    <n v="1"/>
    <x v="0"/>
    <x v="14"/>
    <x v="0"/>
    <x v="0"/>
    <x v="0"/>
    <x v="1"/>
  </r>
  <r>
    <s v="ORD-01583"/>
    <x v="76"/>
    <s v="Vikram Singh"/>
    <x v="3"/>
    <x v="2"/>
    <n v="34444.74"/>
    <n v="2"/>
    <x v="1"/>
    <x v="17"/>
    <x v="680"/>
    <x v="0"/>
    <x v="1"/>
    <x v="1"/>
  </r>
  <r>
    <s v="ORD-01127"/>
    <x v="130"/>
    <s v="Geeta Pandey"/>
    <x v="2"/>
    <x v="1"/>
    <n v="0"/>
    <n v="14"/>
    <x v="2"/>
    <x v="9"/>
    <x v="0"/>
    <x v="1"/>
    <x v="0"/>
    <x v="0"/>
  </r>
  <r>
    <s v="ORD-01144"/>
    <x v="15"/>
    <s v="Neha Tiwari"/>
    <x v="1"/>
    <x v="2"/>
    <n v="0"/>
    <n v="2"/>
    <x v="0"/>
    <x v="11"/>
    <x v="0"/>
    <x v="0"/>
    <x v="0"/>
    <x v="0"/>
  </r>
  <r>
    <s v="ORD-02503"/>
    <x v="20"/>
    <s v="Deepa Pillai"/>
    <x v="0"/>
    <x v="0"/>
    <n v="0"/>
    <n v="0"/>
    <x v="1"/>
    <x v="10"/>
    <x v="0"/>
    <x v="0"/>
    <x v="0"/>
    <x v="1"/>
  </r>
  <r>
    <s v="ORD-01453"/>
    <x v="284"/>
    <s v="Manish Srivastava"/>
    <x v="2"/>
    <x v="2"/>
    <n v="33099.74"/>
    <n v="1"/>
    <x v="1"/>
    <x v="21"/>
    <x v="681"/>
    <x v="0"/>
    <x v="1"/>
    <x v="1"/>
  </r>
  <r>
    <s v="ORD-01782"/>
    <x v="491"/>
    <s v="Vivek Chopra"/>
    <x v="2"/>
    <x v="2"/>
    <n v="38973.67"/>
    <n v="2"/>
    <x v="1"/>
    <x v="17"/>
    <x v="682"/>
    <x v="0"/>
    <x v="1"/>
    <x v="1"/>
  </r>
  <r>
    <s v="ORD-01263"/>
    <x v="49"/>
    <s v="Lakshmi Venkat"/>
    <x v="1"/>
    <x v="0"/>
    <n v="8192.7099999999991"/>
    <n v="7"/>
    <x v="1"/>
    <x v="18"/>
    <x v="683"/>
    <x v="1"/>
    <x v="0"/>
    <x v="1"/>
  </r>
  <r>
    <s v="ORD-01169"/>
    <x v="176"/>
    <s v="Meena Krishnan"/>
    <x v="1"/>
    <x v="0"/>
    <n v="6823.97"/>
    <n v="5"/>
    <x v="1"/>
    <x v="3"/>
    <x v="684"/>
    <x v="0"/>
    <x v="0"/>
    <x v="0"/>
  </r>
  <r>
    <s v="ORD-02345"/>
    <x v="492"/>
    <s v="Tarun Mukerjee"/>
    <x v="3"/>
    <x v="1"/>
    <n v="3040.96"/>
    <n v="13"/>
    <x v="1"/>
    <x v="17"/>
    <x v="685"/>
    <x v="1"/>
    <x v="0"/>
    <x v="0"/>
  </r>
  <r>
    <s v="ORD-02100"/>
    <x v="493"/>
    <s v="Priya Patel"/>
    <x v="3"/>
    <x v="1"/>
    <n v="0"/>
    <n v="10"/>
    <x v="2"/>
    <x v="20"/>
    <x v="0"/>
    <x v="1"/>
    <x v="0"/>
    <x v="1"/>
  </r>
  <r>
    <s v="ORD-01791"/>
    <x v="122"/>
    <s v="Smita Patil"/>
    <x v="3"/>
    <x v="0"/>
    <n v="5173.24"/>
    <n v="3"/>
    <x v="1"/>
    <x v="9"/>
    <x v="686"/>
    <x v="0"/>
    <x v="0"/>
    <x v="1"/>
  </r>
  <r>
    <s v="ORD-01728"/>
    <x v="494"/>
    <s v="Bhavna Dubey"/>
    <x v="0"/>
    <x v="1"/>
    <n v="3023.98"/>
    <n v="16"/>
    <x v="1"/>
    <x v="6"/>
    <x v="687"/>
    <x v="2"/>
    <x v="0"/>
    <x v="1"/>
  </r>
  <r>
    <s v="ORD-01184"/>
    <x v="448"/>
    <s v="Vikram Singh"/>
    <x v="2"/>
    <x v="0"/>
    <n v="9611.7099999999991"/>
    <n v="2"/>
    <x v="1"/>
    <x v="14"/>
    <x v="688"/>
    <x v="0"/>
    <x v="0"/>
    <x v="1"/>
  </r>
  <r>
    <s v="ORD-01073"/>
    <x v="52"/>
    <s v="Sarita Bansal"/>
    <x v="2"/>
    <x v="2"/>
    <n v="20929.39"/>
    <n v="5"/>
    <x v="1"/>
    <x v="15"/>
    <x v="84"/>
    <x v="0"/>
    <x v="0"/>
    <x v="1"/>
  </r>
  <r>
    <s v="ORD-02184"/>
    <x v="495"/>
    <s v="Amit Kumar"/>
    <x v="0"/>
    <x v="1"/>
    <n v="2221.98"/>
    <n v="17"/>
    <x v="1"/>
    <x v="2"/>
    <x v="689"/>
    <x v="2"/>
    <x v="0"/>
    <x v="1"/>
  </r>
  <r>
    <s v="ORD-02272"/>
    <x v="147"/>
    <s v="Ajay Rastogi"/>
    <x v="1"/>
    <x v="0"/>
    <n v="0"/>
    <n v="3"/>
    <x v="2"/>
    <x v="19"/>
    <x v="0"/>
    <x v="0"/>
    <x v="0"/>
    <x v="0"/>
  </r>
  <r>
    <s v="ORD-02118"/>
    <x v="403"/>
    <s v="Rajesh Choudhury"/>
    <x v="0"/>
    <x v="1"/>
    <n v="1613.64"/>
    <n v="25"/>
    <x v="1"/>
    <x v="16"/>
    <x v="690"/>
    <x v="2"/>
    <x v="0"/>
    <x v="1"/>
  </r>
  <r>
    <s v="ORD-01591"/>
    <x v="115"/>
    <s v="Rohan Mehta"/>
    <x v="0"/>
    <x v="1"/>
    <n v="0"/>
    <n v="7"/>
    <x v="2"/>
    <x v="16"/>
    <x v="0"/>
    <x v="1"/>
    <x v="0"/>
    <x v="0"/>
  </r>
  <r>
    <s v="ORD-02047"/>
    <x v="125"/>
    <s v="Tarun Mukerjee"/>
    <x v="3"/>
    <x v="1"/>
    <n v="0"/>
    <n v="26"/>
    <x v="0"/>
    <x v="20"/>
    <x v="0"/>
    <x v="2"/>
    <x v="0"/>
    <x v="0"/>
  </r>
  <r>
    <s v="ORD-01070"/>
    <x v="354"/>
    <s v="Yash Agarwal"/>
    <x v="1"/>
    <x v="1"/>
    <n v="0"/>
    <n v="29"/>
    <x v="2"/>
    <x v="10"/>
    <x v="0"/>
    <x v="2"/>
    <x v="0"/>
    <x v="1"/>
  </r>
  <r>
    <s v="ORD-01905"/>
    <x v="426"/>
    <s v="Aakash Bhat"/>
    <x v="0"/>
    <x v="2"/>
    <n v="13466.28"/>
    <n v="5"/>
    <x v="1"/>
    <x v="11"/>
    <x v="691"/>
    <x v="0"/>
    <x v="0"/>
    <x v="1"/>
  </r>
  <r>
    <s v="ORD-02130"/>
    <x v="12"/>
    <s v="Varun Naik"/>
    <x v="1"/>
    <x v="1"/>
    <n v="0"/>
    <n v="19"/>
    <x v="0"/>
    <x v="0"/>
    <x v="0"/>
    <x v="2"/>
    <x v="0"/>
    <x v="1"/>
  </r>
  <r>
    <s v="ORD-02198"/>
    <x v="14"/>
    <s v="Rohan Mehta"/>
    <x v="0"/>
    <x v="2"/>
    <n v="33454.129999999997"/>
    <n v="4"/>
    <x v="1"/>
    <x v="10"/>
    <x v="692"/>
    <x v="0"/>
    <x v="1"/>
    <x v="1"/>
  </r>
  <r>
    <s v="ORD-02024"/>
    <x v="496"/>
    <s v="Pooja Iyer"/>
    <x v="1"/>
    <x v="2"/>
    <n v="0"/>
    <n v="4"/>
    <x v="2"/>
    <x v="13"/>
    <x v="0"/>
    <x v="0"/>
    <x v="0"/>
    <x v="0"/>
  </r>
  <r>
    <s v="ORD-02026"/>
    <x v="497"/>
    <s v="Kiran Nambiar"/>
    <x v="2"/>
    <x v="2"/>
    <n v="17278.37"/>
    <n v="4"/>
    <x v="1"/>
    <x v="4"/>
    <x v="693"/>
    <x v="0"/>
    <x v="0"/>
    <x v="1"/>
  </r>
  <r>
    <s v="ORD-01097"/>
    <x v="328"/>
    <s v="Harsh Shah"/>
    <x v="3"/>
    <x v="2"/>
    <n v="38351.24"/>
    <n v="4"/>
    <x v="1"/>
    <x v="10"/>
    <x v="694"/>
    <x v="0"/>
    <x v="1"/>
    <x v="1"/>
  </r>
  <r>
    <s v="ORD-02489"/>
    <x v="145"/>
    <s v="Pooja Iyer"/>
    <x v="1"/>
    <x v="1"/>
    <n v="2413.67"/>
    <n v="22"/>
    <x v="1"/>
    <x v="19"/>
    <x v="695"/>
    <x v="2"/>
    <x v="0"/>
    <x v="1"/>
  </r>
  <r>
    <s v="ORD-02440"/>
    <x v="251"/>
    <s v="Pooja Iyer"/>
    <x v="1"/>
    <x v="1"/>
    <n v="2088.1799999999998"/>
    <n v="4"/>
    <x v="1"/>
    <x v="23"/>
    <x v="696"/>
    <x v="0"/>
    <x v="0"/>
    <x v="1"/>
  </r>
  <r>
    <s v="ORD-01801"/>
    <x v="498"/>
    <s v="Sunita Menon"/>
    <x v="3"/>
    <x v="1"/>
    <n v="251.14"/>
    <n v="20"/>
    <x v="1"/>
    <x v="9"/>
    <x v="697"/>
    <x v="2"/>
    <x v="0"/>
    <x v="1"/>
  </r>
  <r>
    <s v="ORD-01817"/>
    <x v="370"/>
    <s v="Sunita Menon"/>
    <x v="3"/>
    <x v="2"/>
    <n v="0"/>
    <n v="2"/>
    <x v="0"/>
    <x v="10"/>
    <x v="0"/>
    <x v="0"/>
    <x v="0"/>
    <x v="1"/>
  </r>
  <r>
    <s v="ORD-02505"/>
    <x v="20"/>
    <s v="Geeta Pandey"/>
    <x v="2"/>
    <x v="1"/>
    <n v="0"/>
    <n v="0"/>
    <x v="1"/>
    <x v="10"/>
    <x v="0"/>
    <x v="0"/>
    <x v="0"/>
    <x v="1"/>
  </r>
  <r>
    <s v="ORD-01942"/>
    <x v="129"/>
    <s v="Gaurav Mishra"/>
    <x v="0"/>
    <x v="2"/>
    <n v="21524"/>
    <n v="5"/>
    <x v="1"/>
    <x v="20"/>
    <x v="698"/>
    <x v="0"/>
    <x v="0"/>
    <x v="1"/>
  </r>
  <r>
    <s v="ORD-02107"/>
    <x v="193"/>
    <s v="Smita Patil"/>
    <x v="3"/>
    <x v="2"/>
    <n v="30026.81"/>
    <n v="2"/>
    <x v="1"/>
    <x v="6"/>
    <x v="699"/>
    <x v="0"/>
    <x v="1"/>
    <x v="1"/>
  </r>
  <r>
    <s v="ORD-01147"/>
    <x v="499"/>
    <s v="Yash Agarwal"/>
    <x v="1"/>
    <x v="0"/>
    <n v="571.65"/>
    <n v="3"/>
    <x v="1"/>
    <x v="7"/>
    <x v="700"/>
    <x v="0"/>
    <x v="0"/>
    <x v="1"/>
  </r>
  <r>
    <s v="ORD-01016"/>
    <x v="328"/>
    <s v="Nidhi Bhatt"/>
    <x v="0"/>
    <x v="2"/>
    <n v="44881.8"/>
    <n v="2"/>
    <x v="1"/>
    <x v="10"/>
    <x v="701"/>
    <x v="0"/>
    <x v="1"/>
    <x v="1"/>
  </r>
  <r>
    <s v="ORD-02224"/>
    <x v="500"/>
    <s v="Kiran Nambiar"/>
    <x v="1"/>
    <x v="1"/>
    <n v="3232.69"/>
    <n v="5"/>
    <x v="1"/>
    <x v="12"/>
    <x v="702"/>
    <x v="0"/>
    <x v="0"/>
    <x v="0"/>
  </r>
  <r>
    <s v="ORD-01926"/>
    <x v="17"/>
    <s v="Lakshmi Venkat"/>
    <x v="1"/>
    <x v="1"/>
    <n v="1100.7"/>
    <n v="30"/>
    <x v="1"/>
    <x v="13"/>
    <x v="703"/>
    <x v="2"/>
    <x v="0"/>
    <x v="0"/>
  </r>
  <r>
    <s v="ORD-02294"/>
    <x v="437"/>
    <s v="Sneha Gupta"/>
    <x v="3"/>
    <x v="0"/>
    <n v="15035.56"/>
    <n v="6"/>
    <x v="1"/>
    <x v="14"/>
    <x v="704"/>
    <x v="1"/>
    <x v="0"/>
    <x v="1"/>
  </r>
  <r>
    <s v="ORD-01643"/>
    <x v="501"/>
    <s v="Ananya Sharma"/>
    <x v="1"/>
    <x v="2"/>
    <n v="28228.83"/>
    <n v="4"/>
    <x v="1"/>
    <x v="20"/>
    <x v="705"/>
    <x v="0"/>
    <x v="1"/>
    <x v="0"/>
  </r>
  <r>
    <s v="ORD-01581"/>
    <x v="502"/>
    <s v="Pooja Iyer"/>
    <x v="1"/>
    <x v="0"/>
    <n v="7542.7"/>
    <n v="8"/>
    <x v="1"/>
    <x v="12"/>
    <x v="706"/>
    <x v="1"/>
    <x v="0"/>
    <x v="0"/>
  </r>
  <r>
    <s v="ORD-02135"/>
    <x v="503"/>
    <s v="Lakshmi Venkat"/>
    <x v="1"/>
    <x v="0"/>
    <n v="12384.47"/>
    <n v="5"/>
    <x v="1"/>
    <x v="7"/>
    <x v="707"/>
    <x v="0"/>
    <x v="0"/>
    <x v="1"/>
  </r>
  <r>
    <s v="ORD-01077"/>
    <x v="433"/>
    <s v="Sarita Bansal"/>
    <x v="2"/>
    <x v="1"/>
    <n v="1522.26"/>
    <n v="30"/>
    <x v="1"/>
    <x v="10"/>
    <x v="708"/>
    <x v="2"/>
    <x v="0"/>
    <x v="1"/>
  </r>
  <r>
    <s v="ORD-02312"/>
    <x v="209"/>
    <s v="Aakash Bhat"/>
    <x v="0"/>
    <x v="1"/>
    <n v="2700.8"/>
    <n v="27"/>
    <x v="1"/>
    <x v="22"/>
    <x v="709"/>
    <x v="2"/>
    <x v="0"/>
    <x v="1"/>
  </r>
  <r>
    <s v="ORD-01626"/>
    <x v="504"/>
    <s v="Neha Tiwari"/>
    <x v="1"/>
    <x v="0"/>
    <n v="0"/>
    <n v="4"/>
    <x v="2"/>
    <x v="22"/>
    <x v="0"/>
    <x v="0"/>
    <x v="0"/>
    <x v="1"/>
  </r>
  <r>
    <s v="ORD-01214"/>
    <x v="375"/>
    <s v="Kavya Nair"/>
    <x v="1"/>
    <x v="2"/>
    <n v="0"/>
    <n v="2"/>
    <x v="0"/>
    <x v="12"/>
    <x v="0"/>
    <x v="0"/>
    <x v="0"/>
    <x v="1"/>
  </r>
  <r>
    <s v="ORD-01245"/>
    <x v="505"/>
    <s v="Priya Patel"/>
    <x v="3"/>
    <x v="0"/>
    <n v="0"/>
    <n v="3"/>
    <x v="0"/>
    <x v="21"/>
    <x v="0"/>
    <x v="0"/>
    <x v="0"/>
    <x v="0"/>
  </r>
  <r>
    <s v="ORD-01397"/>
    <x v="436"/>
    <s v="Kavya Nair"/>
    <x v="1"/>
    <x v="2"/>
    <n v="32663.759999999998"/>
    <n v="4"/>
    <x v="1"/>
    <x v="15"/>
    <x v="710"/>
    <x v="0"/>
    <x v="1"/>
    <x v="1"/>
  </r>
  <r>
    <s v="ORD-01700"/>
    <x v="373"/>
    <s v="Sarita Bansal"/>
    <x v="2"/>
    <x v="0"/>
    <n v="3268.67"/>
    <n v="6"/>
    <x v="1"/>
    <x v="13"/>
    <x v="711"/>
    <x v="1"/>
    <x v="0"/>
    <x v="1"/>
  </r>
  <r>
    <s v="ORD-01793"/>
    <x v="491"/>
    <s v="Varun Naik"/>
    <x v="1"/>
    <x v="2"/>
    <n v="39825.61"/>
    <n v="5"/>
    <x v="1"/>
    <x v="17"/>
    <x v="712"/>
    <x v="0"/>
    <x v="1"/>
    <x v="1"/>
  </r>
  <r>
    <s v="ORD-01730"/>
    <x v="399"/>
    <s v="Smita Patil"/>
    <x v="3"/>
    <x v="2"/>
    <n v="31776.18"/>
    <n v="3"/>
    <x v="1"/>
    <x v="16"/>
    <x v="713"/>
    <x v="0"/>
    <x v="1"/>
    <x v="1"/>
  </r>
  <r>
    <s v="ORD-01041"/>
    <x v="506"/>
    <s v="Varun Naik"/>
    <x v="1"/>
    <x v="2"/>
    <n v="0"/>
    <n v="1"/>
    <x v="2"/>
    <x v="20"/>
    <x v="0"/>
    <x v="0"/>
    <x v="0"/>
    <x v="1"/>
  </r>
  <r>
    <s v="ORD-01442"/>
    <x v="37"/>
    <s v="Arjun Reddy"/>
    <x v="0"/>
    <x v="1"/>
    <n v="1009.88"/>
    <n v="30"/>
    <x v="1"/>
    <x v="17"/>
    <x v="714"/>
    <x v="2"/>
    <x v="0"/>
    <x v="1"/>
  </r>
  <r>
    <s v="ORD-01639"/>
    <x v="456"/>
    <s v="Meena Krishnan"/>
    <x v="1"/>
    <x v="2"/>
    <n v="31324.29"/>
    <n v="3"/>
    <x v="1"/>
    <x v="4"/>
    <x v="715"/>
    <x v="0"/>
    <x v="1"/>
    <x v="0"/>
  </r>
  <r>
    <s v="ORD-01369"/>
    <x v="375"/>
    <s v="Smita Patil"/>
    <x v="3"/>
    <x v="1"/>
    <n v="1935.58"/>
    <n v="6"/>
    <x v="1"/>
    <x v="12"/>
    <x v="716"/>
    <x v="1"/>
    <x v="0"/>
    <x v="1"/>
  </r>
  <r>
    <s v="ORD-02261"/>
    <x v="347"/>
    <s v="Deepa Pillai"/>
    <x v="3"/>
    <x v="2"/>
    <n v="2000.97"/>
    <n v="1"/>
    <x v="1"/>
    <x v="16"/>
    <x v="717"/>
    <x v="0"/>
    <x v="0"/>
    <x v="1"/>
  </r>
  <r>
    <s v="ORD-02163"/>
    <x v="507"/>
    <s v="Lakshmi Venkat"/>
    <x v="0"/>
    <x v="0"/>
    <n v="0"/>
    <n v="5"/>
    <x v="0"/>
    <x v="7"/>
    <x v="0"/>
    <x v="0"/>
    <x v="0"/>
    <x v="0"/>
  </r>
  <r>
    <s v="ORD-01135"/>
    <x v="508"/>
    <s v="Yash Agarwal"/>
    <x v="1"/>
    <x v="2"/>
    <n v="12603.89"/>
    <n v="2"/>
    <x v="1"/>
    <x v="15"/>
    <x v="718"/>
    <x v="0"/>
    <x v="0"/>
    <x v="0"/>
  </r>
  <r>
    <s v="ORD-01805"/>
    <x v="509"/>
    <s v="Ajay Rastogi"/>
    <x v="1"/>
    <x v="0"/>
    <n v="12735.14"/>
    <n v="7"/>
    <x v="1"/>
    <x v="7"/>
    <x v="719"/>
    <x v="1"/>
    <x v="0"/>
    <x v="1"/>
  </r>
  <r>
    <s v="ORD-02305"/>
    <x v="457"/>
    <s v="Smita Patil"/>
    <x v="3"/>
    <x v="1"/>
    <n v="2725.46"/>
    <n v="5"/>
    <x v="1"/>
    <x v="19"/>
    <x v="720"/>
    <x v="0"/>
    <x v="0"/>
    <x v="0"/>
  </r>
  <r>
    <s v="ORD-01350"/>
    <x v="475"/>
    <s v="Rajesh Choudhury"/>
    <x v="0"/>
    <x v="1"/>
    <n v="0"/>
    <n v="28"/>
    <x v="0"/>
    <x v="20"/>
    <x v="0"/>
    <x v="2"/>
    <x v="0"/>
    <x v="1"/>
  </r>
  <r>
    <s v="ORD-01891"/>
    <x v="510"/>
    <s v="Pooja Iyer"/>
    <x v="1"/>
    <x v="1"/>
    <n v="1639.13"/>
    <n v="28"/>
    <x v="1"/>
    <x v="17"/>
    <x v="721"/>
    <x v="2"/>
    <x v="0"/>
    <x v="1"/>
  </r>
  <r>
    <s v="ORD-01536"/>
    <x v="245"/>
    <s v="Vivek Chopra"/>
    <x v="2"/>
    <x v="0"/>
    <n v="8957.01"/>
    <n v="5"/>
    <x v="1"/>
    <x v="7"/>
    <x v="722"/>
    <x v="0"/>
    <x v="0"/>
    <x v="0"/>
  </r>
  <r>
    <s v="ORD-01668"/>
    <x v="241"/>
    <s v="Smita Patil"/>
    <x v="3"/>
    <x v="1"/>
    <n v="2987.53"/>
    <n v="5"/>
    <x v="1"/>
    <x v="2"/>
    <x v="723"/>
    <x v="0"/>
    <x v="0"/>
    <x v="1"/>
  </r>
  <r>
    <s v="ORD-02410"/>
    <x v="332"/>
    <s v="Smita Patil"/>
    <x v="3"/>
    <x v="0"/>
    <n v="0"/>
    <n v="7"/>
    <x v="2"/>
    <x v="0"/>
    <x v="0"/>
    <x v="1"/>
    <x v="0"/>
    <x v="1"/>
  </r>
  <r>
    <s v="ORD-01747"/>
    <x v="465"/>
    <s v="Geeta Pandey"/>
    <x v="2"/>
    <x v="1"/>
    <n v="3011.83"/>
    <n v="2"/>
    <x v="1"/>
    <x v="11"/>
    <x v="724"/>
    <x v="0"/>
    <x v="0"/>
    <x v="1"/>
  </r>
  <r>
    <s v="ORD-02501"/>
    <x v="20"/>
    <s v="Priya Patel"/>
    <x v="0"/>
    <x v="0"/>
    <n v="0"/>
    <n v="0"/>
    <x v="1"/>
    <x v="10"/>
    <x v="0"/>
    <x v="0"/>
    <x v="0"/>
    <x v="1"/>
  </r>
  <r>
    <s v="ORD-01514"/>
    <x v="511"/>
    <s v="Asha Kulkarni"/>
    <x v="0"/>
    <x v="0"/>
    <n v="16546.759999999998"/>
    <n v="4"/>
    <x v="1"/>
    <x v="3"/>
    <x v="725"/>
    <x v="0"/>
    <x v="0"/>
    <x v="0"/>
  </r>
  <r>
    <s v="ORD-01165"/>
    <x v="283"/>
    <s v="Sanjay Joshi"/>
    <x v="2"/>
    <x v="1"/>
    <n v="3073.79"/>
    <n v="12"/>
    <x v="1"/>
    <x v="10"/>
    <x v="726"/>
    <x v="1"/>
    <x v="0"/>
    <x v="1"/>
  </r>
  <r>
    <s v="ORD-01898"/>
    <x v="306"/>
    <s v="Vivek Chopra"/>
    <x v="2"/>
    <x v="0"/>
    <n v="3397.73"/>
    <n v="6"/>
    <x v="1"/>
    <x v="5"/>
    <x v="727"/>
    <x v="1"/>
    <x v="0"/>
    <x v="0"/>
  </r>
  <r>
    <s v="ORD-02098"/>
    <x v="512"/>
    <s v="Gaurav Mishra"/>
    <x v="0"/>
    <x v="1"/>
    <n v="1935.84"/>
    <n v="25"/>
    <x v="1"/>
    <x v="9"/>
    <x v="728"/>
    <x v="2"/>
    <x v="0"/>
    <x v="1"/>
  </r>
  <r>
    <s v="ORD-01145"/>
    <x v="38"/>
    <s v="Priya Patel"/>
    <x v="3"/>
    <x v="0"/>
    <n v="12782.53"/>
    <n v="7"/>
    <x v="1"/>
    <x v="16"/>
    <x v="729"/>
    <x v="1"/>
    <x v="0"/>
    <x v="0"/>
  </r>
  <r>
    <s v="ORD-01670"/>
    <x v="21"/>
    <s v="Vikram Singh"/>
    <x v="2"/>
    <x v="1"/>
    <n v="1641.36"/>
    <n v="18"/>
    <x v="1"/>
    <x v="0"/>
    <x v="730"/>
    <x v="2"/>
    <x v="0"/>
    <x v="0"/>
  </r>
  <r>
    <s v="ORD-01698"/>
    <x v="513"/>
    <s v="Tara Saxena"/>
    <x v="3"/>
    <x v="2"/>
    <n v="20654.79"/>
    <n v="4"/>
    <x v="1"/>
    <x v="4"/>
    <x v="731"/>
    <x v="0"/>
    <x v="0"/>
    <x v="1"/>
  </r>
  <r>
    <s v="ORD-01918"/>
    <x v="514"/>
    <s v="Nidhi Bhatt"/>
    <x v="0"/>
    <x v="1"/>
    <n v="890.73"/>
    <n v="6"/>
    <x v="1"/>
    <x v="16"/>
    <x v="732"/>
    <x v="1"/>
    <x v="0"/>
    <x v="1"/>
  </r>
  <r>
    <s v="ORD-01182"/>
    <x v="427"/>
    <s v="Dev Mathur"/>
    <x v="3"/>
    <x v="2"/>
    <n v="5658.74"/>
    <n v="1"/>
    <x v="1"/>
    <x v="21"/>
    <x v="523"/>
    <x v="0"/>
    <x v="0"/>
    <x v="0"/>
  </r>
  <r>
    <s v="ORD-02291"/>
    <x v="108"/>
    <s v="Lakshmi Venkat"/>
    <x v="0"/>
    <x v="0"/>
    <n v="0"/>
    <n v="1"/>
    <x v="2"/>
    <x v="5"/>
    <x v="0"/>
    <x v="0"/>
    <x v="0"/>
    <x v="1"/>
  </r>
  <r>
    <s v="ORD-01736"/>
    <x v="152"/>
    <s v="Dev Mathur"/>
    <x v="3"/>
    <x v="0"/>
    <n v="6870.18"/>
    <n v="6"/>
    <x v="1"/>
    <x v="3"/>
    <x v="733"/>
    <x v="1"/>
    <x v="0"/>
    <x v="0"/>
  </r>
  <r>
    <s v="ORD-02078"/>
    <x v="400"/>
    <s v="Neha Tiwari"/>
    <x v="1"/>
    <x v="0"/>
    <n v="0"/>
    <n v="3"/>
    <x v="0"/>
    <x v="0"/>
    <x v="0"/>
    <x v="0"/>
    <x v="0"/>
    <x v="0"/>
  </r>
  <r>
    <s v="ORD-01641"/>
    <x v="278"/>
    <s v="Padma Subramaniam"/>
    <x v="2"/>
    <x v="1"/>
    <n v="0"/>
    <n v="26"/>
    <x v="2"/>
    <x v="17"/>
    <x v="0"/>
    <x v="2"/>
    <x v="0"/>
    <x v="1"/>
  </r>
  <r>
    <s v="ORD-02470"/>
    <x v="401"/>
    <s v="Padma Subramaniam"/>
    <x v="2"/>
    <x v="0"/>
    <n v="5209.8999999999996"/>
    <n v="7"/>
    <x v="1"/>
    <x v="22"/>
    <x v="734"/>
    <x v="1"/>
    <x v="0"/>
    <x v="0"/>
  </r>
  <r>
    <s v="ORD-02475"/>
    <x v="515"/>
    <s v="Rohan Mehta"/>
    <x v="0"/>
    <x v="2"/>
    <n v="4226.59"/>
    <n v="1"/>
    <x v="1"/>
    <x v="23"/>
    <x v="735"/>
    <x v="0"/>
    <x v="0"/>
    <x v="1"/>
  </r>
  <r>
    <s v="ORD-01699"/>
    <x v="516"/>
    <s v="Riya Malhotra"/>
    <x v="3"/>
    <x v="1"/>
    <n v="0"/>
    <n v="19"/>
    <x v="0"/>
    <x v="12"/>
    <x v="0"/>
    <x v="2"/>
    <x v="0"/>
    <x v="0"/>
  </r>
  <r>
    <s v="ORD-01156"/>
    <x v="517"/>
    <s v="Ananya Sharma"/>
    <x v="1"/>
    <x v="0"/>
    <n v="16251.41"/>
    <n v="3"/>
    <x v="1"/>
    <x v="14"/>
    <x v="736"/>
    <x v="0"/>
    <x v="0"/>
    <x v="1"/>
  </r>
  <r>
    <s v="ORD-01166"/>
    <x v="105"/>
    <s v="Nikhil Desai"/>
    <x v="0"/>
    <x v="0"/>
    <n v="16478.669999999998"/>
    <n v="8"/>
    <x v="1"/>
    <x v="15"/>
    <x v="737"/>
    <x v="1"/>
    <x v="0"/>
    <x v="1"/>
  </r>
  <r>
    <s v="ORD-01298"/>
    <x v="240"/>
    <s v="Neha Tiwari"/>
    <x v="1"/>
    <x v="0"/>
    <n v="0"/>
    <n v="8"/>
    <x v="0"/>
    <x v="9"/>
    <x v="0"/>
    <x v="1"/>
    <x v="0"/>
    <x v="1"/>
  </r>
  <r>
    <s v="ORD-01039"/>
    <x v="44"/>
    <s v="Tara Saxena"/>
    <x v="3"/>
    <x v="2"/>
    <n v="26399.77"/>
    <n v="5"/>
    <x v="1"/>
    <x v="13"/>
    <x v="738"/>
    <x v="0"/>
    <x v="0"/>
    <x v="1"/>
  </r>
  <r>
    <s v="ORD-02445"/>
    <x v="518"/>
    <s v="Amit Kumar"/>
    <x v="0"/>
    <x v="2"/>
    <n v="0"/>
    <n v="2"/>
    <x v="2"/>
    <x v="6"/>
    <x v="0"/>
    <x v="0"/>
    <x v="0"/>
    <x v="1"/>
  </r>
  <r>
    <s v="ORD-01094"/>
    <x v="418"/>
    <s v="Sneha Gupta"/>
    <x v="3"/>
    <x v="0"/>
    <n v="10491.6"/>
    <n v="7"/>
    <x v="1"/>
    <x v="11"/>
    <x v="739"/>
    <x v="1"/>
    <x v="0"/>
    <x v="1"/>
  </r>
  <r>
    <s v="ORD-01601"/>
    <x v="519"/>
    <s v="Geeta Pandey"/>
    <x v="2"/>
    <x v="2"/>
    <n v="0"/>
    <n v="1"/>
    <x v="2"/>
    <x v="4"/>
    <x v="0"/>
    <x v="0"/>
    <x v="0"/>
    <x v="0"/>
  </r>
  <r>
    <s v="ORD-02022"/>
    <x v="355"/>
    <s v="Vikram Singh"/>
    <x v="2"/>
    <x v="0"/>
    <n v="8536.75"/>
    <n v="1"/>
    <x v="1"/>
    <x v="23"/>
    <x v="740"/>
    <x v="0"/>
    <x v="0"/>
    <x v="1"/>
  </r>
  <r>
    <s v="ORD-01392"/>
    <x v="520"/>
    <s v="Yash Agarwal"/>
    <x v="1"/>
    <x v="1"/>
    <n v="1457.75"/>
    <n v="1"/>
    <x v="1"/>
    <x v="10"/>
    <x v="741"/>
    <x v="0"/>
    <x v="0"/>
    <x v="0"/>
  </r>
  <r>
    <s v="ORD-01816"/>
    <x v="210"/>
    <s v="Vivek Chopra"/>
    <x v="2"/>
    <x v="2"/>
    <n v="35281.39"/>
    <n v="3"/>
    <x v="1"/>
    <x v="17"/>
    <x v="742"/>
    <x v="0"/>
    <x v="1"/>
    <x v="0"/>
  </r>
  <r>
    <s v="ORD-01602"/>
    <x v="451"/>
    <s v="Meena Krishnan"/>
    <x v="1"/>
    <x v="0"/>
    <n v="17799.39"/>
    <n v="5"/>
    <x v="1"/>
    <x v="7"/>
    <x v="743"/>
    <x v="0"/>
    <x v="0"/>
    <x v="1"/>
  </r>
  <r>
    <s v="ORD-02220"/>
    <x v="521"/>
    <s v="Harsh Shah"/>
    <x v="2"/>
    <x v="0"/>
    <n v="6683.39"/>
    <n v="4"/>
    <x v="1"/>
    <x v="14"/>
    <x v="744"/>
    <x v="0"/>
    <x v="0"/>
    <x v="0"/>
  </r>
  <r>
    <s v="ORD-02335"/>
    <x v="456"/>
    <s v="Nikhil Desai"/>
    <x v="0"/>
    <x v="1"/>
    <n v="0"/>
    <n v="28"/>
    <x v="0"/>
    <x v="4"/>
    <x v="0"/>
    <x v="2"/>
    <x v="0"/>
    <x v="0"/>
  </r>
  <r>
    <s v="ORD-01794"/>
    <x v="135"/>
    <s v="Suresh Rao"/>
    <x v="2"/>
    <x v="2"/>
    <n v="29896.39"/>
    <n v="5"/>
    <x v="1"/>
    <x v="22"/>
    <x v="745"/>
    <x v="0"/>
    <x v="1"/>
    <x v="1"/>
  </r>
  <r>
    <s v="ORD-01827"/>
    <x v="522"/>
    <s v="Rohan Mehta"/>
    <x v="0"/>
    <x v="2"/>
    <n v="44454.21"/>
    <n v="5"/>
    <x v="1"/>
    <x v="4"/>
    <x v="746"/>
    <x v="0"/>
    <x v="1"/>
    <x v="0"/>
  </r>
  <r>
    <s v="ORD-01515"/>
    <x v="378"/>
    <s v="Sanjay Joshi"/>
    <x v="2"/>
    <x v="0"/>
    <n v="1354.14"/>
    <n v="3"/>
    <x v="1"/>
    <x v="6"/>
    <x v="747"/>
    <x v="0"/>
    <x v="0"/>
    <x v="1"/>
  </r>
  <r>
    <s v="ORD-01104"/>
    <x v="523"/>
    <s v="Neha Tiwari"/>
    <x v="1"/>
    <x v="1"/>
    <n v="0"/>
    <n v="18"/>
    <x v="0"/>
    <x v="19"/>
    <x v="0"/>
    <x v="2"/>
    <x v="0"/>
    <x v="1"/>
  </r>
  <r>
    <s v="ORD-01516"/>
    <x v="393"/>
    <s v="Amit Kumar"/>
    <x v="0"/>
    <x v="1"/>
    <n v="3019.31"/>
    <n v="3"/>
    <x v="1"/>
    <x v="8"/>
    <x v="748"/>
    <x v="0"/>
    <x v="0"/>
    <x v="0"/>
  </r>
  <r>
    <s v="ORD-01760"/>
    <x v="524"/>
    <s v="Divya Kaur"/>
    <x v="1"/>
    <x v="2"/>
    <n v="33401.620000000003"/>
    <n v="4"/>
    <x v="1"/>
    <x v="18"/>
    <x v="749"/>
    <x v="0"/>
    <x v="1"/>
    <x v="1"/>
  </r>
  <r>
    <s v="ORD-02358"/>
    <x v="134"/>
    <s v="Bhavna Dubey"/>
    <x v="0"/>
    <x v="1"/>
    <n v="682.88"/>
    <n v="19"/>
    <x v="1"/>
    <x v="10"/>
    <x v="750"/>
    <x v="2"/>
    <x v="0"/>
    <x v="1"/>
  </r>
  <r>
    <s v="ORD-02257"/>
    <x v="525"/>
    <s v="Nidhi Bhatt"/>
    <x v="0"/>
    <x v="1"/>
    <n v="2143.65"/>
    <n v="13"/>
    <x v="1"/>
    <x v="8"/>
    <x v="751"/>
    <x v="1"/>
    <x v="0"/>
    <x v="1"/>
  </r>
  <r>
    <s v="ORD-01340"/>
    <x v="526"/>
    <s v="Bhavna Dubey"/>
    <x v="0"/>
    <x v="0"/>
    <n v="13102.06"/>
    <n v="7"/>
    <x v="1"/>
    <x v="9"/>
    <x v="752"/>
    <x v="1"/>
    <x v="0"/>
    <x v="1"/>
  </r>
  <r>
    <s v="ORD-01100"/>
    <x v="13"/>
    <s v="Nikhil Desai"/>
    <x v="0"/>
    <x v="2"/>
    <n v="37518.31"/>
    <n v="1"/>
    <x v="1"/>
    <x v="0"/>
    <x v="753"/>
    <x v="0"/>
    <x v="1"/>
    <x v="1"/>
  </r>
  <r>
    <s v="ORD-02043"/>
    <x v="58"/>
    <s v="Varun Naik"/>
    <x v="1"/>
    <x v="1"/>
    <n v="1069.67"/>
    <n v="29"/>
    <x v="1"/>
    <x v="9"/>
    <x v="754"/>
    <x v="2"/>
    <x v="0"/>
    <x v="0"/>
  </r>
  <r>
    <s v="ORD-01720"/>
    <x v="527"/>
    <s v="Priya Patel"/>
    <x v="3"/>
    <x v="1"/>
    <n v="1829.56"/>
    <n v="8"/>
    <x v="1"/>
    <x v="13"/>
    <x v="755"/>
    <x v="1"/>
    <x v="0"/>
    <x v="1"/>
  </r>
  <r>
    <s v="ORD-01133"/>
    <x v="483"/>
    <s v="Lakshmi Venkat"/>
    <x v="1"/>
    <x v="2"/>
    <n v="43682.16"/>
    <n v="4"/>
    <x v="1"/>
    <x v="7"/>
    <x v="756"/>
    <x v="0"/>
    <x v="1"/>
    <x v="0"/>
  </r>
  <r>
    <s v="ORD-02150"/>
    <x v="278"/>
    <s v="Sarita Bansal"/>
    <x v="2"/>
    <x v="2"/>
    <n v="43856.44"/>
    <n v="2"/>
    <x v="1"/>
    <x v="17"/>
    <x v="757"/>
    <x v="0"/>
    <x v="1"/>
    <x v="1"/>
  </r>
  <r>
    <s v="ORD-01744"/>
    <x v="267"/>
    <s v="Sanjay Joshi"/>
    <x v="2"/>
    <x v="1"/>
    <n v="2416.7399999999998"/>
    <n v="27"/>
    <x v="1"/>
    <x v="5"/>
    <x v="758"/>
    <x v="2"/>
    <x v="0"/>
    <x v="0"/>
  </r>
  <r>
    <s v="ORD-01401"/>
    <x v="64"/>
    <s v="Sanjay Joshi"/>
    <x v="2"/>
    <x v="0"/>
    <n v="5458.63"/>
    <n v="8"/>
    <x v="1"/>
    <x v="11"/>
    <x v="759"/>
    <x v="1"/>
    <x v="0"/>
    <x v="0"/>
  </r>
  <r>
    <s v="ORD-01939"/>
    <x v="528"/>
    <s v="Manish Srivastava"/>
    <x v="3"/>
    <x v="2"/>
    <n v="0"/>
    <n v="5"/>
    <x v="0"/>
    <x v="0"/>
    <x v="0"/>
    <x v="0"/>
    <x v="0"/>
    <x v="0"/>
  </r>
  <r>
    <s v="ORD-01944"/>
    <x v="529"/>
    <s v="Vivek Chopra"/>
    <x v="2"/>
    <x v="1"/>
    <n v="948.53"/>
    <n v="21"/>
    <x v="1"/>
    <x v="22"/>
    <x v="760"/>
    <x v="2"/>
    <x v="0"/>
    <x v="1"/>
  </r>
  <r>
    <s v="ORD-02199"/>
    <x v="530"/>
    <s v="Rohan Mehta"/>
    <x v="0"/>
    <x v="1"/>
    <n v="887.07"/>
    <n v="10"/>
    <x v="1"/>
    <x v="5"/>
    <x v="761"/>
    <x v="1"/>
    <x v="0"/>
    <x v="0"/>
  </r>
  <r>
    <s v="ORD-01513"/>
    <x v="225"/>
    <s v="Sanjay Joshi"/>
    <x v="2"/>
    <x v="2"/>
    <n v="3282.62"/>
    <n v="5"/>
    <x v="1"/>
    <x v="11"/>
    <x v="762"/>
    <x v="0"/>
    <x v="0"/>
    <x v="1"/>
  </r>
  <r>
    <s v="ORD-01408"/>
    <x v="491"/>
    <s v="Arjun Reddy"/>
    <x v="0"/>
    <x v="2"/>
    <n v="29865.99"/>
    <n v="3"/>
    <x v="1"/>
    <x v="17"/>
    <x v="763"/>
    <x v="0"/>
    <x v="1"/>
    <x v="1"/>
  </r>
  <r>
    <s v="ORD-02056"/>
    <x v="470"/>
    <s v="Pooja Iyer"/>
    <x v="1"/>
    <x v="0"/>
    <n v="5423.5"/>
    <n v="8"/>
    <x v="1"/>
    <x v="0"/>
    <x v="764"/>
    <x v="1"/>
    <x v="0"/>
    <x v="0"/>
  </r>
  <r>
    <s v="ORD-01770"/>
    <x v="510"/>
    <s v="Divya Kaur"/>
    <x v="1"/>
    <x v="2"/>
    <n v="12423.73"/>
    <n v="4"/>
    <x v="1"/>
    <x v="17"/>
    <x v="765"/>
    <x v="0"/>
    <x v="0"/>
    <x v="1"/>
  </r>
  <r>
    <s v="ORD-01366"/>
    <x v="270"/>
    <s v="Rohan Mehta"/>
    <x v="0"/>
    <x v="1"/>
    <n v="2048.04"/>
    <n v="14"/>
    <x v="1"/>
    <x v="21"/>
    <x v="766"/>
    <x v="1"/>
    <x v="0"/>
    <x v="1"/>
  </r>
  <r>
    <s v="ORD-01009"/>
    <x v="292"/>
    <s v="Arjun Reddy"/>
    <x v="0"/>
    <x v="2"/>
    <n v="17601.580000000002"/>
    <n v="4"/>
    <x v="1"/>
    <x v="1"/>
    <x v="767"/>
    <x v="0"/>
    <x v="0"/>
    <x v="1"/>
  </r>
  <r>
    <s v="ORD-01962"/>
    <x v="434"/>
    <s v="Aakash Bhat"/>
    <x v="0"/>
    <x v="1"/>
    <n v="470.18"/>
    <n v="4"/>
    <x v="1"/>
    <x v="4"/>
    <x v="768"/>
    <x v="0"/>
    <x v="0"/>
    <x v="0"/>
  </r>
  <r>
    <s v="ORD-01096"/>
    <x v="223"/>
    <s v="Tarun Mukerjee"/>
    <x v="3"/>
    <x v="1"/>
    <n v="2750.09"/>
    <n v="12"/>
    <x v="1"/>
    <x v="11"/>
    <x v="769"/>
    <x v="1"/>
    <x v="0"/>
    <x v="0"/>
  </r>
  <r>
    <s v="ORD-01323"/>
    <x v="531"/>
    <s v="Sanjay Joshi"/>
    <x v="2"/>
    <x v="2"/>
    <n v="42079.38"/>
    <n v="1"/>
    <x v="1"/>
    <x v="20"/>
    <x v="770"/>
    <x v="0"/>
    <x v="1"/>
    <x v="1"/>
  </r>
  <r>
    <s v="ORD-02174"/>
    <x v="340"/>
    <s v="Rohan Mehta"/>
    <x v="0"/>
    <x v="1"/>
    <n v="2325.41"/>
    <n v="15"/>
    <x v="1"/>
    <x v="12"/>
    <x v="771"/>
    <x v="1"/>
    <x v="0"/>
    <x v="1"/>
  </r>
  <r>
    <s v="ORD-01047"/>
    <x v="122"/>
    <s v="Vivek Chopra"/>
    <x v="2"/>
    <x v="1"/>
    <n v="1874.85"/>
    <n v="22"/>
    <x v="1"/>
    <x v="9"/>
    <x v="107"/>
    <x v="2"/>
    <x v="0"/>
    <x v="1"/>
  </r>
  <r>
    <s v="ORD-01496"/>
    <x v="71"/>
    <s v="Padma Subramaniam"/>
    <x v="2"/>
    <x v="0"/>
    <n v="2103.7600000000002"/>
    <n v="3"/>
    <x v="1"/>
    <x v="9"/>
    <x v="772"/>
    <x v="0"/>
    <x v="0"/>
    <x v="1"/>
  </r>
  <r>
    <s v="ORD-02255"/>
    <x v="432"/>
    <s v="Asha Kulkarni"/>
    <x v="0"/>
    <x v="0"/>
    <n v="9196.7099999999991"/>
    <n v="1"/>
    <x v="1"/>
    <x v="0"/>
    <x v="773"/>
    <x v="0"/>
    <x v="0"/>
    <x v="1"/>
  </r>
  <r>
    <s v="ORD-02159"/>
    <x v="532"/>
    <s v="Vikram Singh"/>
    <x v="0"/>
    <x v="0"/>
    <n v="16375.61"/>
    <n v="1"/>
    <x v="1"/>
    <x v="9"/>
    <x v="774"/>
    <x v="0"/>
    <x v="0"/>
    <x v="1"/>
  </r>
  <r>
    <s v="ORD-01046"/>
    <x v="284"/>
    <s v="Smita Patil"/>
    <x v="3"/>
    <x v="2"/>
    <n v="17133.099999999999"/>
    <n v="2"/>
    <x v="1"/>
    <x v="21"/>
    <x v="775"/>
    <x v="0"/>
    <x v="0"/>
    <x v="1"/>
  </r>
  <r>
    <s v="ORD-01579"/>
    <x v="129"/>
    <s v="Nidhi Bhatt"/>
    <x v="0"/>
    <x v="1"/>
    <n v="295.69"/>
    <n v="29"/>
    <x v="1"/>
    <x v="20"/>
    <x v="776"/>
    <x v="2"/>
    <x v="0"/>
    <x v="1"/>
  </r>
  <r>
    <s v="ORD-01584"/>
    <x v="96"/>
    <s v="Geeta Pandey"/>
    <x v="2"/>
    <x v="2"/>
    <n v="6519.74"/>
    <n v="4"/>
    <x v="1"/>
    <x v="12"/>
    <x v="777"/>
    <x v="0"/>
    <x v="0"/>
    <x v="1"/>
  </r>
  <r>
    <s v="ORD-01088"/>
    <x v="373"/>
    <s v="Vikram Singh"/>
    <x v="2"/>
    <x v="0"/>
    <n v="4046.39"/>
    <n v="6"/>
    <x v="1"/>
    <x v="13"/>
    <x v="778"/>
    <x v="1"/>
    <x v="0"/>
    <x v="1"/>
  </r>
  <r>
    <s v="ORD-01276"/>
    <x v="158"/>
    <s v="Harsh Shah"/>
    <x v="2"/>
    <x v="0"/>
    <n v="8573.08"/>
    <n v="3"/>
    <x v="1"/>
    <x v="3"/>
    <x v="779"/>
    <x v="0"/>
    <x v="0"/>
    <x v="1"/>
  </r>
  <r>
    <s v="ORD-02384"/>
    <x v="508"/>
    <s v="Tara Saxena"/>
    <x v="3"/>
    <x v="0"/>
    <n v="3917.62"/>
    <n v="1"/>
    <x v="1"/>
    <x v="15"/>
    <x v="780"/>
    <x v="0"/>
    <x v="0"/>
    <x v="0"/>
  </r>
  <r>
    <s v="ORD-01034"/>
    <x v="261"/>
    <s v="Sneha Gupta"/>
    <x v="3"/>
    <x v="2"/>
    <n v="11790.61"/>
    <n v="2"/>
    <x v="1"/>
    <x v="17"/>
    <x v="781"/>
    <x v="0"/>
    <x v="0"/>
    <x v="1"/>
  </r>
  <r>
    <s v="ORD-01952"/>
    <x v="368"/>
    <s v="Smita Patil"/>
    <x v="3"/>
    <x v="2"/>
    <n v="3121.53"/>
    <n v="4"/>
    <x v="1"/>
    <x v="0"/>
    <x v="782"/>
    <x v="0"/>
    <x v="0"/>
    <x v="1"/>
  </r>
  <r>
    <s v="ORD-02115"/>
    <x v="24"/>
    <s v="Arjun Reddy"/>
    <x v="0"/>
    <x v="1"/>
    <n v="376.83"/>
    <n v="11"/>
    <x v="1"/>
    <x v="17"/>
    <x v="783"/>
    <x v="1"/>
    <x v="0"/>
    <x v="1"/>
  </r>
  <r>
    <s v="ORD-02417"/>
    <x v="97"/>
    <s v="Nidhi Bhatt"/>
    <x v="0"/>
    <x v="0"/>
    <n v="12208.64"/>
    <n v="2"/>
    <x v="1"/>
    <x v="3"/>
    <x v="784"/>
    <x v="0"/>
    <x v="0"/>
    <x v="1"/>
  </r>
  <r>
    <s v="ORD-01565"/>
    <x v="440"/>
    <s v="Ananya Sharma"/>
    <x v="1"/>
    <x v="2"/>
    <n v="29413.82"/>
    <n v="5"/>
    <x v="1"/>
    <x v="4"/>
    <x v="785"/>
    <x v="0"/>
    <x v="1"/>
    <x v="1"/>
  </r>
  <r>
    <s v="ORD-01193"/>
    <x v="301"/>
    <s v="Manish Srivastava"/>
    <x v="1"/>
    <x v="2"/>
    <n v="19888.939999999999"/>
    <n v="3"/>
    <x v="1"/>
    <x v="8"/>
    <x v="786"/>
    <x v="0"/>
    <x v="0"/>
    <x v="1"/>
  </r>
  <r>
    <s v="ORD-02256"/>
    <x v="452"/>
    <s v="Dev Mathur"/>
    <x v="3"/>
    <x v="2"/>
    <n v="12953.34"/>
    <n v="2"/>
    <x v="1"/>
    <x v="4"/>
    <x v="787"/>
    <x v="0"/>
    <x v="0"/>
    <x v="1"/>
  </r>
  <r>
    <s v="ORD-02225"/>
    <x v="268"/>
    <s v="Asha Kulkarni"/>
    <x v="0"/>
    <x v="0"/>
    <n v="0"/>
    <n v="5"/>
    <x v="2"/>
    <x v="18"/>
    <x v="0"/>
    <x v="0"/>
    <x v="0"/>
    <x v="1"/>
  </r>
  <r>
    <s v="ORD-01775"/>
    <x v="533"/>
    <s v="Sneha Gupta"/>
    <x v="3"/>
    <x v="2"/>
    <n v="32411.66"/>
    <n v="1"/>
    <x v="1"/>
    <x v="13"/>
    <x v="788"/>
    <x v="0"/>
    <x v="1"/>
    <x v="1"/>
  </r>
  <r>
    <s v="ORD-01012"/>
    <x v="411"/>
    <s v="Padma Subramaniam"/>
    <x v="2"/>
    <x v="0"/>
    <n v="15218.48"/>
    <n v="1"/>
    <x v="1"/>
    <x v="17"/>
    <x v="789"/>
    <x v="0"/>
    <x v="0"/>
    <x v="1"/>
  </r>
  <r>
    <s v="ORD-01612"/>
    <x v="260"/>
    <s v="Ajay Rastogi"/>
    <x v="1"/>
    <x v="1"/>
    <n v="3062.35"/>
    <n v="17"/>
    <x v="1"/>
    <x v="0"/>
    <x v="790"/>
    <x v="2"/>
    <x v="0"/>
    <x v="1"/>
  </r>
  <r>
    <s v="ORD-02338"/>
    <x v="6"/>
    <s v="Riya Malhotra"/>
    <x v="3"/>
    <x v="2"/>
    <n v="21770.17"/>
    <n v="5"/>
    <x v="1"/>
    <x v="2"/>
    <x v="791"/>
    <x v="0"/>
    <x v="0"/>
    <x v="1"/>
  </r>
  <r>
    <s v="ORD-01067"/>
    <x v="534"/>
    <s v="Tara Saxena"/>
    <x v="3"/>
    <x v="2"/>
    <n v="0"/>
    <n v="4"/>
    <x v="2"/>
    <x v="16"/>
    <x v="0"/>
    <x v="0"/>
    <x v="0"/>
    <x v="0"/>
  </r>
  <r>
    <s v="ORD-01110"/>
    <x v="436"/>
    <s v="Nikhil Desai"/>
    <x v="0"/>
    <x v="1"/>
    <n v="2108.9299999999998"/>
    <n v="4"/>
    <x v="1"/>
    <x v="15"/>
    <x v="540"/>
    <x v="0"/>
    <x v="0"/>
    <x v="1"/>
  </r>
  <r>
    <s v="ORD-01555"/>
    <x v="535"/>
    <s v="Vivek Chopra"/>
    <x v="2"/>
    <x v="0"/>
    <n v="14000.35"/>
    <n v="6"/>
    <x v="1"/>
    <x v="21"/>
    <x v="792"/>
    <x v="1"/>
    <x v="0"/>
    <x v="1"/>
  </r>
  <r>
    <s v="ORD-01167"/>
    <x v="536"/>
    <s v="Rahul Verma"/>
    <x v="2"/>
    <x v="2"/>
    <n v="0"/>
    <n v="2"/>
    <x v="2"/>
    <x v="6"/>
    <x v="0"/>
    <x v="0"/>
    <x v="0"/>
    <x v="1"/>
  </r>
  <r>
    <s v="ORD-01289"/>
    <x v="537"/>
    <s v="Gaurav Mishra"/>
    <x v="0"/>
    <x v="0"/>
    <n v="0"/>
    <n v="6"/>
    <x v="2"/>
    <x v="13"/>
    <x v="0"/>
    <x v="1"/>
    <x v="0"/>
    <x v="1"/>
  </r>
  <r>
    <s v="ORD-01246"/>
    <x v="525"/>
    <s v="Manish Srivastava"/>
    <x v="3"/>
    <x v="2"/>
    <n v="40838.9"/>
    <n v="1"/>
    <x v="1"/>
    <x v="8"/>
    <x v="793"/>
    <x v="0"/>
    <x v="1"/>
    <x v="1"/>
  </r>
  <r>
    <s v="ORD-01029"/>
    <x v="289"/>
    <s v="Riya Malhotra"/>
    <x v="3"/>
    <x v="2"/>
    <n v="3937.89"/>
    <n v="1"/>
    <x v="1"/>
    <x v="9"/>
    <x v="664"/>
    <x v="0"/>
    <x v="0"/>
    <x v="0"/>
  </r>
  <r>
    <s v="ORD-01344"/>
    <x v="187"/>
    <s v="Dev Mathur"/>
    <x v="3"/>
    <x v="0"/>
    <n v="2399.81"/>
    <n v="7"/>
    <x v="1"/>
    <x v="18"/>
    <x v="794"/>
    <x v="1"/>
    <x v="0"/>
    <x v="1"/>
  </r>
  <r>
    <s v="ORD-01867"/>
    <x v="383"/>
    <s v="Divya Kaur"/>
    <x v="1"/>
    <x v="1"/>
    <n v="2161.65"/>
    <n v="6"/>
    <x v="1"/>
    <x v="8"/>
    <x v="795"/>
    <x v="1"/>
    <x v="0"/>
    <x v="1"/>
  </r>
  <r>
    <s v="ORD-01798"/>
    <x v="210"/>
    <s v="Divya Kaur"/>
    <x v="1"/>
    <x v="1"/>
    <n v="2202.6999999999998"/>
    <n v="19"/>
    <x v="1"/>
    <x v="17"/>
    <x v="796"/>
    <x v="2"/>
    <x v="0"/>
    <x v="0"/>
  </r>
  <r>
    <s v="ORD-02143"/>
    <x v="254"/>
    <s v="Smita Patil"/>
    <x v="3"/>
    <x v="1"/>
    <n v="2856.33"/>
    <n v="24"/>
    <x v="1"/>
    <x v="18"/>
    <x v="797"/>
    <x v="2"/>
    <x v="0"/>
    <x v="1"/>
  </r>
  <r>
    <s v="ORD-02146"/>
    <x v="538"/>
    <s v="Deepa Pillai"/>
    <x v="3"/>
    <x v="1"/>
    <n v="3395.34"/>
    <n v="27"/>
    <x v="1"/>
    <x v="7"/>
    <x v="798"/>
    <x v="2"/>
    <x v="0"/>
    <x v="1"/>
  </r>
  <r>
    <s v="ORD-02001"/>
    <x v="539"/>
    <s v="Vikram Singh"/>
    <x v="2"/>
    <x v="2"/>
    <n v="7785.62"/>
    <n v="1"/>
    <x v="1"/>
    <x v="7"/>
    <x v="799"/>
    <x v="0"/>
    <x v="0"/>
    <x v="1"/>
  </r>
  <r>
    <s v="ORD-02425"/>
    <x v="236"/>
    <s v="Neha Tiwari"/>
    <x v="3"/>
    <x v="2"/>
    <n v="0"/>
    <n v="1"/>
    <x v="2"/>
    <x v="16"/>
    <x v="0"/>
    <x v="0"/>
    <x v="0"/>
    <x v="1"/>
  </r>
  <r>
    <s v="ORD-01112"/>
    <x v="308"/>
    <s v="Vikram Singh"/>
    <x v="2"/>
    <x v="1"/>
    <n v="0"/>
    <n v="21"/>
    <x v="0"/>
    <x v="20"/>
    <x v="0"/>
    <x v="2"/>
    <x v="0"/>
    <x v="1"/>
  </r>
  <r>
    <s v="ORD-01277"/>
    <x v="26"/>
    <s v="Kavya Nair"/>
    <x v="1"/>
    <x v="1"/>
    <n v="2530.1"/>
    <n v="17"/>
    <x v="1"/>
    <x v="18"/>
    <x v="800"/>
    <x v="2"/>
    <x v="0"/>
    <x v="1"/>
  </r>
  <r>
    <s v="ORD-01200"/>
    <x v="540"/>
    <s v="Ananya Sharma"/>
    <x v="1"/>
    <x v="2"/>
    <n v="25831.39"/>
    <n v="4"/>
    <x v="1"/>
    <x v="6"/>
    <x v="801"/>
    <x v="0"/>
    <x v="0"/>
    <x v="1"/>
  </r>
  <r>
    <s v="ORD-02422"/>
    <x v="499"/>
    <s v="Ananya Sharma"/>
    <x v="1"/>
    <x v="1"/>
    <n v="1436.24"/>
    <n v="27"/>
    <x v="1"/>
    <x v="7"/>
    <x v="802"/>
    <x v="2"/>
    <x v="0"/>
    <x v="1"/>
  </r>
  <r>
    <s v="ORD-01663"/>
    <x v="294"/>
    <s v="Varun Naik"/>
    <x v="1"/>
    <x v="1"/>
    <n v="1089.6600000000001"/>
    <n v="3"/>
    <x v="1"/>
    <x v="23"/>
    <x v="803"/>
    <x v="0"/>
    <x v="0"/>
    <x v="1"/>
  </r>
  <r>
    <s v="ORD-01381"/>
    <x v="335"/>
    <s v="Ajay Rastogi"/>
    <x v="1"/>
    <x v="2"/>
    <n v="41647.839999999997"/>
    <n v="3"/>
    <x v="1"/>
    <x v="2"/>
    <x v="804"/>
    <x v="0"/>
    <x v="1"/>
    <x v="0"/>
  </r>
  <r>
    <s v="ORD-01823"/>
    <x v="455"/>
    <s v="Pooja Iyer"/>
    <x v="1"/>
    <x v="0"/>
    <n v="10199.540000000001"/>
    <n v="8"/>
    <x v="1"/>
    <x v="8"/>
    <x v="805"/>
    <x v="1"/>
    <x v="0"/>
    <x v="0"/>
  </r>
  <r>
    <s v="ORD-01056"/>
    <x v="272"/>
    <s v="Sunita Menon"/>
    <x v="3"/>
    <x v="1"/>
    <n v="583.21"/>
    <n v="30"/>
    <x v="1"/>
    <x v="9"/>
    <x v="806"/>
    <x v="2"/>
    <x v="0"/>
    <x v="0"/>
  </r>
  <r>
    <s v="ORD-01169"/>
    <x v="176"/>
    <s v="Meena Krishnan"/>
    <x v="1"/>
    <x v="0"/>
    <n v="6823.97"/>
    <n v="5"/>
    <x v="1"/>
    <x v="3"/>
    <x v="684"/>
    <x v="0"/>
    <x v="0"/>
    <x v="0"/>
  </r>
  <r>
    <s v="ORD-02340"/>
    <x v="77"/>
    <s v="Kiran Nambiar"/>
    <x v="2"/>
    <x v="1"/>
    <n v="1491.02"/>
    <n v="15"/>
    <x v="1"/>
    <x v="13"/>
    <x v="807"/>
    <x v="1"/>
    <x v="0"/>
    <x v="1"/>
  </r>
  <r>
    <s v="ORD-02204"/>
    <x v="329"/>
    <s v="Sunita Menon"/>
    <x v="3"/>
    <x v="2"/>
    <n v="22669.66"/>
    <n v="3"/>
    <x v="1"/>
    <x v="17"/>
    <x v="808"/>
    <x v="0"/>
    <x v="0"/>
    <x v="1"/>
  </r>
  <r>
    <s v="ORD-02201"/>
    <x v="249"/>
    <s v="Nidhi Bhatt"/>
    <x v="0"/>
    <x v="1"/>
    <n v="3496.64"/>
    <n v="2"/>
    <x v="1"/>
    <x v="15"/>
    <x v="809"/>
    <x v="0"/>
    <x v="0"/>
    <x v="1"/>
  </r>
  <r>
    <s v="ORD-01658"/>
    <x v="359"/>
    <s v="Kiran Nambiar"/>
    <x v="2"/>
    <x v="2"/>
    <n v="24568.74"/>
    <n v="4"/>
    <x v="1"/>
    <x v="2"/>
    <x v="810"/>
    <x v="0"/>
    <x v="0"/>
    <x v="1"/>
  </r>
  <r>
    <s v="ORD-01669"/>
    <x v="127"/>
    <s v="Riya Malhotra"/>
    <x v="3"/>
    <x v="0"/>
    <n v="0"/>
    <n v="3"/>
    <x v="2"/>
    <x v="13"/>
    <x v="0"/>
    <x v="0"/>
    <x v="0"/>
    <x v="0"/>
  </r>
  <r>
    <s v="ORD-01321"/>
    <x v="541"/>
    <s v="Manish Srivastava"/>
    <x v="3"/>
    <x v="2"/>
    <n v="34211.269999999997"/>
    <n v="3"/>
    <x v="1"/>
    <x v="16"/>
    <x v="811"/>
    <x v="0"/>
    <x v="1"/>
    <x v="1"/>
  </r>
  <r>
    <s v="ORD-01489"/>
    <x v="312"/>
    <s v="Meena Krishnan"/>
    <x v="1"/>
    <x v="0"/>
    <n v="12702.84"/>
    <n v="6"/>
    <x v="1"/>
    <x v="1"/>
    <x v="812"/>
    <x v="1"/>
    <x v="0"/>
    <x v="1"/>
  </r>
  <r>
    <s v="ORD-01480"/>
    <x v="418"/>
    <s v="Lakshmi Venkat"/>
    <x v="1"/>
    <x v="0"/>
    <n v="441.05"/>
    <n v="4"/>
    <x v="1"/>
    <x v="11"/>
    <x v="813"/>
    <x v="0"/>
    <x v="0"/>
    <x v="1"/>
  </r>
  <r>
    <s v="ORD-01710"/>
    <x v="350"/>
    <s v="Lakshmi Venkat"/>
    <x v="1"/>
    <x v="2"/>
    <n v="7641.21"/>
    <n v="5"/>
    <x v="1"/>
    <x v="8"/>
    <x v="814"/>
    <x v="0"/>
    <x v="0"/>
    <x v="1"/>
  </r>
  <r>
    <s v="ORD-02281"/>
    <x v="160"/>
    <s v="Smita Patil"/>
    <x v="3"/>
    <x v="1"/>
    <n v="0"/>
    <n v="26"/>
    <x v="2"/>
    <x v="1"/>
    <x v="0"/>
    <x v="2"/>
    <x v="0"/>
    <x v="0"/>
  </r>
  <r>
    <s v="ORD-01080"/>
    <x v="279"/>
    <s v="Suresh Rao"/>
    <x v="2"/>
    <x v="0"/>
    <n v="16106.57"/>
    <n v="2"/>
    <x v="1"/>
    <x v="1"/>
    <x v="815"/>
    <x v="0"/>
    <x v="0"/>
    <x v="1"/>
  </r>
  <r>
    <s v="ORD-01862"/>
    <x v="523"/>
    <s v="Amit Kumar"/>
    <x v="0"/>
    <x v="1"/>
    <n v="1608.36"/>
    <n v="24"/>
    <x v="1"/>
    <x v="19"/>
    <x v="816"/>
    <x v="2"/>
    <x v="0"/>
    <x v="1"/>
  </r>
  <r>
    <s v="ORD-01620"/>
    <x v="542"/>
    <s v="Sarita Bansal"/>
    <x v="2"/>
    <x v="1"/>
    <n v="0"/>
    <n v="21"/>
    <x v="2"/>
    <x v="22"/>
    <x v="0"/>
    <x v="2"/>
    <x v="0"/>
    <x v="1"/>
  </r>
  <r>
    <s v="ORD-02273"/>
    <x v="71"/>
    <s v="Nikhil Desai"/>
    <x v="0"/>
    <x v="2"/>
    <n v="0"/>
    <n v="3"/>
    <x v="2"/>
    <x v="9"/>
    <x v="0"/>
    <x v="0"/>
    <x v="0"/>
    <x v="1"/>
  </r>
  <r>
    <s v="ORD-02000"/>
    <x v="355"/>
    <s v="Tara Saxena"/>
    <x v="3"/>
    <x v="0"/>
    <n v="6217.01"/>
    <n v="8"/>
    <x v="1"/>
    <x v="23"/>
    <x v="817"/>
    <x v="1"/>
    <x v="0"/>
    <x v="1"/>
  </r>
  <r>
    <s v="ORD-01764"/>
    <x v="331"/>
    <s v="Kiran Nambiar"/>
    <x v="2"/>
    <x v="1"/>
    <n v="1891.56"/>
    <n v="30"/>
    <x v="1"/>
    <x v="9"/>
    <x v="818"/>
    <x v="2"/>
    <x v="0"/>
    <x v="1"/>
  </r>
  <r>
    <s v="ORD-02394"/>
    <x v="358"/>
    <s v="Rajesh Choudhury"/>
    <x v="0"/>
    <x v="0"/>
    <n v="0"/>
    <n v="7"/>
    <x v="0"/>
    <x v="23"/>
    <x v="0"/>
    <x v="1"/>
    <x v="0"/>
    <x v="1"/>
  </r>
  <r>
    <s v="ORD-01189"/>
    <x v="543"/>
    <s v="Padma Subramaniam"/>
    <x v="2"/>
    <x v="0"/>
    <n v="17904.91"/>
    <n v="5"/>
    <x v="1"/>
    <x v="0"/>
    <x v="819"/>
    <x v="0"/>
    <x v="0"/>
    <x v="1"/>
  </r>
  <r>
    <s v="ORD-01402"/>
    <x v="148"/>
    <s v="Lakshmi Venkat"/>
    <x v="1"/>
    <x v="0"/>
    <n v="6760.78"/>
    <n v="4"/>
    <x v="1"/>
    <x v="14"/>
    <x v="820"/>
    <x v="0"/>
    <x v="0"/>
    <x v="1"/>
  </r>
  <r>
    <s v="ORD-01051"/>
    <x v="76"/>
    <s v="Kiran Nambiar"/>
    <x v="2"/>
    <x v="2"/>
    <n v="956.72"/>
    <n v="2"/>
    <x v="1"/>
    <x v="17"/>
    <x v="63"/>
    <x v="0"/>
    <x v="0"/>
    <x v="1"/>
  </r>
  <r>
    <s v="ORD-01058"/>
    <x v="519"/>
    <s v="Suresh Rao"/>
    <x v="2"/>
    <x v="1"/>
    <n v="422.93"/>
    <n v="28"/>
    <x v="1"/>
    <x v="4"/>
    <x v="821"/>
    <x v="2"/>
    <x v="0"/>
    <x v="0"/>
  </r>
  <r>
    <s v="ORD-01634"/>
    <x v="242"/>
    <s v="Aakash Bhat"/>
    <x v="0"/>
    <x v="1"/>
    <n v="2514.63"/>
    <n v="22"/>
    <x v="1"/>
    <x v="9"/>
    <x v="822"/>
    <x v="2"/>
    <x v="0"/>
    <x v="0"/>
  </r>
  <r>
    <s v="ORD-01411"/>
    <x v="350"/>
    <s v="Ajay Rastogi"/>
    <x v="1"/>
    <x v="0"/>
    <n v="7223.07"/>
    <n v="3"/>
    <x v="1"/>
    <x v="8"/>
    <x v="823"/>
    <x v="0"/>
    <x v="0"/>
    <x v="1"/>
  </r>
  <r>
    <s v="ORD-01217"/>
    <x v="143"/>
    <s v="Sanjay Joshi"/>
    <x v="2"/>
    <x v="1"/>
    <n v="1754.7"/>
    <n v="25"/>
    <x v="1"/>
    <x v="18"/>
    <x v="824"/>
    <x v="2"/>
    <x v="0"/>
    <x v="0"/>
  </r>
  <r>
    <s v="ORD-01761"/>
    <x v="334"/>
    <s v="Pooja Iyer"/>
    <x v="1"/>
    <x v="2"/>
    <n v="2062.85"/>
    <n v="3"/>
    <x v="1"/>
    <x v="21"/>
    <x v="825"/>
    <x v="0"/>
    <x v="0"/>
    <x v="1"/>
  </r>
  <r>
    <s v="ORD-01129"/>
    <x v="544"/>
    <s v="Nikhil Desai"/>
    <x v="0"/>
    <x v="2"/>
    <n v="21596.14"/>
    <n v="4"/>
    <x v="1"/>
    <x v="3"/>
    <x v="826"/>
    <x v="0"/>
    <x v="0"/>
    <x v="0"/>
  </r>
  <r>
    <s v="ORD-01974"/>
    <x v="232"/>
    <s v="Ananya Sharma"/>
    <x v="1"/>
    <x v="1"/>
    <n v="2872.02"/>
    <n v="16"/>
    <x v="1"/>
    <x v="2"/>
    <x v="827"/>
    <x v="2"/>
    <x v="0"/>
    <x v="0"/>
  </r>
  <r>
    <s v="ORD-02002"/>
    <x v="364"/>
    <s v="Rahul Verma"/>
    <x v="0"/>
    <x v="1"/>
    <n v="1584.63"/>
    <n v="19"/>
    <x v="1"/>
    <x v="19"/>
    <x v="828"/>
    <x v="2"/>
    <x v="0"/>
    <x v="1"/>
  </r>
  <r>
    <s v="ORD-02241"/>
    <x v="447"/>
    <s v="Deepa Pillai"/>
    <x v="3"/>
    <x v="2"/>
    <n v="22226.59"/>
    <n v="4"/>
    <x v="1"/>
    <x v="10"/>
    <x v="829"/>
    <x v="0"/>
    <x v="0"/>
    <x v="0"/>
  </r>
  <r>
    <s v="ORD-01535"/>
    <x v="319"/>
    <s v="Rohan Mehta"/>
    <x v="0"/>
    <x v="1"/>
    <n v="1056.75"/>
    <n v="3"/>
    <x v="1"/>
    <x v="7"/>
    <x v="830"/>
    <x v="0"/>
    <x v="0"/>
    <x v="1"/>
  </r>
  <r>
    <s v="ORD-01095"/>
    <x v="489"/>
    <s v="Kavya Nair"/>
    <x v="1"/>
    <x v="1"/>
    <n v="0"/>
    <n v="23"/>
    <x v="0"/>
    <x v="13"/>
    <x v="0"/>
    <x v="2"/>
    <x v="0"/>
    <x v="0"/>
  </r>
  <r>
    <s v="ORD-01997"/>
    <x v="380"/>
    <s v="Sneha Gupta"/>
    <x v="3"/>
    <x v="1"/>
    <n v="0"/>
    <n v="15"/>
    <x v="0"/>
    <x v="19"/>
    <x v="0"/>
    <x v="1"/>
    <x v="0"/>
    <x v="1"/>
  </r>
  <r>
    <s v="ORD-01279"/>
    <x v="523"/>
    <s v="Smita Patil"/>
    <x v="3"/>
    <x v="1"/>
    <n v="0"/>
    <n v="6"/>
    <x v="0"/>
    <x v="19"/>
    <x v="0"/>
    <x v="1"/>
    <x v="0"/>
    <x v="1"/>
  </r>
  <r>
    <s v="ORD-01322"/>
    <x v="279"/>
    <s v="Vikram Singh"/>
    <x v="2"/>
    <x v="2"/>
    <n v="29631.599999999999"/>
    <n v="2"/>
    <x v="1"/>
    <x v="1"/>
    <x v="831"/>
    <x v="0"/>
    <x v="1"/>
    <x v="1"/>
  </r>
  <r>
    <s v="ORD-02030"/>
    <x v="545"/>
    <s v="Deepa Pillai"/>
    <x v="3"/>
    <x v="1"/>
    <n v="560.44000000000005"/>
    <n v="5"/>
    <x v="1"/>
    <x v="7"/>
    <x v="832"/>
    <x v="0"/>
    <x v="0"/>
    <x v="0"/>
  </r>
  <r>
    <s v="ORD-01466"/>
    <x v="100"/>
    <s v="Rajesh Choudhury"/>
    <x v="0"/>
    <x v="1"/>
    <n v="1904.91"/>
    <n v="5"/>
    <x v="1"/>
    <x v="8"/>
    <x v="833"/>
    <x v="0"/>
    <x v="0"/>
    <x v="1"/>
  </r>
  <r>
    <s v="ORD-01627"/>
    <x v="536"/>
    <s v="Sneha Gupta"/>
    <x v="3"/>
    <x v="2"/>
    <n v="41756.89"/>
    <n v="5"/>
    <x v="1"/>
    <x v="6"/>
    <x v="834"/>
    <x v="0"/>
    <x v="1"/>
    <x v="1"/>
  </r>
  <r>
    <s v="ORD-01529"/>
    <x v="422"/>
    <s v="Kavya Nair"/>
    <x v="1"/>
    <x v="2"/>
    <n v="15737.42"/>
    <n v="5"/>
    <x v="1"/>
    <x v="12"/>
    <x v="835"/>
    <x v="0"/>
    <x v="0"/>
    <x v="1"/>
  </r>
  <r>
    <s v="ORD-01931"/>
    <x v="546"/>
    <s v="Dev Mathur"/>
    <x v="3"/>
    <x v="2"/>
    <n v="21789.32"/>
    <n v="2"/>
    <x v="1"/>
    <x v="10"/>
    <x v="836"/>
    <x v="0"/>
    <x v="0"/>
    <x v="1"/>
  </r>
  <r>
    <s v="ORD-01868"/>
    <x v="228"/>
    <s v="Divya Kaur"/>
    <x v="0"/>
    <x v="0"/>
    <n v="10309.200000000001"/>
    <n v="3"/>
    <x v="1"/>
    <x v="9"/>
    <x v="837"/>
    <x v="0"/>
    <x v="0"/>
    <x v="1"/>
  </r>
  <r>
    <s v="ORD-01812"/>
    <x v="124"/>
    <s v="Nikhil Desai"/>
    <x v="0"/>
    <x v="1"/>
    <n v="1969.31"/>
    <n v="30"/>
    <x v="1"/>
    <x v="8"/>
    <x v="838"/>
    <x v="2"/>
    <x v="0"/>
    <x v="0"/>
  </r>
  <r>
    <s v="ORD-01023"/>
    <x v="258"/>
    <s v="Ananya Sharma"/>
    <x v="1"/>
    <x v="0"/>
    <n v="644.74"/>
    <n v="6"/>
    <x v="1"/>
    <x v="19"/>
    <x v="839"/>
    <x v="1"/>
    <x v="0"/>
    <x v="1"/>
  </r>
  <r>
    <s v="ORD-01329"/>
    <x v="343"/>
    <s v="Sanjay Joshi"/>
    <x v="2"/>
    <x v="0"/>
    <n v="6027.75"/>
    <n v="4"/>
    <x v="1"/>
    <x v="7"/>
    <x v="840"/>
    <x v="0"/>
    <x v="0"/>
    <x v="0"/>
  </r>
  <r>
    <s v="ORD-02031"/>
    <x v="547"/>
    <s v="Rohan Mehta"/>
    <x v="0"/>
    <x v="1"/>
    <n v="1917.95"/>
    <n v="5"/>
    <x v="1"/>
    <x v="19"/>
    <x v="841"/>
    <x v="0"/>
    <x v="0"/>
    <x v="1"/>
  </r>
  <r>
    <s v="ORD-01356"/>
    <x v="548"/>
    <s v="Vivek Chopra"/>
    <x v="2"/>
    <x v="2"/>
    <n v="36415.31"/>
    <n v="1"/>
    <x v="1"/>
    <x v="2"/>
    <x v="842"/>
    <x v="0"/>
    <x v="1"/>
    <x v="0"/>
  </r>
  <r>
    <s v="ORD-01066"/>
    <x v="64"/>
    <s v="Rahul Verma"/>
    <x v="2"/>
    <x v="0"/>
    <n v="9276.07"/>
    <n v="7"/>
    <x v="1"/>
    <x v="11"/>
    <x v="843"/>
    <x v="1"/>
    <x v="0"/>
    <x v="0"/>
  </r>
  <r>
    <s v="ORD-02083"/>
    <x v="515"/>
    <s v="Kiran Nambiar"/>
    <x v="2"/>
    <x v="2"/>
    <n v="18814.95"/>
    <n v="3"/>
    <x v="1"/>
    <x v="23"/>
    <x v="844"/>
    <x v="0"/>
    <x v="0"/>
    <x v="1"/>
  </r>
  <r>
    <s v="ORD-01320"/>
    <x v="449"/>
    <s v="Sneha Gupta"/>
    <x v="3"/>
    <x v="2"/>
    <n v="1029.02"/>
    <n v="5"/>
    <x v="1"/>
    <x v="5"/>
    <x v="845"/>
    <x v="0"/>
    <x v="0"/>
    <x v="0"/>
  </r>
  <r>
    <s v="ORD-01228"/>
    <x v="549"/>
    <s v="Sneha Gupta"/>
    <x v="3"/>
    <x v="0"/>
    <n v="5329.4"/>
    <n v="3"/>
    <x v="1"/>
    <x v="6"/>
    <x v="846"/>
    <x v="0"/>
    <x v="0"/>
    <x v="1"/>
  </r>
  <r>
    <s v="ORD-02142"/>
    <x v="399"/>
    <s v="Gaurav Mishra"/>
    <x v="0"/>
    <x v="2"/>
    <n v="37238.519999999997"/>
    <n v="3"/>
    <x v="1"/>
    <x v="16"/>
    <x v="847"/>
    <x v="0"/>
    <x v="1"/>
    <x v="1"/>
  </r>
  <r>
    <s v="ORD-02405"/>
    <x v="459"/>
    <s v="Amit Kumar"/>
    <x v="0"/>
    <x v="1"/>
    <n v="2045.28"/>
    <n v="22"/>
    <x v="1"/>
    <x v="4"/>
    <x v="848"/>
    <x v="2"/>
    <x v="0"/>
    <x v="1"/>
  </r>
  <r>
    <s v="ORD-02391"/>
    <x v="550"/>
    <s v="Aakash Bhat"/>
    <x v="0"/>
    <x v="2"/>
    <n v="19639.8"/>
    <n v="4"/>
    <x v="1"/>
    <x v="9"/>
    <x v="849"/>
    <x v="0"/>
    <x v="0"/>
    <x v="1"/>
  </r>
  <r>
    <s v="ORD-01691"/>
    <x v="152"/>
    <s v="Varun Naik"/>
    <x v="1"/>
    <x v="0"/>
    <n v="3231.22"/>
    <n v="2"/>
    <x v="1"/>
    <x v="3"/>
    <x v="850"/>
    <x v="0"/>
    <x v="0"/>
    <x v="0"/>
  </r>
  <r>
    <s v="ORD-01843"/>
    <x v="547"/>
    <s v="Sarita Bansal"/>
    <x v="2"/>
    <x v="1"/>
    <n v="834.63"/>
    <n v="8"/>
    <x v="1"/>
    <x v="19"/>
    <x v="851"/>
    <x v="1"/>
    <x v="0"/>
    <x v="1"/>
  </r>
  <r>
    <s v="ORD-02179"/>
    <x v="407"/>
    <s v="Rajesh Choudhury"/>
    <x v="0"/>
    <x v="1"/>
    <n v="581.76"/>
    <n v="10"/>
    <x v="1"/>
    <x v="16"/>
    <x v="852"/>
    <x v="1"/>
    <x v="0"/>
    <x v="1"/>
  </r>
  <r>
    <s v="ORD-01614"/>
    <x v="461"/>
    <s v="Divya Kaur"/>
    <x v="1"/>
    <x v="1"/>
    <n v="3127.61"/>
    <n v="20"/>
    <x v="1"/>
    <x v="4"/>
    <x v="853"/>
    <x v="2"/>
    <x v="0"/>
    <x v="0"/>
  </r>
  <r>
    <s v="ORD-01287"/>
    <x v="396"/>
    <s v="Tara Saxena"/>
    <x v="3"/>
    <x v="0"/>
    <n v="8848.1200000000008"/>
    <n v="7"/>
    <x v="1"/>
    <x v="9"/>
    <x v="854"/>
    <x v="1"/>
    <x v="0"/>
    <x v="1"/>
  </r>
  <r>
    <s v="ORD-01963"/>
    <x v="551"/>
    <s v="Pooja Iyer"/>
    <x v="1"/>
    <x v="1"/>
    <n v="2002.94"/>
    <n v="6"/>
    <x v="1"/>
    <x v="22"/>
    <x v="855"/>
    <x v="1"/>
    <x v="0"/>
    <x v="1"/>
  </r>
  <r>
    <s v="ORD-01374"/>
    <x v="128"/>
    <s v="Rohan Mehta"/>
    <x v="0"/>
    <x v="1"/>
    <n v="2375.41"/>
    <n v="26"/>
    <x v="1"/>
    <x v="1"/>
    <x v="856"/>
    <x v="2"/>
    <x v="0"/>
    <x v="0"/>
  </r>
  <r>
    <s v="ORD-01307"/>
    <x v="552"/>
    <s v="Nidhi Bhatt"/>
    <x v="0"/>
    <x v="1"/>
    <n v="0"/>
    <n v="20"/>
    <x v="0"/>
    <x v="20"/>
    <x v="0"/>
    <x v="2"/>
    <x v="0"/>
    <x v="1"/>
  </r>
  <r>
    <s v="ORD-01853"/>
    <x v="123"/>
    <s v="Harsh Shah"/>
    <x v="2"/>
    <x v="0"/>
    <n v="8998.59"/>
    <n v="3"/>
    <x v="1"/>
    <x v="8"/>
    <x v="857"/>
    <x v="0"/>
    <x v="0"/>
    <x v="1"/>
  </r>
  <r>
    <s v="ORD-01026"/>
    <x v="52"/>
    <s v="Padma Subramaniam"/>
    <x v="2"/>
    <x v="1"/>
    <n v="3059.89"/>
    <n v="14"/>
    <x v="1"/>
    <x v="15"/>
    <x v="858"/>
    <x v="1"/>
    <x v="0"/>
    <x v="1"/>
  </r>
  <r>
    <s v="ORD-01158"/>
    <x v="553"/>
    <s v="Bhavna Dubey"/>
    <x v="0"/>
    <x v="2"/>
    <n v="44972.31"/>
    <n v="4"/>
    <x v="1"/>
    <x v="14"/>
    <x v="859"/>
    <x v="0"/>
    <x v="1"/>
    <x v="1"/>
  </r>
  <r>
    <s v="ORD-01502"/>
    <x v="45"/>
    <s v="Yash Agarwal"/>
    <x v="1"/>
    <x v="2"/>
    <n v="27943.51"/>
    <n v="5"/>
    <x v="1"/>
    <x v="1"/>
    <x v="860"/>
    <x v="0"/>
    <x v="1"/>
    <x v="0"/>
  </r>
  <r>
    <s v="ORD-01162"/>
    <x v="62"/>
    <s v="Riya Malhotra"/>
    <x v="3"/>
    <x v="1"/>
    <n v="0"/>
    <n v="25"/>
    <x v="2"/>
    <x v="6"/>
    <x v="0"/>
    <x v="2"/>
    <x v="0"/>
    <x v="1"/>
  </r>
  <r>
    <s v="ORD-01290"/>
    <x v="193"/>
    <s v="Rajesh Choudhury"/>
    <x v="0"/>
    <x v="0"/>
    <n v="9415.15"/>
    <n v="2"/>
    <x v="1"/>
    <x v="6"/>
    <x v="861"/>
    <x v="0"/>
    <x v="0"/>
    <x v="1"/>
  </r>
  <r>
    <s v="ORD-01749"/>
    <x v="554"/>
    <s v="Meena Krishnan"/>
    <x v="1"/>
    <x v="1"/>
    <n v="1973.35"/>
    <n v="26"/>
    <x v="1"/>
    <x v="6"/>
    <x v="862"/>
    <x v="2"/>
    <x v="0"/>
    <x v="0"/>
  </r>
  <r>
    <s v="ORD-02132"/>
    <x v="287"/>
    <s v="Gaurav Mishra"/>
    <x v="0"/>
    <x v="1"/>
    <n v="0"/>
    <n v="24"/>
    <x v="0"/>
    <x v="11"/>
    <x v="0"/>
    <x v="2"/>
    <x v="0"/>
    <x v="1"/>
  </r>
  <r>
    <s v="ORD-01062"/>
    <x v="116"/>
    <s v="Sanjay Joshi"/>
    <x v="2"/>
    <x v="0"/>
    <n v="977.15"/>
    <n v="7"/>
    <x v="1"/>
    <x v="14"/>
    <x v="863"/>
    <x v="1"/>
    <x v="0"/>
    <x v="1"/>
  </r>
  <r>
    <s v="ORD-01324"/>
    <x v="249"/>
    <s v="Sanjay Joshi"/>
    <x v="2"/>
    <x v="0"/>
    <n v="15818.35"/>
    <n v="1"/>
    <x v="1"/>
    <x v="15"/>
    <x v="864"/>
    <x v="0"/>
    <x v="0"/>
    <x v="1"/>
  </r>
  <r>
    <s v="ORD-01977"/>
    <x v="292"/>
    <s v="Neha Tiwari"/>
    <x v="1"/>
    <x v="2"/>
    <n v="43564.07"/>
    <n v="2"/>
    <x v="1"/>
    <x v="1"/>
    <x v="865"/>
    <x v="0"/>
    <x v="1"/>
    <x v="1"/>
  </r>
  <r>
    <s v="ORD-01152"/>
    <x v="206"/>
    <s v="Vivek Chopra"/>
    <x v="2"/>
    <x v="2"/>
    <n v="15137.36"/>
    <n v="1"/>
    <x v="1"/>
    <x v="12"/>
    <x v="866"/>
    <x v="0"/>
    <x v="0"/>
    <x v="1"/>
  </r>
  <r>
    <s v="ORD-02205"/>
    <x v="455"/>
    <s v="Kiran Nambiar"/>
    <x v="3"/>
    <x v="1"/>
    <n v="713.09"/>
    <n v="12"/>
    <x v="1"/>
    <x v="8"/>
    <x v="867"/>
    <x v="1"/>
    <x v="0"/>
    <x v="0"/>
  </r>
  <r>
    <s v="ORD-01111"/>
    <x v="555"/>
    <s v="Riya Malhotra"/>
    <x v="3"/>
    <x v="0"/>
    <n v="550.42999999999995"/>
    <n v="3"/>
    <x v="1"/>
    <x v="1"/>
    <x v="868"/>
    <x v="0"/>
    <x v="0"/>
    <x v="1"/>
  </r>
  <r>
    <s v="ORD-02396"/>
    <x v="556"/>
    <s v="Amit Kumar"/>
    <x v="0"/>
    <x v="2"/>
    <n v="12172.29"/>
    <n v="4"/>
    <x v="1"/>
    <x v="9"/>
    <x v="869"/>
    <x v="0"/>
    <x v="0"/>
    <x v="1"/>
  </r>
  <r>
    <s v="ORD-01870"/>
    <x v="213"/>
    <s v="Tara Saxena"/>
    <x v="3"/>
    <x v="2"/>
    <n v="40515.550000000003"/>
    <n v="2"/>
    <x v="1"/>
    <x v="5"/>
    <x v="870"/>
    <x v="0"/>
    <x v="1"/>
    <x v="1"/>
  </r>
  <r>
    <s v="ORD-01054"/>
    <x v="286"/>
    <s v="Nidhi Bhatt"/>
    <x v="0"/>
    <x v="0"/>
    <n v="2555.79"/>
    <n v="5"/>
    <x v="1"/>
    <x v="23"/>
    <x v="871"/>
    <x v="0"/>
    <x v="0"/>
    <x v="0"/>
  </r>
  <r>
    <s v="ORD-02218"/>
    <x v="340"/>
    <s v="Harsh Shah"/>
    <x v="2"/>
    <x v="2"/>
    <n v="6235.87"/>
    <n v="2"/>
    <x v="1"/>
    <x v="12"/>
    <x v="872"/>
    <x v="0"/>
    <x v="0"/>
    <x v="1"/>
  </r>
  <r>
    <s v="ORD-02229"/>
    <x v="524"/>
    <s v="Priya Patel"/>
    <x v="3"/>
    <x v="0"/>
    <n v="13134.25"/>
    <n v="3"/>
    <x v="1"/>
    <x v="18"/>
    <x v="873"/>
    <x v="0"/>
    <x v="0"/>
    <x v="1"/>
  </r>
  <r>
    <s v="ORD-02356"/>
    <x v="131"/>
    <s v="Priya Patel"/>
    <x v="3"/>
    <x v="0"/>
    <n v="11739.49"/>
    <n v="8"/>
    <x v="1"/>
    <x v="0"/>
    <x v="874"/>
    <x v="1"/>
    <x v="0"/>
    <x v="1"/>
  </r>
  <r>
    <s v="ORD-01283"/>
    <x v="162"/>
    <s v="Dev Mathur"/>
    <x v="3"/>
    <x v="1"/>
    <n v="631.79"/>
    <n v="19"/>
    <x v="1"/>
    <x v="22"/>
    <x v="875"/>
    <x v="2"/>
    <x v="0"/>
    <x v="0"/>
  </r>
  <r>
    <s v="ORD-02190"/>
    <x v="557"/>
    <s v="Lakshmi Venkat"/>
    <x v="1"/>
    <x v="0"/>
    <n v="13705.17"/>
    <n v="8"/>
    <x v="1"/>
    <x v="11"/>
    <x v="876"/>
    <x v="1"/>
    <x v="0"/>
    <x v="1"/>
  </r>
  <r>
    <s v="ORD-02161"/>
    <x v="526"/>
    <s v="Priya Patel"/>
    <x v="3"/>
    <x v="0"/>
    <n v="3306.64"/>
    <n v="8"/>
    <x v="1"/>
    <x v="9"/>
    <x v="877"/>
    <x v="1"/>
    <x v="0"/>
    <x v="1"/>
  </r>
  <r>
    <s v="ORD-01432"/>
    <x v="558"/>
    <s v="Rahul Verma"/>
    <x v="2"/>
    <x v="0"/>
    <n v="14019.5"/>
    <n v="6"/>
    <x v="1"/>
    <x v="19"/>
    <x v="878"/>
    <x v="1"/>
    <x v="0"/>
    <x v="1"/>
  </r>
  <r>
    <s v="ORD-01497"/>
    <x v="469"/>
    <s v="Vikram Singh"/>
    <x v="2"/>
    <x v="2"/>
    <n v="6577.61"/>
    <n v="4"/>
    <x v="1"/>
    <x v="3"/>
    <x v="879"/>
    <x v="0"/>
    <x v="0"/>
    <x v="1"/>
  </r>
  <r>
    <s v="ORD-01863"/>
    <x v="503"/>
    <s v="Sanjay Joshi"/>
    <x v="2"/>
    <x v="1"/>
    <n v="1935.1"/>
    <n v="13"/>
    <x v="1"/>
    <x v="7"/>
    <x v="880"/>
    <x v="1"/>
    <x v="0"/>
    <x v="1"/>
  </r>
  <r>
    <s v="ORD-01296"/>
    <x v="261"/>
    <s v="Manish Srivastava"/>
    <x v="3"/>
    <x v="2"/>
    <n v="38245.019999999997"/>
    <n v="4"/>
    <x v="1"/>
    <x v="17"/>
    <x v="881"/>
    <x v="0"/>
    <x v="1"/>
    <x v="1"/>
  </r>
  <r>
    <s v="ORD-01943"/>
    <x v="559"/>
    <s v="Gaurav Mishra"/>
    <x v="0"/>
    <x v="0"/>
    <n v="0"/>
    <n v="1"/>
    <x v="2"/>
    <x v="0"/>
    <x v="0"/>
    <x v="0"/>
    <x v="0"/>
    <x v="0"/>
  </r>
  <r>
    <s v="ORD-02279"/>
    <x v="428"/>
    <s v="Tarun Mukerjee"/>
    <x v="3"/>
    <x v="2"/>
    <n v="37890.239999999998"/>
    <n v="1"/>
    <x v="1"/>
    <x v="23"/>
    <x v="882"/>
    <x v="0"/>
    <x v="1"/>
    <x v="0"/>
  </r>
  <r>
    <s v="ORD-02200"/>
    <x v="421"/>
    <s v="Vikram Singh"/>
    <x v="2"/>
    <x v="2"/>
    <n v="28664.12"/>
    <n v="4"/>
    <x v="1"/>
    <x v="16"/>
    <x v="883"/>
    <x v="0"/>
    <x v="1"/>
    <x v="1"/>
  </r>
  <r>
    <s v="ORD-01740"/>
    <x v="560"/>
    <s v="Bhavna Dubey"/>
    <x v="0"/>
    <x v="2"/>
    <n v="1322.44"/>
    <n v="2"/>
    <x v="1"/>
    <x v="19"/>
    <x v="884"/>
    <x v="0"/>
    <x v="0"/>
    <x v="1"/>
  </r>
  <r>
    <s v="ORD-01716"/>
    <x v="409"/>
    <s v="Ananya Sharma"/>
    <x v="1"/>
    <x v="2"/>
    <n v="21647.75"/>
    <n v="5"/>
    <x v="1"/>
    <x v="16"/>
    <x v="885"/>
    <x v="0"/>
    <x v="0"/>
    <x v="0"/>
  </r>
  <r>
    <s v="ORD-01123"/>
    <x v="561"/>
    <s v="Meena Krishnan"/>
    <x v="1"/>
    <x v="1"/>
    <n v="2084.77"/>
    <n v="26"/>
    <x v="1"/>
    <x v="2"/>
    <x v="886"/>
    <x v="2"/>
    <x v="0"/>
    <x v="1"/>
  </r>
  <r>
    <s v="ORD-02162"/>
    <x v="562"/>
    <s v="Pooja Iyer"/>
    <x v="1"/>
    <x v="1"/>
    <n v="1879.96"/>
    <n v="5"/>
    <x v="1"/>
    <x v="5"/>
    <x v="887"/>
    <x v="0"/>
    <x v="0"/>
    <x v="1"/>
  </r>
  <r>
    <s v="ORD-02282"/>
    <x v="563"/>
    <s v="Riya Malhotra"/>
    <x v="3"/>
    <x v="0"/>
    <n v="0"/>
    <n v="8"/>
    <x v="2"/>
    <x v="2"/>
    <x v="0"/>
    <x v="1"/>
    <x v="0"/>
    <x v="1"/>
  </r>
  <r>
    <s v="ORD-02480"/>
    <x v="564"/>
    <s v="Tarun Mukerjee"/>
    <x v="3"/>
    <x v="2"/>
    <n v="8347.0400000000009"/>
    <n v="4"/>
    <x v="1"/>
    <x v="1"/>
    <x v="888"/>
    <x v="0"/>
    <x v="0"/>
    <x v="1"/>
  </r>
  <r>
    <s v="ORD-01743"/>
    <x v="565"/>
    <s v="Aakash Bhat"/>
    <x v="0"/>
    <x v="0"/>
    <n v="6761.88"/>
    <n v="7"/>
    <x v="1"/>
    <x v="10"/>
    <x v="889"/>
    <x v="1"/>
    <x v="0"/>
    <x v="0"/>
  </r>
  <r>
    <s v="ORD-01036"/>
    <x v="228"/>
    <s v="Sneha Gupta"/>
    <x v="1"/>
    <x v="2"/>
    <n v="41745.42"/>
    <n v="2"/>
    <x v="1"/>
    <x v="9"/>
    <x v="890"/>
    <x v="0"/>
    <x v="1"/>
    <x v="1"/>
  </r>
  <r>
    <s v="ORD-01417"/>
    <x v="142"/>
    <s v="Rajesh Choudhury"/>
    <x v="0"/>
    <x v="2"/>
    <n v="29109.17"/>
    <n v="4"/>
    <x v="1"/>
    <x v="2"/>
    <x v="891"/>
    <x v="0"/>
    <x v="1"/>
    <x v="0"/>
  </r>
  <r>
    <s v="ORD-01006"/>
    <x v="566"/>
    <s v="Divya Kaur"/>
    <x v="1"/>
    <x v="0"/>
    <n v="0"/>
    <n v="1"/>
    <x v="2"/>
    <x v="7"/>
    <x v="0"/>
    <x v="0"/>
    <x v="0"/>
    <x v="1"/>
  </r>
  <r>
    <s v="ORD-02400"/>
    <x v="404"/>
    <s v="Vivek Chopra"/>
    <x v="2"/>
    <x v="1"/>
    <n v="295.76"/>
    <n v="29"/>
    <x v="1"/>
    <x v="15"/>
    <x v="892"/>
    <x v="2"/>
    <x v="0"/>
    <x v="1"/>
  </r>
  <r>
    <s v="ORD-01482"/>
    <x v="467"/>
    <s v="Dev Mathur"/>
    <x v="3"/>
    <x v="2"/>
    <n v="7455.03"/>
    <n v="4"/>
    <x v="1"/>
    <x v="13"/>
    <x v="893"/>
    <x v="0"/>
    <x v="0"/>
    <x v="1"/>
  </r>
  <r>
    <s v="ORD-02389"/>
    <x v="547"/>
    <s v="Lakshmi Venkat"/>
    <x v="1"/>
    <x v="1"/>
    <n v="70.849999999999994"/>
    <n v="28"/>
    <x v="1"/>
    <x v="19"/>
    <x v="894"/>
    <x v="2"/>
    <x v="0"/>
    <x v="1"/>
  </r>
  <r>
    <s v="ORD-02274"/>
    <x v="567"/>
    <s v="Meena Krishnan"/>
    <x v="1"/>
    <x v="1"/>
    <n v="1611.88"/>
    <n v="8"/>
    <x v="1"/>
    <x v="6"/>
    <x v="895"/>
    <x v="1"/>
    <x v="0"/>
    <x v="0"/>
  </r>
  <r>
    <s v="ORD-02080"/>
    <x v="34"/>
    <s v="Ajay Rastogi"/>
    <x v="1"/>
    <x v="1"/>
    <n v="798.64"/>
    <n v="7"/>
    <x v="1"/>
    <x v="19"/>
    <x v="896"/>
    <x v="1"/>
    <x v="0"/>
    <x v="0"/>
  </r>
  <r>
    <s v="ORD-01864"/>
    <x v="453"/>
    <s v="Yash Agarwal"/>
    <x v="2"/>
    <x v="1"/>
    <n v="3143.33"/>
    <n v="29"/>
    <x v="1"/>
    <x v="11"/>
    <x v="897"/>
    <x v="2"/>
    <x v="0"/>
    <x v="1"/>
  </r>
  <r>
    <s v="ORD-02210"/>
    <x v="283"/>
    <s v="Geeta Pandey"/>
    <x v="2"/>
    <x v="2"/>
    <n v="25411.91"/>
    <n v="1"/>
    <x v="1"/>
    <x v="10"/>
    <x v="898"/>
    <x v="0"/>
    <x v="0"/>
    <x v="1"/>
  </r>
  <r>
    <s v="ORD-02166"/>
    <x v="502"/>
    <s v="Padma Subramaniam"/>
    <x v="2"/>
    <x v="1"/>
    <n v="2246.4499999999998"/>
    <n v="15"/>
    <x v="1"/>
    <x v="12"/>
    <x v="899"/>
    <x v="1"/>
    <x v="0"/>
    <x v="0"/>
  </r>
  <r>
    <s v="ORD-01472"/>
    <x v="568"/>
    <s v="Rahul Verma"/>
    <x v="2"/>
    <x v="2"/>
    <n v="15607.49"/>
    <n v="4"/>
    <x v="1"/>
    <x v="1"/>
    <x v="900"/>
    <x v="0"/>
    <x v="0"/>
    <x v="1"/>
  </r>
  <r>
    <s v="ORD-02099"/>
    <x v="208"/>
    <s v="Rahul Verma"/>
    <x v="2"/>
    <x v="0"/>
    <n v="15395.87"/>
    <n v="8"/>
    <x v="1"/>
    <x v="10"/>
    <x v="901"/>
    <x v="1"/>
    <x v="0"/>
    <x v="0"/>
  </r>
  <r>
    <s v="ORD-02337"/>
    <x v="569"/>
    <s v="Ananya Sharma"/>
    <x v="1"/>
    <x v="1"/>
    <n v="3463"/>
    <n v="5"/>
    <x v="1"/>
    <x v="0"/>
    <x v="902"/>
    <x v="0"/>
    <x v="0"/>
    <x v="1"/>
  </r>
  <r>
    <s v="ORD-02009"/>
    <x v="310"/>
    <s v="Riya Malhotra"/>
    <x v="3"/>
    <x v="1"/>
    <n v="590.91999999999996"/>
    <n v="26"/>
    <x v="1"/>
    <x v="6"/>
    <x v="903"/>
    <x v="2"/>
    <x v="0"/>
    <x v="1"/>
  </r>
  <r>
    <s v="ORD-02094"/>
    <x v="200"/>
    <s v="Riya Malhotra"/>
    <x v="3"/>
    <x v="2"/>
    <n v="2113.7800000000002"/>
    <n v="1"/>
    <x v="1"/>
    <x v="15"/>
    <x v="904"/>
    <x v="0"/>
    <x v="0"/>
    <x v="1"/>
  </r>
  <r>
    <s v="ORD-02104"/>
    <x v="22"/>
    <s v="Nidhi Bhatt"/>
    <x v="0"/>
    <x v="1"/>
    <n v="2383.88"/>
    <n v="25"/>
    <x v="1"/>
    <x v="15"/>
    <x v="905"/>
    <x v="2"/>
    <x v="0"/>
    <x v="1"/>
  </r>
  <r>
    <s v="ORD-02019"/>
    <x v="30"/>
    <s v="Ananya Sharma"/>
    <x v="1"/>
    <x v="2"/>
    <n v="17811.66"/>
    <n v="3"/>
    <x v="1"/>
    <x v="5"/>
    <x v="906"/>
    <x v="0"/>
    <x v="0"/>
    <x v="0"/>
  </r>
  <r>
    <s v="ORD-01858"/>
    <x v="345"/>
    <s v="Priya Patel"/>
    <x v="3"/>
    <x v="0"/>
    <n v="8387.14"/>
    <n v="1"/>
    <x v="1"/>
    <x v="17"/>
    <x v="907"/>
    <x v="0"/>
    <x v="0"/>
    <x v="1"/>
  </r>
  <r>
    <s v="ORD-01785"/>
    <x v="570"/>
    <s v="Amit Kumar"/>
    <x v="0"/>
    <x v="2"/>
    <n v="11793.52"/>
    <n v="4"/>
    <x v="1"/>
    <x v="22"/>
    <x v="908"/>
    <x v="0"/>
    <x v="0"/>
    <x v="1"/>
  </r>
  <r>
    <s v="ORD-01504"/>
    <x v="571"/>
    <s v="Pooja Iyer"/>
    <x v="1"/>
    <x v="1"/>
    <n v="3102.05"/>
    <n v="17"/>
    <x v="1"/>
    <x v="23"/>
    <x v="909"/>
    <x v="2"/>
    <x v="0"/>
    <x v="0"/>
  </r>
  <r>
    <s v="ORD-01284"/>
    <x v="439"/>
    <s v="Sarita Bansal"/>
    <x v="2"/>
    <x v="1"/>
    <n v="1214.79"/>
    <n v="30"/>
    <x v="1"/>
    <x v="12"/>
    <x v="910"/>
    <x v="2"/>
    <x v="0"/>
    <x v="0"/>
  </r>
  <r>
    <s v="ORD-01683"/>
    <x v="60"/>
    <s v="Suresh Rao"/>
    <x v="2"/>
    <x v="1"/>
    <n v="2410.36"/>
    <n v="25"/>
    <x v="1"/>
    <x v="3"/>
    <x v="911"/>
    <x v="2"/>
    <x v="0"/>
    <x v="1"/>
  </r>
  <r>
    <s v="ORD-01848"/>
    <x v="127"/>
    <s v="Lakshmi Venkat"/>
    <x v="1"/>
    <x v="2"/>
    <n v="32936.92"/>
    <n v="3"/>
    <x v="1"/>
    <x v="13"/>
    <x v="912"/>
    <x v="0"/>
    <x v="1"/>
    <x v="0"/>
  </r>
  <r>
    <s v="ORD-01986"/>
    <x v="504"/>
    <s v="Deepa Pillai"/>
    <x v="3"/>
    <x v="2"/>
    <n v="36946.769999999997"/>
    <n v="1"/>
    <x v="1"/>
    <x v="22"/>
    <x v="913"/>
    <x v="0"/>
    <x v="1"/>
    <x v="1"/>
  </r>
  <r>
    <s v="ORD-01869"/>
    <x v="572"/>
    <s v="Sanjay Joshi"/>
    <x v="2"/>
    <x v="2"/>
    <n v="0"/>
    <n v="3"/>
    <x v="2"/>
    <x v="21"/>
    <x v="0"/>
    <x v="0"/>
    <x v="0"/>
    <x v="1"/>
  </r>
  <r>
    <s v="ORD-02013"/>
    <x v="366"/>
    <s v="Nidhi Bhatt"/>
    <x v="0"/>
    <x v="1"/>
    <n v="3148.97"/>
    <n v="14"/>
    <x v="1"/>
    <x v="2"/>
    <x v="914"/>
    <x v="1"/>
    <x v="0"/>
    <x v="1"/>
  </r>
  <r>
    <s v="ORD-01654"/>
    <x v="440"/>
    <s v="Lakshmi Venkat"/>
    <x v="1"/>
    <x v="2"/>
    <n v="0"/>
    <n v="5"/>
    <x v="2"/>
    <x v="4"/>
    <x v="0"/>
    <x v="0"/>
    <x v="0"/>
    <x v="1"/>
  </r>
  <r>
    <s v="ORD-01723"/>
    <x v="181"/>
    <s v="Kavya Nair"/>
    <x v="1"/>
    <x v="1"/>
    <n v="1031.5"/>
    <n v="27"/>
    <x v="1"/>
    <x v="3"/>
    <x v="915"/>
    <x v="2"/>
    <x v="0"/>
    <x v="1"/>
  </r>
  <r>
    <s v="ORD-01789"/>
    <x v="184"/>
    <s v="Smita Patil"/>
    <x v="3"/>
    <x v="0"/>
    <n v="0"/>
    <n v="8"/>
    <x v="2"/>
    <x v="23"/>
    <x v="0"/>
    <x v="1"/>
    <x v="0"/>
    <x v="1"/>
  </r>
  <r>
    <s v="ORD-02428"/>
    <x v="117"/>
    <s v="Tarun Mukerjee"/>
    <x v="3"/>
    <x v="2"/>
    <n v="0"/>
    <n v="5"/>
    <x v="2"/>
    <x v="1"/>
    <x v="0"/>
    <x v="0"/>
    <x v="0"/>
    <x v="0"/>
  </r>
  <r>
    <s v="ORD-02366"/>
    <x v="75"/>
    <s v="Pooja Iyer"/>
    <x v="1"/>
    <x v="0"/>
    <n v="15195.66"/>
    <n v="3"/>
    <x v="1"/>
    <x v="10"/>
    <x v="916"/>
    <x v="0"/>
    <x v="0"/>
    <x v="0"/>
  </r>
  <r>
    <s v="ORD-01662"/>
    <x v="154"/>
    <s v="Kavya Nair"/>
    <x v="1"/>
    <x v="1"/>
    <n v="207.03"/>
    <n v="28"/>
    <x v="1"/>
    <x v="22"/>
    <x v="917"/>
    <x v="2"/>
    <x v="0"/>
    <x v="1"/>
  </r>
  <r>
    <s v="ORD-01186"/>
    <x v="573"/>
    <s v="Asha Kulkarni"/>
    <x v="0"/>
    <x v="1"/>
    <n v="3375.89"/>
    <n v="2"/>
    <x v="1"/>
    <x v="20"/>
    <x v="918"/>
    <x v="0"/>
    <x v="0"/>
    <x v="1"/>
  </r>
  <r>
    <s v="ORD-01297"/>
    <x v="574"/>
    <s v="Harsh Shah"/>
    <x v="2"/>
    <x v="0"/>
    <n v="1100.79"/>
    <n v="1"/>
    <x v="1"/>
    <x v="14"/>
    <x v="919"/>
    <x v="0"/>
    <x v="0"/>
    <x v="1"/>
  </r>
  <r>
    <s v="ORD-01571"/>
    <x v="575"/>
    <s v="Asha Kulkarni"/>
    <x v="0"/>
    <x v="2"/>
    <n v="36400"/>
    <n v="5"/>
    <x v="1"/>
    <x v="12"/>
    <x v="920"/>
    <x v="0"/>
    <x v="1"/>
    <x v="0"/>
  </r>
  <r>
    <s v="ORD-01876"/>
    <x v="183"/>
    <s v="Arjun Reddy"/>
    <x v="2"/>
    <x v="2"/>
    <n v="7931.02"/>
    <n v="3"/>
    <x v="1"/>
    <x v="6"/>
    <x v="921"/>
    <x v="0"/>
    <x v="0"/>
    <x v="1"/>
  </r>
  <r>
    <s v="ORD-01232"/>
    <x v="299"/>
    <s v="Vivek Chopra"/>
    <x v="2"/>
    <x v="2"/>
    <n v="15904.57"/>
    <n v="4"/>
    <x v="1"/>
    <x v="23"/>
    <x v="922"/>
    <x v="0"/>
    <x v="0"/>
    <x v="0"/>
  </r>
  <r>
    <s v="ORD-01138"/>
    <x v="372"/>
    <s v="Rahul Verma"/>
    <x v="2"/>
    <x v="2"/>
    <n v="22828.2"/>
    <n v="3"/>
    <x v="1"/>
    <x v="5"/>
    <x v="424"/>
    <x v="0"/>
    <x v="0"/>
    <x v="1"/>
  </r>
  <r>
    <s v="ORD-01980"/>
    <x v="576"/>
    <s v="Suresh Rao"/>
    <x v="2"/>
    <x v="2"/>
    <n v="35839.07"/>
    <n v="3"/>
    <x v="1"/>
    <x v="0"/>
    <x v="923"/>
    <x v="0"/>
    <x v="1"/>
    <x v="1"/>
  </r>
  <r>
    <s v="ORD-01915"/>
    <x v="19"/>
    <s v="Geeta Pandey"/>
    <x v="2"/>
    <x v="2"/>
    <n v="16333.68"/>
    <n v="4"/>
    <x v="1"/>
    <x v="5"/>
    <x v="924"/>
    <x v="0"/>
    <x v="0"/>
    <x v="1"/>
  </r>
  <r>
    <s v="ORD-02329"/>
    <x v="524"/>
    <s v="Tara Saxena"/>
    <x v="3"/>
    <x v="0"/>
    <n v="4374.1400000000003"/>
    <n v="1"/>
    <x v="1"/>
    <x v="18"/>
    <x v="925"/>
    <x v="0"/>
    <x v="0"/>
    <x v="1"/>
  </r>
  <r>
    <s v="ORD-01303"/>
    <x v="577"/>
    <s v="Lakshmi Venkat"/>
    <x v="1"/>
    <x v="0"/>
    <n v="3176.29"/>
    <n v="5"/>
    <x v="1"/>
    <x v="21"/>
    <x v="926"/>
    <x v="0"/>
    <x v="0"/>
    <x v="1"/>
  </r>
  <r>
    <s v="ORD-02430"/>
    <x v="375"/>
    <s v="Yash Agarwal"/>
    <x v="1"/>
    <x v="0"/>
    <n v="12028.77"/>
    <n v="4"/>
    <x v="1"/>
    <x v="12"/>
    <x v="927"/>
    <x v="0"/>
    <x v="0"/>
    <x v="1"/>
  </r>
  <r>
    <s v="ORD-01301"/>
    <x v="578"/>
    <s v="Neha Tiwari"/>
    <x v="1"/>
    <x v="0"/>
    <n v="9151.3799999999992"/>
    <n v="1"/>
    <x v="1"/>
    <x v="21"/>
    <x v="928"/>
    <x v="0"/>
    <x v="0"/>
    <x v="0"/>
  </r>
  <r>
    <s v="ORD-02469"/>
    <x v="320"/>
    <s v="Priya Patel"/>
    <x v="3"/>
    <x v="2"/>
    <n v="7061.7"/>
    <n v="2"/>
    <x v="1"/>
    <x v="7"/>
    <x v="929"/>
    <x v="0"/>
    <x v="0"/>
    <x v="1"/>
  </r>
  <r>
    <s v="ORD-01005"/>
    <x v="14"/>
    <s v="Gaurav Mishra"/>
    <x v="0"/>
    <x v="2"/>
    <n v="43108.82"/>
    <n v="3"/>
    <x v="1"/>
    <x v="10"/>
    <x v="930"/>
    <x v="0"/>
    <x v="1"/>
    <x v="1"/>
  </r>
  <r>
    <s v="ORD-02157"/>
    <x v="60"/>
    <s v="Manish Srivastava"/>
    <x v="3"/>
    <x v="0"/>
    <n v="0"/>
    <n v="7"/>
    <x v="2"/>
    <x v="3"/>
    <x v="0"/>
    <x v="1"/>
    <x v="0"/>
    <x v="1"/>
  </r>
  <r>
    <s v="ORD-01544"/>
    <x v="108"/>
    <s v="Sanjay Joshi"/>
    <x v="2"/>
    <x v="2"/>
    <n v="43769.69"/>
    <n v="2"/>
    <x v="1"/>
    <x v="5"/>
    <x v="931"/>
    <x v="0"/>
    <x v="1"/>
    <x v="1"/>
  </r>
  <r>
    <s v="ORD-02287"/>
    <x v="579"/>
    <s v="Rohan Mehta"/>
    <x v="0"/>
    <x v="1"/>
    <n v="2388.1799999999998"/>
    <n v="20"/>
    <x v="1"/>
    <x v="4"/>
    <x v="932"/>
    <x v="2"/>
    <x v="0"/>
    <x v="1"/>
  </r>
  <r>
    <s v="ORD-02023"/>
    <x v="580"/>
    <s v="Sanjay Joshi"/>
    <x v="2"/>
    <x v="1"/>
    <n v="0"/>
    <n v="23"/>
    <x v="0"/>
    <x v="23"/>
    <x v="0"/>
    <x v="2"/>
    <x v="0"/>
    <x v="1"/>
  </r>
  <r>
    <s v="ORD-01556"/>
    <x v="447"/>
    <s v="Tarun Mukerjee"/>
    <x v="3"/>
    <x v="2"/>
    <n v="0"/>
    <n v="4"/>
    <x v="2"/>
    <x v="10"/>
    <x v="0"/>
    <x v="0"/>
    <x v="0"/>
    <x v="0"/>
  </r>
  <r>
    <s v="ORD-01213"/>
    <x v="73"/>
    <s v="Arjun Reddy"/>
    <x v="0"/>
    <x v="0"/>
    <n v="13500.75"/>
    <n v="4"/>
    <x v="1"/>
    <x v="19"/>
    <x v="933"/>
    <x v="0"/>
    <x v="0"/>
    <x v="1"/>
  </r>
  <r>
    <s v="ORD-01714"/>
    <x v="202"/>
    <s v="Rahul Verma"/>
    <x v="2"/>
    <x v="0"/>
    <n v="14161.03"/>
    <n v="3"/>
    <x v="1"/>
    <x v="21"/>
    <x v="934"/>
    <x v="0"/>
    <x v="0"/>
    <x v="1"/>
  </r>
  <r>
    <s v="ORD-02168"/>
    <x v="581"/>
    <s v="Kiran Nambiar"/>
    <x v="2"/>
    <x v="0"/>
    <n v="0"/>
    <n v="6"/>
    <x v="2"/>
    <x v="5"/>
    <x v="0"/>
    <x v="1"/>
    <x v="0"/>
    <x v="1"/>
  </r>
  <r>
    <s v="ORD-02372"/>
    <x v="67"/>
    <s v="Sunita Menon"/>
    <x v="1"/>
    <x v="0"/>
    <n v="14823.32"/>
    <n v="2"/>
    <x v="1"/>
    <x v="3"/>
    <x v="935"/>
    <x v="0"/>
    <x v="0"/>
    <x v="1"/>
  </r>
  <r>
    <s v="ORD-01308"/>
    <x v="582"/>
    <s v="Amit Kumar"/>
    <x v="0"/>
    <x v="2"/>
    <n v="2195.42"/>
    <n v="1"/>
    <x v="1"/>
    <x v="23"/>
    <x v="936"/>
    <x v="0"/>
    <x v="0"/>
    <x v="1"/>
  </r>
  <r>
    <s v="ORD-01871"/>
    <x v="583"/>
    <s v="Meena Krishnan"/>
    <x v="2"/>
    <x v="0"/>
    <n v="9919.9699999999993"/>
    <n v="1"/>
    <x v="1"/>
    <x v="22"/>
    <x v="937"/>
    <x v="0"/>
    <x v="0"/>
    <x v="0"/>
  </r>
  <r>
    <s v="ORD-02245"/>
    <x v="140"/>
    <s v="Harsh Shah"/>
    <x v="2"/>
    <x v="0"/>
    <n v="5667.7"/>
    <n v="8"/>
    <x v="1"/>
    <x v="21"/>
    <x v="938"/>
    <x v="1"/>
    <x v="0"/>
    <x v="1"/>
  </r>
  <r>
    <s v="ORD-01686"/>
    <x v="269"/>
    <s v="Aakash Bhat"/>
    <x v="0"/>
    <x v="0"/>
    <n v="7169.25"/>
    <n v="8"/>
    <x v="1"/>
    <x v="20"/>
    <x v="939"/>
    <x v="1"/>
    <x v="0"/>
    <x v="1"/>
  </r>
  <r>
    <s v="ORD-02087"/>
    <x v="337"/>
    <s v="Manish Srivastava"/>
    <x v="3"/>
    <x v="0"/>
    <n v="0"/>
    <n v="8"/>
    <x v="2"/>
    <x v="18"/>
    <x v="0"/>
    <x v="1"/>
    <x v="0"/>
    <x v="1"/>
  </r>
  <r>
    <s v="ORD-01878"/>
    <x v="31"/>
    <s v="Harsh Shah"/>
    <x v="2"/>
    <x v="2"/>
    <n v="34768.230000000003"/>
    <n v="3"/>
    <x v="1"/>
    <x v="0"/>
    <x v="940"/>
    <x v="0"/>
    <x v="1"/>
    <x v="1"/>
  </r>
  <r>
    <s v="ORD-01365"/>
    <x v="537"/>
    <s v="Harsh Shah"/>
    <x v="2"/>
    <x v="2"/>
    <n v="0"/>
    <n v="2"/>
    <x v="2"/>
    <x v="13"/>
    <x v="0"/>
    <x v="0"/>
    <x v="0"/>
    <x v="1"/>
  </r>
  <r>
    <s v="ORD-01310"/>
    <x v="105"/>
    <s v="Sarita Bansal"/>
    <x v="2"/>
    <x v="1"/>
    <n v="2559.54"/>
    <n v="23"/>
    <x v="1"/>
    <x v="15"/>
    <x v="941"/>
    <x v="2"/>
    <x v="0"/>
    <x v="1"/>
  </r>
  <r>
    <s v="ORD-01089"/>
    <x v="515"/>
    <s v="Nikhil Desai"/>
    <x v="0"/>
    <x v="0"/>
    <n v="4765.21"/>
    <n v="2"/>
    <x v="1"/>
    <x v="23"/>
    <x v="942"/>
    <x v="0"/>
    <x v="0"/>
    <x v="1"/>
  </r>
  <r>
    <s v="ORD-01174"/>
    <x v="338"/>
    <s v="Dev Mathur"/>
    <x v="3"/>
    <x v="1"/>
    <n v="2556.77"/>
    <n v="29"/>
    <x v="1"/>
    <x v="4"/>
    <x v="943"/>
    <x v="2"/>
    <x v="0"/>
    <x v="0"/>
  </r>
  <r>
    <s v="ORD-02401"/>
    <x v="207"/>
    <s v="Divya Kaur"/>
    <x v="1"/>
    <x v="2"/>
    <n v="9384.89"/>
    <n v="4"/>
    <x v="1"/>
    <x v="21"/>
    <x v="944"/>
    <x v="0"/>
    <x v="0"/>
    <x v="1"/>
  </r>
  <r>
    <s v="ORD-01243"/>
    <x v="403"/>
    <s v="Vikram Singh"/>
    <x v="2"/>
    <x v="0"/>
    <n v="4473.2700000000004"/>
    <n v="2"/>
    <x v="1"/>
    <x v="16"/>
    <x v="945"/>
    <x v="0"/>
    <x v="0"/>
    <x v="1"/>
  </r>
  <r>
    <s v="ORD-01684"/>
    <x v="577"/>
    <s v="Yash Agarwal"/>
    <x v="1"/>
    <x v="1"/>
    <n v="3323.06"/>
    <n v="22"/>
    <x v="1"/>
    <x v="21"/>
    <x v="946"/>
    <x v="2"/>
    <x v="0"/>
    <x v="1"/>
  </r>
  <r>
    <s v="ORD-01157"/>
    <x v="354"/>
    <s v="Smita Patil"/>
    <x v="3"/>
    <x v="0"/>
    <n v="0"/>
    <n v="7"/>
    <x v="2"/>
    <x v="10"/>
    <x v="0"/>
    <x v="1"/>
    <x v="0"/>
    <x v="1"/>
  </r>
  <r>
    <s v="ORD-01732"/>
    <x v="230"/>
    <s v="Manish Srivastava"/>
    <x v="3"/>
    <x v="2"/>
    <n v="40328.78"/>
    <n v="3"/>
    <x v="1"/>
    <x v="13"/>
    <x v="947"/>
    <x v="0"/>
    <x v="1"/>
    <x v="0"/>
  </r>
  <r>
    <s v="ORD-02237"/>
    <x v="584"/>
    <s v="Nidhi Bhatt"/>
    <x v="0"/>
    <x v="0"/>
    <n v="0"/>
    <n v="3"/>
    <x v="2"/>
    <x v="19"/>
    <x v="0"/>
    <x v="0"/>
    <x v="0"/>
    <x v="1"/>
  </r>
  <r>
    <s v="ORD-01209"/>
    <x v="87"/>
    <s v="Smita Patil"/>
    <x v="1"/>
    <x v="0"/>
    <n v="631.73"/>
    <n v="2"/>
    <x v="1"/>
    <x v="4"/>
    <x v="948"/>
    <x v="0"/>
    <x v="0"/>
    <x v="1"/>
  </r>
  <r>
    <s v="ORD-02175"/>
    <x v="568"/>
    <s v="Tarun Mukerjee"/>
    <x v="3"/>
    <x v="0"/>
    <n v="17464.939999999999"/>
    <n v="8"/>
    <x v="1"/>
    <x v="1"/>
    <x v="949"/>
    <x v="1"/>
    <x v="0"/>
    <x v="1"/>
  </r>
  <r>
    <s v="ORD-02215"/>
    <x v="538"/>
    <s v="Sneha Gupta"/>
    <x v="3"/>
    <x v="1"/>
    <n v="2748.44"/>
    <n v="4"/>
    <x v="1"/>
    <x v="7"/>
    <x v="950"/>
    <x v="0"/>
    <x v="0"/>
    <x v="1"/>
  </r>
  <r>
    <s v="ORD-01348"/>
    <x v="83"/>
    <s v="Sarita Bansal"/>
    <x v="2"/>
    <x v="2"/>
    <n v="11437.45"/>
    <n v="1"/>
    <x v="1"/>
    <x v="10"/>
    <x v="951"/>
    <x v="0"/>
    <x v="0"/>
    <x v="1"/>
  </r>
  <r>
    <s v="ORD-02008"/>
    <x v="160"/>
    <s v="Pooja Iyer"/>
    <x v="1"/>
    <x v="0"/>
    <n v="0"/>
    <n v="3"/>
    <x v="0"/>
    <x v="1"/>
    <x v="0"/>
    <x v="0"/>
    <x v="0"/>
    <x v="0"/>
  </r>
  <r>
    <s v="ORD-01231"/>
    <x v="338"/>
    <s v="Asha Kulkarni"/>
    <x v="0"/>
    <x v="1"/>
    <n v="1510.75"/>
    <n v="12"/>
    <x v="1"/>
    <x v="4"/>
    <x v="952"/>
    <x v="1"/>
    <x v="0"/>
    <x v="0"/>
  </r>
  <r>
    <s v="ORD-01788"/>
    <x v="585"/>
    <s v="Smita Patil"/>
    <x v="3"/>
    <x v="0"/>
    <n v="0"/>
    <n v="1"/>
    <x v="2"/>
    <x v="17"/>
    <x v="0"/>
    <x v="0"/>
    <x v="0"/>
    <x v="1"/>
  </r>
  <r>
    <s v="ORD-01463"/>
    <x v="348"/>
    <s v="Sunita Menon"/>
    <x v="3"/>
    <x v="1"/>
    <n v="0"/>
    <n v="16"/>
    <x v="0"/>
    <x v="0"/>
    <x v="0"/>
    <x v="2"/>
    <x v="0"/>
    <x v="1"/>
  </r>
  <r>
    <s v="ORD-01588"/>
    <x v="349"/>
    <s v="Sneha Gupta"/>
    <x v="3"/>
    <x v="1"/>
    <n v="1106.0999999999999"/>
    <n v="3"/>
    <x v="1"/>
    <x v="21"/>
    <x v="953"/>
    <x v="0"/>
    <x v="0"/>
    <x v="0"/>
  </r>
  <r>
    <s v="ORD-01724"/>
    <x v="586"/>
    <s v="Smita Patil"/>
    <x v="3"/>
    <x v="0"/>
    <n v="4305.43"/>
    <n v="4"/>
    <x v="1"/>
    <x v="0"/>
    <x v="954"/>
    <x v="0"/>
    <x v="0"/>
    <x v="1"/>
  </r>
  <r>
    <s v="ORD-01302"/>
    <x v="505"/>
    <s v="Gaurav Mishra"/>
    <x v="0"/>
    <x v="1"/>
    <n v="1626.61"/>
    <n v="20"/>
    <x v="1"/>
    <x v="21"/>
    <x v="955"/>
    <x v="2"/>
    <x v="0"/>
    <x v="0"/>
  </r>
  <r>
    <s v="ORD-01790"/>
    <x v="75"/>
    <s v="Padma Subramaniam"/>
    <x v="2"/>
    <x v="1"/>
    <n v="1740.82"/>
    <n v="19"/>
    <x v="1"/>
    <x v="10"/>
    <x v="956"/>
    <x v="2"/>
    <x v="0"/>
    <x v="0"/>
  </r>
  <r>
    <s v="ORD-02441"/>
    <x v="203"/>
    <s v="Dev Mathur"/>
    <x v="3"/>
    <x v="0"/>
    <n v="2861.2"/>
    <n v="5"/>
    <x v="1"/>
    <x v="3"/>
    <x v="957"/>
    <x v="0"/>
    <x v="0"/>
    <x v="1"/>
  </r>
  <r>
    <s v="ORD-01465"/>
    <x v="450"/>
    <s v="Varun Naik"/>
    <x v="1"/>
    <x v="1"/>
    <n v="1778.62"/>
    <n v="14"/>
    <x v="1"/>
    <x v="16"/>
    <x v="958"/>
    <x v="1"/>
    <x v="0"/>
    <x v="1"/>
  </r>
  <r>
    <s v="ORD-01050"/>
    <x v="301"/>
    <s v="Meena Krishnan"/>
    <x v="1"/>
    <x v="0"/>
    <n v="16324.46"/>
    <n v="1"/>
    <x v="1"/>
    <x v="8"/>
    <x v="959"/>
    <x v="0"/>
    <x v="0"/>
    <x v="1"/>
  </r>
  <r>
    <s v="ORD-01460"/>
    <x v="452"/>
    <s v="Vivek Chopra"/>
    <x v="2"/>
    <x v="1"/>
    <n v="1807.85"/>
    <n v="24"/>
    <x v="1"/>
    <x v="4"/>
    <x v="960"/>
    <x v="2"/>
    <x v="0"/>
    <x v="1"/>
  </r>
  <r>
    <s v="ORD-02357"/>
    <x v="587"/>
    <s v="Vivek Chopra"/>
    <x v="2"/>
    <x v="2"/>
    <n v="19145.330000000002"/>
    <n v="2"/>
    <x v="1"/>
    <x v="8"/>
    <x v="961"/>
    <x v="0"/>
    <x v="0"/>
    <x v="1"/>
  </r>
  <r>
    <s v="ORD-01291"/>
    <x v="588"/>
    <s v="Bhavna Dubey"/>
    <x v="0"/>
    <x v="0"/>
    <n v="4688.16"/>
    <n v="2"/>
    <x v="1"/>
    <x v="14"/>
    <x v="962"/>
    <x v="0"/>
    <x v="0"/>
    <x v="1"/>
  </r>
  <r>
    <s v="ORD-01851"/>
    <x v="322"/>
    <s v="Tarun Mukerjee"/>
    <x v="3"/>
    <x v="2"/>
    <n v="0"/>
    <n v="2"/>
    <x v="2"/>
    <x v="1"/>
    <x v="0"/>
    <x v="0"/>
    <x v="0"/>
    <x v="0"/>
  </r>
  <r>
    <s v="ORD-02491"/>
    <x v="3"/>
    <s v="Kiran Nambiar"/>
    <x v="2"/>
    <x v="1"/>
    <n v="1240.46"/>
    <n v="24"/>
    <x v="1"/>
    <x v="3"/>
    <x v="963"/>
    <x v="2"/>
    <x v="0"/>
    <x v="0"/>
  </r>
  <r>
    <s v="ORD-02183"/>
    <x v="362"/>
    <s v="Kiran Nambiar"/>
    <x v="2"/>
    <x v="1"/>
    <n v="0"/>
    <n v="15"/>
    <x v="2"/>
    <x v="17"/>
    <x v="0"/>
    <x v="1"/>
    <x v="0"/>
    <x v="1"/>
  </r>
  <r>
    <s v="ORD-01608"/>
    <x v="284"/>
    <s v="Vikram Singh"/>
    <x v="2"/>
    <x v="2"/>
    <n v="5384.12"/>
    <n v="5"/>
    <x v="1"/>
    <x v="21"/>
    <x v="964"/>
    <x v="0"/>
    <x v="0"/>
    <x v="1"/>
  </r>
  <r>
    <s v="ORD-02116"/>
    <x v="589"/>
    <s v="Ajay Rastogi"/>
    <x v="1"/>
    <x v="0"/>
    <n v="7859.77"/>
    <n v="6"/>
    <x v="1"/>
    <x v="18"/>
    <x v="965"/>
    <x v="1"/>
    <x v="0"/>
    <x v="1"/>
  </r>
  <r>
    <s v="ORD-01211"/>
    <x v="314"/>
    <s v="Rohan Mehta"/>
    <x v="0"/>
    <x v="2"/>
    <n v="36218.44"/>
    <n v="5"/>
    <x v="1"/>
    <x v="16"/>
    <x v="966"/>
    <x v="0"/>
    <x v="1"/>
    <x v="1"/>
  </r>
  <r>
    <s v="ORD-01092"/>
    <x v="194"/>
    <s v="Rahul Verma"/>
    <x v="2"/>
    <x v="2"/>
    <n v="0"/>
    <n v="3"/>
    <x v="0"/>
    <x v="5"/>
    <x v="0"/>
    <x v="0"/>
    <x v="0"/>
    <x v="1"/>
  </r>
  <r>
    <s v="ORD-02236"/>
    <x v="332"/>
    <s v="Pooja Iyer"/>
    <x v="1"/>
    <x v="1"/>
    <n v="2594.42"/>
    <n v="4"/>
    <x v="1"/>
    <x v="0"/>
    <x v="967"/>
    <x v="0"/>
    <x v="0"/>
    <x v="1"/>
  </r>
  <r>
    <s v="ORD-01253"/>
    <x v="511"/>
    <s v="Divya Kaur"/>
    <x v="1"/>
    <x v="2"/>
    <n v="28896.65"/>
    <n v="3"/>
    <x v="1"/>
    <x v="3"/>
    <x v="968"/>
    <x v="0"/>
    <x v="1"/>
    <x v="0"/>
  </r>
  <r>
    <s v="ORD-02189"/>
    <x v="263"/>
    <s v="Sanjay Joshi"/>
    <x v="2"/>
    <x v="0"/>
    <n v="0"/>
    <n v="7"/>
    <x v="2"/>
    <x v="5"/>
    <x v="0"/>
    <x v="1"/>
    <x v="0"/>
    <x v="1"/>
  </r>
  <r>
    <s v="ORD-01548"/>
    <x v="587"/>
    <s v="Sarita Bansal"/>
    <x v="2"/>
    <x v="0"/>
    <n v="2291.58"/>
    <n v="3"/>
    <x v="1"/>
    <x v="8"/>
    <x v="969"/>
    <x v="0"/>
    <x v="0"/>
    <x v="1"/>
  </r>
  <r>
    <s v="ORD-02114"/>
    <x v="367"/>
    <s v="Tara Saxena"/>
    <x v="3"/>
    <x v="0"/>
    <n v="17933.23"/>
    <n v="7"/>
    <x v="1"/>
    <x v="2"/>
    <x v="970"/>
    <x v="1"/>
    <x v="0"/>
    <x v="1"/>
  </r>
  <r>
    <s v="ORD-01115"/>
    <x v="54"/>
    <s v="Rajesh Choudhury"/>
    <x v="0"/>
    <x v="1"/>
    <n v="2221.59"/>
    <n v="2"/>
    <x v="1"/>
    <x v="18"/>
    <x v="971"/>
    <x v="0"/>
    <x v="0"/>
    <x v="1"/>
  </r>
  <r>
    <s v="ORD-01500"/>
    <x v="590"/>
    <s v="Priya Patel"/>
    <x v="3"/>
    <x v="2"/>
    <n v="8225.1200000000008"/>
    <n v="5"/>
    <x v="1"/>
    <x v="21"/>
    <x v="972"/>
    <x v="0"/>
    <x v="0"/>
    <x v="0"/>
  </r>
  <r>
    <s v="ORD-01317"/>
    <x v="354"/>
    <s v="Meena Krishnan"/>
    <x v="1"/>
    <x v="2"/>
    <n v="9731.41"/>
    <n v="5"/>
    <x v="1"/>
    <x v="10"/>
    <x v="973"/>
    <x v="0"/>
    <x v="0"/>
    <x v="1"/>
  </r>
  <r>
    <s v="ORD-01981"/>
    <x v="147"/>
    <s v="Yash Agarwal"/>
    <x v="1"/>
    <x v="2"/>
    <n v="2437.29"/>
    <n v="1"/>
    <x v="1"/>
    <x v="19"/>
    <x v="974"/>
    <x v="0"/>
    <x v="0"/>
    <x v="0"/>
  </r>
  <r>
    <s v="ORD-01680"/>
    <x v="314"/>
    <s v="Nidhi Bhatt"/>
    <x v="0"/>
    <x v="2"/>
    <n v="25180.45"/>
    <n v="5"/>
    <x v="1"/>
    <x v="16"/>
    <x v="975"/>
    <x v="0"/>
    <x v="0"/>
    <x v="1"/>
  </r>
  <r>
    <s v="ORD-01630"/>
    <x v="591"/>
    <s v="Nidhi Bhatt"/>
    <x v="0"/>
    <x v="2"/>
    <n v="5377.09"/>
    <n v="5"/>
    <x v="1"/>
    <x v="13"/>
    <x v="976"/>
    <x v="0"/>
    <x v="0"/>
    <x v="0"/>
  </r>
  <r>
    <s v="ORD-01335"/>
    <x v="530"/>
    <s v="Dev Mathur"/>
    <x v="3"/>
    <x v="2"/>
    <n v="34474.199999999997"/>
    <n v="5"/>
    <x v="1"/>
    <x v="5"/>
    <x v="977"/>
    <x v="0"/>
    <x v="1"/>
    <x v="0"/>
  </r>
  <r>
    <s v="ORD-01910"/>
    <x v="571"/>
    <s v="Vikram Singh"/>
    <x v="2"/>
    <x v="0"/>
    <n v="3468"/>
    <n v="8"/>
    <x v="1"/>
    <x v="23"/>
    <x v="978"/>
    <x v="1"/>
    <x v="0"/>
    <x v="0"/>
  </r>
  <r>
    <s v="ORD-02153"/>
    <x v="57"/>
    <s v="Geeta Pandey"/>
    <x v="2"/>
    <x v="1"/>
    <n v="750.85"/>
    <n v="28"/>
    <x v="1"/>
    <x v="4"/>
    <x v="979"/>
    <x v="2"/>
    <x v="0"/>
    <x v="1"/>
  </r>
  <r>
    <s v="ORD-02500"/>
    <x v="50"/>
    <s v="Geeta Pandey"/>
    <x v="3"/>
    <x v="2"/>
    <n v="21604.880000000001"/>
    <n v="3"/>
    <x v="1"/>
    <x v="21"/>
    <x v="980"/>
    <x v="0"/>
    <x v="0"/>
    <x v="0"/>
  </r>
  <r>
    <s v="ORD-01286"/>
    <x v="241"/>
    <s v="Ajay Rastogi"/>
    <x v="1"/>
    <x v="1"/>
    <n v="154.49"/>
    <n v="29"/>
    <x v="1"/>
    <x v="2"/>
    <x v="981"/>
    <x v="2"/>
    <x v="0"/>
    <x v="1"/>
  </r>
  <r>
    <s v="ORD-01415"/>
    <x v="475"/>
    <s v="Rahul Verma"/>
    <x v="3"/>
    <x v="1"/>
    <n v="427.3"/>
    <n v="26"/>
    <x v="1"/>
    <x v="20"/>
    <x v="982"/>
    <x v="2"/>
    <x v="0"/>
    <x v="1"/>
  </r>
  <r>
    <s v="ORD-01175"/>
    <x v="216"/>
    <s v="Sneha Gupta"/>
    <x v="3"/>
    <x v="1"/>
    <n v="1458"/>
    <n v="9"/>
    <x v="1"/>
    <x v="4"/>
    <x v="983"/>
    <x v="1"/>
    <x v="0"/>
    <x v="1"/>
  </r>
  <r>
    <s v="ORD-01694"/>
    <x v="93"/>
    <s v="Manish Srivastava"/>
    <x v="3"/>
    <x v="2"/>
    <n v="29408.86"/>
    <n v="4"/>
    <x v="1"/>
    <x v="15"/>
    <x v="984"/>
    <x v="0"/>
    <x v="1"/>
    <x v="0"/>
  </r>
  <r>
    <s v="ORD-02111"/>
    <x v="184"/>
    <s v="Ajay Rastogi"/>
    <x v="1"/>
    <x v="1"/>
    <n v="387.15"/>
    <n v="16"/>
    <x v="1"/>
    <x v="23"/>
    <x v="985"/>
    <x v="2"/>
    <x v="0"/>
    <x v="1"/>
  </r>
  <r>
    <s v="ORD-02267"/>
    <x v="470"/>
    <s v="Sunita Menon"/>
    <x v="3"/>
    <x v="1"/>
    <n v="1776.49"/>
    <n v="26"/>
    <x v="1"/>
    <x v="0"/>
    <x v="986"/>
    <x v="2"/>
    <x v="0"/>
    <x v="0"/>
  </r>
  <r>
    <s v="ORD-01020"/>
    <x v="322"/>
    <s v="Gaurav Mishra"/>
    <x v="0"/>
    <x v="0"/>
    <n v="0"/>
    <n v="1"/>
    <x v="2"/>
    <x v="1"/>
    <x v="0"/>
    <x v="0"/>
    <x v="0"/>
    <x v="0"/>
  </r>
  <r>
    <s v="ORD-02214"/>
    <x v="124"/>
    <s v="Varun Naik"/>
    <x v="1"/>
    <x v="2"/>
    <n v="32023.1"/>
    <n v="4"/>
    <x v="1"/>
    <x v="8"/>
    <x v="987"/>
    <x v="0"/>
    <x v="1"/>
    <x v="0"/>
  </r>
  <r>
    <s v="ORD-01293"/>
    <x v="368"/>
    <s v="Lakshmi Venkat"/>
    <x v="1"/>
    <x v="2"/>
    <n v="22823.34"/>
    <n v="5"/>
    <x v="1"/>
    <x v="0"/>
    <x v="988"/>
    <x v="0"/>
    <x v="0"/>
    <x v="1"/>
  </r>
  <r>
    <s v="ORD-01549"/>
    <x v="21"/>
    <s v="Nidhi Bhatt"/>
    <x v="0"/>
    <x v="2"/>
    <n v="0"/>
    <n v="5"/>
    <x v="0"/>
    <x v="0"/>
    <x v="0"/>
    <x v="0"/>
    <x v="0"/>
    <x v="0"/>
  </r>
  <r>
    <s v="ORD-01172"/>
    <x v="175"/>
    <s v="Sunita Menon"/>
    <x v="3"/>
    <x v="2"/>
    <n v="42624.76"/>
    <n v="3"/>
    <x v="1"/>
    <x v="11"/>
    <x v="989"/>
    <x v="0"/>
    <x v="1"/>
    <x v="1"/>
  </r>
  <r>
    <s v="ORD-01509"/>
    <x v="437"/>
    <s v="Suresh Rao"/>
    <x v="2"/>
    <x v="1"/>
    <n v="242.88"/>
    <n v="8"/>
    <x v="1"/>
    <x v="14"/>
    <x v="990"/>
    <x v="1"/>
    <x v="0"/>
    <x v="1"/>
  </r>
  <r>
    <s v="ORD-02466"/>
    <x v="207"/>
    <s v="Varun Naik"/>
    <x v="1"/>
    <x v="1"/>
    <n v="642.03"/>
    <n v="22"/>
    <x v="1"/>
    <x v="21"/>
    <x v="991"/>
    <x v="2"/>
    <x v="0"/>
    <x v="1"/>
  </r>
  <r>
    <s v="ORD-02367"/>
    <x v="592"/>
    <s v="Sneha Gupta"/>
    <x v="3"/>
    <x v="2"/>
    <n v="24431.7"/>
    <n v="4"/>
    <x v="1"/>
    <x v="22"/>
    <x v="992"/>
    <x v="0"/>
    <x v="0"/>
    <x v="1"/>
  </r>
  <r>
    <s v="ORD-02406"/>
    <x v="469"/>
    <s v="Rahul Verma"/>
    <x v="2"/>
    <x v="1"/>
    <n v="2505.0500000000002"/>
    <n v="13"/>
    <x v="1"/>
    <x v="3"/>
    <x v="993"/>
    <x v="1"/>
    <x v="0"/>
    <x v="1"/>
  </r>
  <r>
    <s v="ORD-02437"/>
    <x v="245"/>
    <s v="Tara Saxena"/>
    <x v="3"/>
    <x v="2"/>
    <n v="15838.51"/>
    <n v="5"/>
    <x v="1"/>
    <x v="7"/>
    <x v="994"/>
    <x v="0"/>
    <x v="0"/>
    <x v="0"/>
  </r>
  <r>
    <s v="ORD-01043"/>
    <x v="593"/>
    <s v="Arjun Reddy"/>
    <x v="0"/>
    <x v="1"/>
    <n v="2000.03"/>
    <n v="11"/>
    <x v="1"/>
    <x v="22"/>
    <x v="995"/>
    <x v="1"/>
    <x v="0"/>
    <x v="1"/>
  </r>
  <r>
    <s v="ORD-02331"/>
    <x v="200"/>
    <s v="Lakshmi Venkat"/>
    <x v="1"/>
    <x v="2"/>
    <n v="8736.81"/>
    <n v="2"/>
    <x v="1"/>
    <x v="15"/>
    <x v="996"/>
    <x v="0"/>
    <x v="0"/>
    <x v="1"/>
  </r>
  <r>
    <s v="ORD-01774"/>
    <x v="583"/>
    <s v="Geeta Pandey"/>
    <x v="2"/>
    <x v="2"/>
    <n v="7525"/>
    <n v="5"/>
    <x v="1"/>
    <x v="22"/>
    <x v="997"/>
    <x v="0"/>
    <x v="0"/>
    <x v="0"/>
  </r>
  <r>
    <s v="ORD-01205"/>
    <x v="326"/>
    <s v="Rahul Verma"/>
    <x v="2"/>
    <x v="2"/>
    <n v="13319.49"/>
    <n v="5"/>
    <x v="1"/>
    <x v="19"/>
    <x v="998"/>
    <x v="0"/>
    <x v="0"/>
    <x v="0"/>
  </r>
  <r>
    <s v="ORD-01025"/>
    <x v="201"/>
    <s v="Kavya Nair"/>
    <x v="1"/>
    <x v="1"/>
    <n v="2692.13"/>
    <n v="5"/>
    <x v="1"/>
    <x v="15"/>
    <x v="999"/>
    <x v="0"/>
    <x v="0"/>
    <x v="0"/>
  </r>
  <r>
    <s v="ORD-01282"/>
    <x v="594"/>
    <s v="Meena Krishnan"/>
    <x v="1"/>
    <x v="1"/>
    <n v="996.86"/>
    <n v="21"/>
    <x v="1"/>
    <x v="18"/>
    <x v="1000"/>
    <x v="2"/>
    <x v="0"/>
    <x v="1"/>
  </r>
  <r>
    <s v="ORD-02079"/>
    <x v="259"/>
    <s v="Nidhi Bhatt"/>
    <x v="0"/>
    <x v="2"/>
    <n v="38597.1"/>
    <n v="5"/>
    <x v="1"/>
    <x v="1"/>
    <x v="1001"/>
    <x v="0"/>
    <x v="1"/>
    <x v="1"/>
  </r>
  <r>
    <s v="ORD-01206"/>
    <x v="595"/>
    <s v="Vivek Chopra"/>
    <x v="2"/>
    <x v="1"/>
    <n v="239"/>
    <n v="7"/>
    <x v="1"/>
    <x v="19"/>
    <x v="1002"/>
    <x v="1"/>
    <x v="0"/>
    <x v="0"/>
  </r>
  <r>
    <s v="ORD-01825"/>
    <x v="148"/>
    <s v="Kavya Nair"/>
    <x v="1"/>
    <x v="0"/>
    <n v="6024.39"/>
    <n v="2"/>
    <x v="1"/>
    <x v="14"/>
    <x v="1003"/>
    <x v="0"/>
    <x v="0"/>
    <x v="1"/>
  </r>
  <r>
    <s v="ORD-01932"/>
    <x v="313"/>
    <s v="Harsh Shah"/>
    <x v="2"/>
    <x v="2"/>
    <n v="13550.41"/>
    <n v="2"/>
    <x v="1"/>
    <x v="23"/>
    <x v="1004"/>
    <x v="0"/>
    <x v="0"/>
    <x v="1"/>
  </r>
  <r>
    <s v="ORD-01503"/>
    <x v="278"/>
    <s v="Tara Saxena"/>
    <x v="3"/>
    <x v="1"/>
    <n v="1702.66"/>
    <n v="3"/>
    <x v="1"/>
    <x v="17"/>
    <x v="1005"/>
    <x v="0"/>
    <x v="0"/>
    <x v="1"/>
  </r>
  <r>
    <s v="ORD-02460"/>
    <x v="56"/>
    <s v="Pooja Iyer"/>
    <x v="1"/>
    <x v="2"/>
    <n v="32348.55"/>
    <n v="5"/>
    <x v="1"/>
    <x v="0"/>
    <x v="1006"/>
    <x v="0"/>
    <x v="1"/>
    <x v="1"/>
  </r>
  <r>
    <s v="ORD-01148"/>
    <x v="216"/>
    <s v="Amit Kumar"/>
    <x v="3"/>
    <x v="0"/>
    <n v="11331.69"/>
    <n v="7"/>
    <x v="1"/>
    <x v="4"/>
    <x v="1007"/>
    <x v="1"/>
    <x v="0"/>
    <x v="1"/>
  </r>
  <r>
    <s v="ORD-01294"/>
    <x v="508"/>
    <s v="Vivek Chopra"/>
    <x v="2"/>
    <x v="2"/>
    <n v="42579.29"/>
    <n v="5"/>
    <x v="1"/>
    <x v="15"/>
    <x v="1008"/>
    <x v="0"/>
    <x v="1"/>
    <x v="0"/>
  </r>
  <r>
    <s v="ORD-01143"/>
    <x v="28"/>
    <s v="Dev Mathur"/>
    <x v="3"/>
    <x v="0"/>
    <n v="10068.94"/>
    <n v="7"/>
    <x v="1"/>
    <x v="5"/>
    <x v="1009"/>
    <x v="1"/>
    <x v="0"/>
    <x v="1"/>
  </r>
  <r>
    <s v="ORD-01385"/>
    <x v="594"/>
    <s v="Varun Naik"/>
    <x v="1"/>
    <x v="0"/>
    <n v="1250.43"/>
    <n v="7"/>
    <x v="1"/>
    <x v="18"/>
    <x v="1010"/>
    <x v="1"/>
    <x v="0"/>
    <x v="1"/>
  </r>
  <r>
    <s v="ORD-01808"/>
    <x v="399"/>
    <s v="Kiran Nambiar"/>
    <x v="2"/>
    <x v="0"/>
    <n v="11068.92"/>
    <n v="4"/>
    <x v="1"/>
    <x v="16"/>
    <x v="1011"/>
    <x v="0"/>
    <x v="0"/>
    <x v="1"/>
  </r>
  <r>
    <s v="ORD-01364"/>
    <x v="457"/>
    <s v="Geeta Pandey"/>
    <x v="2"/>
    <x v="1"/>
    <n v="1669.74"/>
    <n v="27"/>
    <x v="1"/>
    <x v="19"/>
    <x v="1012"/>
    <x v="2"/>
    <x v="0"/>
    <x v="0"/>
  </r>
  <r>
    <s v="ORD-01334"/>
    <x v="78"/>
    <s v="Bhavna Dubey"/>
    <x v="0"/>
    <x v="1"/>
    <n v="1339.01"/>
    <n v="23"/>
    <x v="1"/>
    <x v="12"/>
    <x v="1013"/>
    <x v="2"/>
    <x v="0"/>
    <x v="1"/>
  </r>
  <r>
    <s v="ORD-01636"/>
    <x v="512"/>
    <s v="Lakshmi Venkat"/>
    <x v="1"/>
    <x v="0"/>
    <n v="0"/>
    <n v="7"/>
    <x v="2"/>
    <x v="9"/>
    <x v="0"/>
    <x v="1"/>
    <x v="0"/>
    <x v="1"/>
  </r>
  <r>
    <s v="ORD-01092"/>
    <x v="194"/>
    <s v="Rahul Verma"/>
    <x v="2"/>
    <x v="2"/>
    <n v="0"/>
    <n v="3"/>
    <x v="0"/>
    <x v="5"/>
    <x v="0"/>
    <x v="0"/>
    <x v="0"/>
    <x v="1"/>
  </r>
  <r>
    <s v="ORD-02498"/>
    <x v="106"/>
    <s v="Ananya Sharma"/>
    <x v="1"/>
    <x v="1"/>
    <n v="692.24"/>
    <n v="12"/>
    <x v="1"/>
    <x v="7"/>
    <x v="1014"/>
    <x v="1"/>
    <x v="0"/>
    <x v="1"/>
  </r>
  <r>
    <s v="ORD-01370"/>
    <x v="210"/>
    <s v="Vikram Singh"/>
    <x v="2"/>
    <x v="2"/>
    <n v="0"/>
    <n v="1"/>
    <x v="0"/>
    <x v="17"/>
    <x v="0"/>
    <x v="0"/>
    <x v="0"/>
    <x v="0"/>
  </r>
  <r>
    <s v="ORD-02005"/>
    <x v="596"/>
    <s v="Manish Srivastava"/>
    <x v="3"/>
    <x v="2"/>
    <n v="40159.61"/>
    <n v="2"/>
    <x v="1"/>
    <x v="18"/>
    <x v="1015"/>
    <x v="0"/>
    <x v="1"/>
    <x v="1"/>
  </r>
  <r>
    <s v="ORD-02167"/>
    <x v="597"/>
    <s v="Amit Kumar"/>
    <x v="0"/>
    <x v="2"/>
    <n v="0"/>
    <n v="2"/>
    <x v="2"/>
    <x v="13"/>
    <x v="0"/>
    <x v="0"/>
    <x v="0"/>
    <x v="1"/>
  </r>
  <r>
    <s v="ORD-02473"/>
    <x v="492"/>
    <s v="Nikhil Desai"/>
    <x v="0"/>
    <x v="1"/>
    <n v="2277.2199999999998"/>
    <n v="23"/>
    <x v="1"/>
    <x v="17"/>
    <x v="1016"/>
    <x v="2"/>
    <x v="0"/>
    <x v="0"/>
  </r>
  <r>
    <s v="ORD-01361"/>
    <x v="181"/>
    <s v="Aakash Bhat"/>
    <x v="0"/>
    <x v="1"/>
    <n v="454.74"/>
    <n v="25"/>
    <x v="1"/>
    <x v="3"/>
    <x v="1017"/>
    <x v="2"/>
    <x v="0"/>
    <x v="1"/>
  </r>
  <r>
    <s v="ORD-02415"/>
    <x v="103"/>
    <s v="Neha Tiwari"/>
    <x v="1"/>
    <x v="0"/>
    <n v="8100.93"/>
    <n v="2"/>
    <x v="1"/>
    <x v="13"/>
    <x v="1018"/>
    <x v="0"/>
    <x v="0"/>
    <x v="1"/>
  </r>
  <r>
    <s v="ORD-01941"/>
    <x v="449"/>
    <s v="Kavya Nair"/>
    <x v="1"/>
    <x v="1"/>
    <n v="2803.44"/>
    <n v="10"/>
    <x v="1"/>
    <x v="5"/>
    <x v="1019"/>
    <x v="1"/>
    <x v="0"/>
    <x v="0"/>
  </r>
  <r>
    <s v="ORD-02474"/>
    <x v="331"/>
    <s v="Varun Naik"/>
    <x v="1"/>
    <x v="0"/>
    <n v="14841.75"/>
    <n v="6"/>
    <x v="1"/>
    <x v="9"/>
    <x v="1020"/>
    <x v="1"/>
    <x v="0"/>
    <x v="1"/>
  </r>
  <r>
    <s v="ORD-02016"/>
    <x v="541"/>
    <s v="Aakash Bhat"/>
    <x v="0"/>
    <x v="0"/>
    <n v="4531.3999999999996"/>
    <n v="2"/>
    <x v="1"/>
    <x v="16"/>
    <x v="1021"/>
    <x v="0"/>
    <x v="0"/>
    <x v="1"/>
  </r>
  <r>
    <s v="ORD-01192"/>
    <x v="283"/>
    <s v="Sneha Gupta"/>
    <x v="3"/>
    <x v="0"/>
    <n v="12072.41"/>
    <n v="6"/>
    <x v="1"/>
    <x v="10"/>
    <x v="279"/>
    <x v="1"/>
    <x v="0"/>
    <x v="1"/>
  </r>
  <r>
    <s v="ORD-02444"/>
    <x v="559"/>
    <s v="Manish Srivastava"/>
    <x v="3"/>
    <x v="2"/>
    <n v="22680.13"/>
    <n v="4"/>
    <x v="1"/>
    <x v="0"/>
    <x v="1022"/>
    <x v="0"/>
    <x v="0"/>
    <x v="0"/>
  </r>
  <r>
    <s v="ORD-02299"/>
    <x v="156"/>
    <s v="Tara Saxena"/>
    <x v="3"/>
    <x v="0"/>
    <n v="1996.2"/>
    <n v="7"/>
    <x v="1"/>
    <x v="20"/>
    <x v="1023"/>
    <x v="1"/>
    <x v="0"/>
    <x v="1"/>
  </r>
  <r>
    <s v="ORD-01755"/>
    <x v="322"/>
    <s v="Tarun Mukerjee"/>
    <x v="3"/>
    <x v="0"/>
    <n v="0"/>
    <n v="6"/>
    <x v="0"/>
    <x v="1"/>
    <x v="0"/>
    <x v="1"/>
    <x v="0"/>
    <x v="0"/>
  </r>
  <r>
    <s v="ORD-01889"/>
    <x v="453"/>
    <s v="Ananya Sharma"/>
    <x v="1"/>
    <x v="0"/>
    <n v="6342.1"/>
    <n v="1"/>
    <x v="1"/>
    <x v="11"/>
    <x v="1024"/>
    <x v="0"/>
    <x v="0"/>
    <x v="1"/>
  </r>
  <r>
    <s v="ORD-01475"/>
    <x v="342"/>
    <s v="Rahul Verma"/>
    <x v="2"/>
    <x v="1"/>
    <n v="58.86"/>
    <n v="28"/>
    <x v="1"/>
    <x v="4"/>
    <x v="1025"/>
    <x v="2"/>
    <x v="0"/>
    <x v="1"/>
  </r>
  <r>
    <s v="ORD-01914"/>
    <x v="355"/>
    <s v="Rajesh Choudhury"/>
    <x v="0"/>
    <x v="1"/>
    <n v="1189.6300000000001"/>
    <n v="28"/>
    <x v="1"/>
    <x v="23"/>
    <x v="1026"/>
    <x v="2"/>
    <x v="0"/>
    <x v="1"/>
  </r>
  <r>
    <s v="ORD-01112"/>
    <x v="308"/>
    <s v="Vikram Singh"/>
    <x v="2"/>
    <x v="1"/>
    <n v="0"/>
    <n v="21"/>
    <x v="0"/>
    <x v="20"/>
    <x v="0"/>
    <x v="2"/>
    <x v="0"/>
    <x v="1"/>
  </r>
  <r>
    <s v="ORD-01810"/>
    <x v="598"/>
    <s v="Tara Saxena"/>
    <x v="3"/>
    <x v="1"/>
    <n v="516.04999999999995"/>
    <n v="29"/>
    <x v="1"/>
    <x v="20"/>
    <x v="1027"/>
    <x v="2"/>
    <x v="0"/>
    <x v="0"/>
  </r>
  <r>
    <s v="ORD-02192"/>
    <x v="542"/>
    <s v="Meena Krishnan"/>
    <x v="1"/>
    <x v="2"/>
    <n v="19973.91"/>
    <n v="1"/>
    <x v="1"/>
    <x v="22"/>
    <x v="1028"/>
    <x v="0"/>
    <x v="0"/>
    <x v="1"/>
  </r>
  <r>
    <s v="ORD-01418"/>
    <x v="424"/>
    <s v="Sarita Bansal"/>
    <x v="2"/>
    <x v="0"/>
    <n v="10782"/>
    <n v="7"/>
    <x v="1"/>
    <x v="3"/>
    <x v="1029"/>
    <x v="1"/>
    <x v="0"/>
    <x v="1"/>
  </r>
  <r>
    <s v="ORD-01551"/>
    <x v="216"/>
    <s v="Geeta Pandey"/>
    <x v="2"/>
    <x v="0"/>
    <n v="963.14"/>
    <n v="5"/>
    <x v="1"/>
    <x v="4"/>
    <x v="1030"/>
    <x v="0"/>
    <x v="0"/>
    <x v="1"/>
  </r>
  <r>
    <s v="ORD-02278"/>
    <x v="173"/>
    <s v="Kavya Nair"/>
    <x v="1"/>
    <x v="1"/>
    <n v="1585.86"/>
    <n v="4"/>
    <x v="1"/>
    <x v="17"/>
    <x v="1031"/>
    <x v="0"/>
    <x v="0"/>
    <x v="1"/>
  </r>
  <r>
    <s v="ORD-02311"/>
    <x v="269"/>
    <s v="Geeta Pandey"/>
    <x v="2"/>
    <x v="2"/>
    <n v="29033.5"/>
    <n v="2"/>
    <x v="1"/>
    <x v="20"/>
    <x v="1032"/>
    <x v="0"/>
    <x v="1"/>
    <x v="1"/>
  </r>
  <r>
    <s v="ORD-01906"/>
    <x v="471"/>
    <s v="Rahul Verma"/>
    <x v="2"/>
    <x v="2"/>
    <n v="12894.75"/>
    <n v="1"/>
    <x v="1"/>
    <x v="10"/>
    <x v="1033"/>
    <x v="0"/>
    <x v="0"/>
    <x v="1"/>
  </r>
  <r>
    <s v="ORD-01423"/>
    <x v="525"/>
    <s v="Vivek Chopra"/>
    <x v="2"/>
    <x v="1"/>
    <n v="342.39"/>
    <n v="5"/>
    <x v="1"/>
    <x v="8"/>
    <x v="1034"/>
    <x v="0"/>
    <x v="0"/>
    <x v="1"/>
  </r>
  <r>
    <s v="ORD-02129"/>
    <x v="63"/>
    <s v="Arjun Reddy"/>
    <x v="0"/>
    <x v="1"/>
    <n v="2957.49"/>
    <n v="8"/>
    <x v="1"/>
    <x v="4"/>
    <x v="1035"/>
    <x v="1"/>
    <x v="0"/>
    <x v="1"/>
  </r>
  <r>
    <s v="ORD-02238"/>
    <x v="144"/>
    <s v="Sunita Menon"/>
    <x v="3"/>
    <x v="2"/>
    <n v="19579.990000000002"/>
    <n v="2"/>
    <x v="1"/>
    <x v="10"/>
    <x v="1036"/>
    <x v="0"/>
    <x v="0"/>
    <x v="1"/>
  </r>
  <r>
    <s v="ORD-01528"/>
    <x v="511"/>
    <s v="Lakshmi Venkat"/>
    <x v="1"/>
    <x v="2"/>
    <n v="4079.66"/>
    <n v="2"/>
    <x v="1"/>
    <x v="3"/>
    <x v="1037"/>
    <x v="0"/>
    <x v="0"/>
    <x v="0"/>
  </r>
  <r>
    <s v="ORD-01783"/>
    <x v="390"/>
    <s v="Kiran Nambiar"/>
    <x v="2"/>
    <x v="2"/>
    <n v="35912.06"/>
    <n v="5"/>
    <x v="1"/>
    <x v="2"/>
    <x v="1038"/>
    <x v="0"/>
    <x v="1"/>
    <x v="1"/>
  </r>
  <r>
    <s v="ORD-02388"/>
    <x v="501"/>
    <s v="Suresh Rao"/>
    <x v="2"/>
    <x v="1"/>
    <n v="2532.2800000000002"/>
    <n v="20"/>
    <x v="1"/>
    <x v="20"/>
    <x v="1039"/>
    <x v="2"/>
    <x v="0"/>
    <x v="0"/>
  </r>
  <r>
    <s v="ORD-02195"/>
    <x v="175"/>
    <s v="Arjun Reddy"/>
    <x v="0"/>
    <x v="2"/>
    <n v="0"/>
    <n v="1"/>
    <x v="2"/>
    <x v="11"/>
    <x v="0"/>
    <x v="0"/>
    <x v="0"/>
    <x v="1"/>
  </r>
  <r>
    <s v="ORD-02101"/>
    <x v="500"/>
    <s v="Geeta Pandey"/>
    <x v="2"/>
    <x v="0"/>
    <n v="0"/>
    <n v="8"/>
    <x v="0"/>
    <x v="12"/>
    <x v="0"/>
    <x v="1"/>
    <x v="0"/>
    <x v="0"/>
  </r>
  <r>
    <s v="ORD-01033"/>
    <x v="520"/>
    <s v="Smita Patil"/>
    <x v="3"/>
    <x v="0"/>
    <n v="0"/>
    <n v="1"/>
    <x v="2"/>
    <x v="10"/>
    <x v="0"/>
    <x v="0"/>
    <x v="0"/>
    <x v="0"/>
  </r>
  <r>
    <s v="ORD-01525"/>
    <x v="423"/>
    <s v="Ananya Sharma"/>
    <x v="2"/>
    <x v="1"/>
    <n v="1497.8"/>
    <n v="6"/>
    <x v="1"/>
    <x v="7"/>
    <x v="1040"/>
    <x v="1"/>
    <x v="0"/>
    <x v="1"/>
  </r>
  <r>
    <s v="ORD-01362"/>
    <x v="148"/>
    <s v="Tarun Mukerjee"/>
    <x v="3"/>
    <x v="0"/>
    <n v="0"/>
    <n v="6"/>
    <x v="0"/>
    <x v="14"/>
    <x v="0"/>
    <x v="1"/>
    <x v="0"/>
    <x v="1"/>
  </r>
  <r>
    <s v="ORD-01573"/>
    <x v="171"/>
    <s v="Sunita Menon"/>
    <x v="3"/>
    <x v="1"/>
    <n v="171.85"/>
    <n v="23"/>
    <x v="1"/>
    <x v="14"/>
    <x v="1041"/>
    <x v="2"/>
    <x v="0"/>
    <x v="0"/>
  </r>
  <r>
    <s v="ORD-01450"/>
    <x v="107"/>
    <s v="Vivek Chopra"/>
    <x v="2"/>
    <x v="2"/>
    <n v="0"/>
    <n v="1"/>
    <x v="2"/>
    <x v="16"/>
    <x v="0"/>
    <x v="0"/>
    <x v="0"/>
    <x v="0"/>
  </r>
  <r>
    <s v="ORD-01729"/>
    <x v="244"/>
    <s v="Kavya Nair"/>
    <x v="1"/>
    <x v="2"/>
    <n v="30719.55"/>
    <n v="2"/>
    <x v="1"/>
    <x v="14"/>
    <x v="1042"/>
    <x v="0"/>
    <x v="1"/>
    <x v="1"/>
  </r>
  <r>
    <s v="ORD-01022"/>
    <x v="212"/>
    <s v="Varun Naik"/>
    <x v="1"/>
    <x v="2"/>
    <n v="17326.990000000002"/>
    <n v="2"/>
    <x v="1"/>
    <x v="11"/>
    <x v="1043"/>
    <x v="0"/>
    <x v="0"/>
    <x v="1"/>
  </r>
  <r>
    <s v="ORD-01118"/>
    <x v="267"/>
    <s v="Yash Agarwal"/>
    <x v="1"/>
    <x v="1"/>
    <n v="3465.61"/>
    <n v="10"/>
    <x v="1"/>
    <x v="5"/>
    <x v="1044"/>
    <x v="1"/>
    <x v="0"/>
    <x v="0"/>
  </r>
  <r>
    <s v="ORD-02286"/>
    <x v="171"/>
    <s v="Ajay Rastogi"/>
    <x v="1"/>
    <x v="1"/>
    <n v="2564.6999999999998"/>
    <n v="9"/>
    <x v="1"/>
    <x v="14"/>
    <x v="1045"/>
    <x v="1"/>
    <x v="0"/>
    <x v="0"/>
  </r>
  <r>
    <s v="ORD-01604"/>
    <x v="214"/>
    <s v="Lakshmi Venkat"/>
    <x v="1"/>
    <x v="2"/>
    <n v="4998.93"/>
    <n v="1"/>
    <x v="1"/>
    <x v="4"/>
    <x v="1046"/>
    <x v="0"/>
    <x v="0"/>
    <x v="0"/>
  </r>
  <r>
    <s v="ORD-02253"/>
    <x v="473"/>
    <s v="Ajay Rastogi"/>
    <x v="1"/>
    <x v="1"/>
    <n v="1115.53"/>
    <n v="21"/>
    <x v="1"/>
    <x v="3"/>
    <x v="1047"/>
    <x v="2"/>
    <x v="0"/>
    <x v="1"/>
  </r>
  <r>
    <s v="ORD-01837"/>
    <x v="599"/>
    <s v="Sneha Gupta"/>
    <x v="3"/>
    <x v="0"/>
    <n v="15641.88"/>
    <n v="2"/>
    <x v="1"/>
    <x v="8"/>
    <x v="1048"/>
    <x v="0"/>
    <x v="0"/>
    <x v="1"/>
  </r>
  <r>
    <s v="ORD-01274"/>
    <x v="265"/>
    <s v="Deepa Pillai"/>
    <x v="3"/>
    <x v="1"/>
    <n v="2250.0700000000002"/>
    <n v="26"/>
    <x v="1"/>
    <x v="11"/>
    <x v="1049"/>
    <x v="2"/>
    <x v="0"/>
    <x v="0"/>
  </r>
  <r>
    <s v="ORD-01541"/>
    <x v="369"/>
    <s v="Sunita Menon"/>
    <x v="3"/>
    <x v="1"/>
    <n v="3040.78"/>
    <n v="16"/>
    <x v="1"/>
    <x v="19"/>
    <x v="1050"/>
    <x v="2"/>
    <x v="0"/>
    <x v="1"/>
  </r>
  <r>
    <s v="ORD-02125"/>
    <x v="575"/>
    <s v="Neha Tiwari"/>
    <x v="3"/>
    <x v="0"/>
    <n v="8891.27"/>
    <n v="7"/>
    <x v="1"/>
    <x v="12"/>
    <x v="1051"/>
    <x v="1"/>
    <x v="0"/>
    <x v="0"/>
  </r>
  <r>
    <s v="ORD-01171"/>
    <x v="387"/>
    <s v="Sarita Bansal"/>
    <x v="2"/>
    <x v="2"/>
    <n v="0"/>
    <n v="4"/>
    <x v="2"/>
    <x v="6"/>
    <x v="0"/>
    <x v="0"/>
    <x v="0"/>
    <x v="0"/>
  </r>
  <r>
    <s v="ORD-01665"/>
    <x v="444"/>
    <s v="Pooja Iyer"/>
    <x v="1"/>
    <x v="1"/>
    <n v="1067.68"/>
    <n v="21"/>
    <x v="1"/>
    <x v="2"/>
    <x v="1052"/>
    <x v="2"/>
    <x v="0"/>
    <x v="1"/>
  </r>
  <r>
    <s v="ORD-01756"/>
    <x v="400"/>
    <s v="Asha Kulkarni"/>
    <x v="0"/>
    <x v="0"/>
    <n v="3261.53"/>
    <n v="1"/>
    <x v="1"/>
    <x v="0"/>
    <x v="1053"/>
    <x v="0"/>
    <x v="0"/>
    <x v="0"/>
  </r>
  <r>
    <s v="ORD-02240"/>
    <x v="574"/>
    <s v="Nidhi Bhatt"/>
    <x v="0"/>
    <x v="0"/>
    <n v="0"/>
    <n v="8"/>
    <x v="2"/>
    <x v="14"/>
    <x v="0"/>
    <x v="1"/>
    <x v="0"/>
    <x v="1"/>
  </r>
  <r>
    <s v="ORD-02360"/>
    <x v="600"/>
    <s v="Kavya Nair"/>
    <x v="1"/>
    <x v="1"/>
    <n v="3162.71"/>
    <n v="30"/>
    <x v="1"/>
    <x v="4"/>
    <x v="1054"/>
    <x v="2"/>
    <x v="0"/>
    <x v="1"/>
  </r>
  <r>
    <s v="ORD-01003"/>
    <x v="34"/>
    <s v="Tarun Mukerjee"/>
    <x v="0"/>
    <x v="1"/>
    <n v="2292.1"/>
    <n v="18"/>
    <x v="1"/>
    <x v="19"/>
    <x v="1055"/>
    <x v="2"/>
    <x v="0"/>
    <x v="0"/>
  </r>
  <r>
    <s v="ORD-01238"/>
    <x v="336"/>
    <s v="Ajay Rastogi"/>
    <x v="1"/>
    <x v="0"/>
    <n v="13919.06"/>
    <n v="7"/>
    <x v="1"/>
    <x v="23"/>
    <x v="1056"/>
    <x v="1"/>
    <x v="0"/>
    <x v="1"/>
  </r>
  <r>
    <s v="ORD-02095"/>
    <x v="508"/>
    <s v="Rohan Mehta"/>
    <x v="0"/>
    <x v="0"/>
    <n v="11001.14"/>
    <n v="6"/>
    <x v="1"/>
    <x v="15"/>
    <x v="1057"/>
    <x v="1"/>
    <x v="0"/>
    <x v="0"/>
  </r>
  <r>
    <s v="ORD-02392"/>
    <x v="500"/>
    <s v="Neha Tiwari"/>
    <x v="1"/>
    <x v="2"/>
    <n v="27578.62"/>
    <n v="3"/>
    <x v="1"/>
    <x v="12"/>
    <x v="1058"/>
    <x v="0"/>
    <x v="0"/>
    <x v="0"/>
  </r>
  <r>
    <s v="ORD-01510"/>
    <x v="407"/>
    <s v="Smita Patil"/>
    <x v="3"/>
    <x v="2"/>
    <n v="8583.64"/>
    <n v="5"/>
    <x v="1"/>
    <x v="16"/>
    <x v="1059"/>
    <x v="0"/>
    <x v="0"/>
    <x v="1"/>
  </r>
  <r>
    <s v="ORD-02439"/>
    <x v="161"/>
    <s v="Nidhi Bhatt"/>
    <x v="0"/>
    <x v="0"/>
    <n v="0"/>
    <n v="6"/>
    <x v="0"/>
    <x v="18"/>
    <x v="0"/>
    <x v="1"/>
    <x v="0"/>
    <x v="0"/>
  </r>
  <r>
    <s v="ORD-01554"/>
    <x v="327"/>
    <s v="Vivek Chopra"/>
    <x v="2"/>
    <x v="0"/>
    <n v="15490.76"/>
    <n v="2"/>
    <x v="1"/>
    <x v="11"/>
    <x v="1060"/>
    <x v="0"/>
    <x v="0"/>
    <x v="1"/>
  </r>
  <r>
    <s v="ORD-01273"/>
    <x v="440"/>
    <s v="Lakshmi Venkat"/>
    <x v="1"/>
    <x v="1"/>
    <n v="274.04000000000002"/>
    <n v="18"/>
    <x v="1"/>
    <x v="4"/>
    <x v="1061"/>
    <x v="2"/>
    <x v="0"/>
    <x v="1"/>
  </r>
  <r>
    <s v="ORD-01569"/>
    <x v="305"/>
    <s v="Tarun Mukerjee"/>
    <x v="3"/>
    <x v="0"/>
    <n v="12414.11"/>
    <n v="8"/>
    <x v="1"/>
    <x v="9"/>
    <x v="1062"/>
    <x v="1"/>
    <x v="0"/>
    <x v="0"/>
  </r>
  <r>
    <s v="ORD-01304"/>
    <x v="394"/>
    <s v="Varun Naik"/>
    <x v="1"/>
    <x v="1"/>
    <n v="1739.97"/>
    <n v="19"/>
    <x v="1"/>
    <x v="6"/>
    <x v="1063"/>
    <x v="2"/>
    <x v="0"/>
    <x v="1"/>
  </r>
  <r>
    <s v="ORD-01081"/>
    <x v="502"/>
    <s v="Riya Malhotra"/>
    <x v="3"/>
    <x v="2"/>
    <n v="32023.73"/>
    <n v="1"/>
    <x v="1"/>
    <x v="12"/>
    <x v="1064"/>
    <x v="0"/>
    <x v="1"/>
    <x v="0"/>
  </r>
  <r>
    <s v="ORD-01598"/>
    <x v="489"/>
    <s v="Tarun Mukerjee"/>
    <x v="3"/>
    <x v="0"/>
    <n v="15017.53"/>
    <n v="4"/>
    <x v="1"/>
    <x v="13"/>
    <x v="1065"/>
    <x v="0"/>
    <x v="0"/>
    <x v="0"/>
  </r>
  <r>
    <s v="ORD-02395"/>
    <x v="317"/>
    <s v="Manish Srivastava"/>
    <x v="2"/>
    <x v="0"/>
    <n v="15416.55"/>
    <n v="5"/>
    <x v="1"/>
    <x v="12"/>
    <x v="1066"/>
    <x v="0"/>
    <x v="0"/>
    <x v="1"/>
  </r>
  <r>
    <s v="ORD-02369"/>
    <x v="598"/>
    <s v="Dev Mathur"/>
    <x v="3"/>
    <x v="1"/>
    <n v="214.76"/>
    <n v="21"/>
    <x v="1"/>
    <x v="20"/>
    <x v="1067"/>
    <x v="2"/>
    <x v="0"/>
    <x v="0"/>
  </r>
  <r>
    <s v="ORD-02343"/>
    <x v="211"/>
    <s v="Rajesh Choudhury"/>
    <x v="0"/>
    <x v="1"/>
    <n v="1904.73"/>
    <n v="11"/>
    <x v="1"/>
    <x v="8"/>
    <x v="1068"/>
    <x v="1"/>
    <x v="0"/>
    <x v="1"/>
  </r>
  <r>
    <s v="ORD-01459"/>
    <x v="242"/>
    <s v="Tarun Mukerjee"/>
    <x v="3"/>
    <x v="1"/>
    <n v="1032.98"/>
    <n v="23"/>
    <x v="1"/>
    <x v="9"/>
    <x v="1069"/>
    <x v="2"/>
    <x v="0"/>
    <x v="0"/>
  </r>
  <r>
    <s v="ORD-01351"/>
    <x v="601"/>
    <s v="Pooja Iyer"/>
    <x v="1"/>
    <x v="0"/>
    <n v="4444.66"/>
    <n v="6"/>
    <x v="1"/>
    <x v="20"/>
    <x v="1070"/>
    <x v="1"/>
    <x v="0"/>
    <x v="1"/>
  </r>
  <r>
    <s v="ORD-01244"/>
    <x v="495"/>
    <s v="Rohan Mehta"/>
    <x v="0"/>
    <x v="2"/>
    <n v="37891.589999999997"/>
    <n v="3"/>
    <x v="1"/>
    <x v="2"/>
    <x v="1071"/>
    <x v="0"/>
    <x v="1"/>
    <x v="1"/>
  </r>
  <r>
    <s v="ORD-02404"/>
    <x v="602"/>
    <s v="Rohan Mehta"/>
    <x v="0"/>
    <x v="1"/>
    <n v="560.20000000000005"/>
    <n v="20"/>
    <x v="1"/>
    <x v="23"/>
    <x v="1072"/>
    <x v="2"/>
    <x v="0"/>
    <x v="0"/>
  </r>
  <r>
    <s v="ORD-01550"/>
    <x v="451"/>
    <s v="Tara Saxena"/>
    <x v="3"/>
    <x v="0"/>
    <n v="15838.72"/>
    <n v="5"/>
    <x v="1"/>
    <x v="7"/>
    <x v="1073"/>
    <x v="0"/>
    <x v="0"/>
    <x v="1"/>
  </r>
  <r>
    <s v="ORD-01607"/>
    <x v="603"/>
    <s v="Divya Kaur"/>
    <x v="1"/>
    <x v="0"/>
    <n v="14458.21"/>
    <n v="3"/>
    <x v="1"/>
    <x v="1"/>
    <x v="1074"/>
    <x v="0"/>
    <x v="0"/>
    <x v="1"/>
  </r>
  <r>
    <s v="ORD-01452"/>
    <x v="497"/>
    <s v="Yash Agarwal"/>
    <x v="3"/>
    <x v="2"/>
    <n v="0"/>
    <n v="4"/>
    <x v="2"/>
    <x v="4"/>
    <x v="0"/>
    <x v="0"/>
    <x v="0"/>
    <x v="1"/>
  </r>
  <r>
    <s v="ORD-01622"/>
    <x v="272"/>
    <s v="Sarita Bansal"/>
    <x v="2"/>
    <x v="1"/>
    <n v="2317.23"/>
    <n v="23"/>
    <x v="1"/>
    <x v="9"/>
    <x v="1075"/>
    <x v="2"/>
    <x v="0"/>
    <x v="0"/>
  </r>
  <r>
    <s v="ORD-01531"/>
    <x v="281"/>
    <s v="Vikram Singh"/>
    <x v="2"/>
    <x v="2"/>
    <n v="0"/>
    <n v="4"/>
    <x v="2"/>
    <x v="12"/>
    <x v="0"/>
    <x v="0"/>
    <x v="0"/>
    <x v="0"/>
  </r>
  <r>
    <s v="ORD-02452"/>
    <x v="602"/>
    <s v="Ajay Rastogi"/>
    <x v="1"/>
    <x v="2"/>
    <n v="0"/>
    <n v="4"/>
    <x v="2"/>
    <x v="23"/>
    <x v="0"/>
    <x v="0"/>
    <x v="0"/>
    <x v="0"/>
  </r>
  <r>
    <s v="ORD-02350"/>
    <x v="560"/>
    <s v="Ananya Sharma"/>
    <x v="1"/>
    <x v="0"/>
    <n v="7222.56"/>
    <n v="2"/>
    <x v="1"/>
    <x v="19"/>
    <x v="1076"/>
    <x v="0"/>
    <x v="0"/>
    <x v="1"/>
  </r>
  <r>
    <s v="ORD-01933"/>
    <x v="420"/>
    <s v="Kavya Nair"/>
    <x v="1"/>
    <x v="2"/>
    <n v="32683.19"/>
    <n v="4"/>
    <x v="1"/>
    <x v="3"/>
    <x v="1077"/>
    <x v="0"/>
    <x v="1"/>
    <x v="1"/>
  </r>
  <r>
    <s v="ORD-02051"/>
    <x v="297"/>
    <s v="Smita Patil"/>
    <x v="3"/>
    <x v="0"/>
    <n v="15775.14"/>
    <n v="2"/>
    <x v="1"/>
    <x v="1"/>
    <x v="1078"/>
    <x v="0"/>
    <x v="0"/>
    <x v="1"/>
  </r>
  <r>
    <s v="ORD-01019"/>
    <x v="242"/>
    <s v="Ananya Sharma"/>
    <x v="1"/>
    <x v="2"/>
    <n v="0"/>
    <n v="5"/>
    <x v="0"/>
    <x v="9"/>
    <x v="0"/>
    <x v="0"/>
    <x v="0"/>
    <x v="0"/>
  </r>
  <r>
    <s v="ORD-02213"/>
    <x v="604"/>
    <s v="Meena Krishnan"/>
    <x v="1"/>
    <x v="0"/>
    <n v="13917.92"/>
    <n v="5"/>
    <x v="1"/>
    <x v="15"/>
    <x v="1079"/>
    <x v="0"/>
    <x v="0"/>
    <x v="1"/>
  </r>
  <r>
    <s v="ORD-01447"/>
    <x v="207"/>
    <s v="Deepa Pillai"/>
    <x v="3"/>
    <x v="2"/>
    <n v="44639.25"/>
    <n v="4"/>
    <x v="1"/>
    <x v="21"/>
    <x v="1080"/>
    <x v="0"/>
    <x v="1"/>
    <x v="1"/>
  </r>
  <r>
    <s v="ORD-02172"/>
    <x v="195"/>
    <s v="Ajay Rastogi"/>
    <x v="1"/>
    <x v="2"/>
    <n v="0"/>
    <n v="4"/>
    <x v="2"/>
    <x v="19"/>
    <x v="0"/>
    <x v="0"/>
    <x v="0"/>
    <x v="0"/>
  </r>
  <r>
    <s v="ORD-01328"/>
    <x v="504"/>
    <s v="Rajesh Choudhury"/>
    <x v="0"/>
    <x v="1"/>
    <n v="0"/>
    <n v="13"/>
    <x v="2"/>
    <x v="22"/>
    <x v="0"/>
    <x v="1"/>
    <x v="0"/>
    <x v="1"/>
  </r>
  <r>
    <s v="ORD-01008"/>
    <x v="154"/>
    <s v="Harsh Shah"/>
    <x v="2"/>
    <x v="1"/>
    <n v="289.97000000000003"/>
    <n v="22"/>
    <x v="1"/>
    <x v="22"/>
    <x v="1081"/>
    <x v="2"/>
    <x v="0"/>
    <x v="1"/>
  </r>
  <r>
    <s v="ORD-01377"/>
    <x v="79"/>
    <s v="Suresh Rao"/>
    <x v="2"/>
    <x v="2"/>
    <n v="14058.88"/>
    <n v="1"/>
    <x v="1"/>
    <x v="0"/>
    <x v="1082"/>
    <x v="0"/>
    <x v="0"/>
    <x v="1"/>
  </r>
  <r>
    <s v="ORD-01424"/>
    <x v="140"/>
    <s v="Suresh Rao"/>
    <x v="2"/>
    <x v="2"/>
    <n v="17300.13"/>
    <n v="2"/>
    <x v="1"/>
    <x v="21"/>
    <x v="1083"/>
    <x v="0"/>
    <x v="0"/>
    <x v="1"/>
  </r>
  <r>
    <s v="ORD-01557"/>
    <x v="168"/>
    <s v="Asha Kulkarni"/>
    <x v="0"/>
    <x v="2"/>
    <n v="23574.92"/>
    <n v="2"/>
    <x v="1"/>
    <x v="15"/>
    <x v="1084"/>
    <x v="0"/>
    <x v="0"/>
    <x v="0"/>
  </r>
  <r>
    <s v="ORD-02244"/>
    <x v="217"/>
    <s v="Rahul Verma"/>
    <x v="2"/>
    <x v="1"/>
    <n v="1049.0899999999999"/>
    <n v="17"/>
    <x v="1"/>
    <x v="16"/>
    <x v="1085"/>
    <x v="2"/>
    <x v="0"/>
    <x v="1"/>
  </r>
  <r>
    <s v="ORD-01821"/>
    <x v="134"/>
    <s v="Tara Saxena"/>
    <x v="3"/>
    <x v="2"/>
    <n v="6642.76"/>
    <n v="1"/>
    <x v="1"/>
    <x v="10"/>
    <x v="1086"/>
    <x v="0"/>
    <x v="0"/>
    <x v="1"/>
  </r>
  <r>
    <s v="ORD-01800"/>
    <x v="522"/>
    <s v="Geeta Pandey"/>
    <x v="2"/>
    <x v="2"/>
    <n v="21488.21"/>
    <n v="1"/>
    <x v="1"/>
    <x v="4"/>
    <x v="1087"/>
    <x v="0"/>
    <x v="0"/>
    <x v="0"/>
  </r>
  <r>
    <s v="ORD-02152"/>
    <x v="516"/>
    <s v="Ajay Rastogi"/>
    <x v="1"/>
    <x v="1"/>
    <n v="1864.14"/>
    <n v="25"/>
    <x v="1"/>
    <x v="12"/>
    <x v="1088"/>
    <x v="2"/>
    <x v="0"/>
    <x v="0"/>
  </r>
  <r>
    <s v="ORD-01028"/>
    <x v="523"/>
    <s v="Yash Agarwal"/>
    <x v="1"/>
    <x v="2"/>
    <n v="3629.94"/>
    <n v="1"/>
    <x v="1"/>
    <x v="19"/>
    <x v="1089"/>
    <x v="0"/>
    <x v="0"/>
    <x v="1"/>
  </r>
  <r>
    <s v="ORD-02044"/>
    <x v="559"/>
    <s v="Amit Kumar"/>
    <x v="0"/>
    <x v="1"/>
    <n v="3178.74"/>
    <n v="15"/>
    <x v="1"/>
    <x v="0"/>
    <x v="1090"/>
    <x v="1"/>
    <x v="0"/>
    <x v="0"/>
  </r>
  <r>
    <s v="ORD-01897"/>
    <x v="92"/>
    <s v="Priya Patel"/>
    <x v="3"/>
    <x v="2"/>
    <n v="22769.81"/>
    <n v="2"/>
    <x v="1"/>
    <x v="11"/>
    <x v="1091"/>
    <x v="0"/>
    <x v="0"/>
    <x v="0"/>
  </r>
  <r>
    <s v="ORD-01339"/>
    <x v="213"/>
    <s v="Vikram Singh"/>
    <x v="2"/>
    <x v="1"/>
    <n v="1483.21"/>
    <n v="19"/>
    <x v="1"/>
    <x v="5"/>
    <x v="1092"/>
    <x v="2"/>
    <x v="0"/>
    <x v="1"/>
  </r>
  <r>
    <s v="ORD-02376"/>
    <x v="605"/>
    <s v="Lakshmi Venkat"/>
    <x v="0"/>
    <x v="0"/>
    <n v="4195.7"/>
    <n v="5"/>
    <x v="1"/>
    <x v="16"/>
    <x v="1093"/>
    <x v="0"/>
    <x v="0"/>
    <x v="1"/>
  </r>
  <r>
    <s v="ORD-02052"/>
    <x v="606"/>
    <s v="Sunita Menon"/>
    <x v="3"/>
    <x v="0"/>
    <n v="0"/>
    <n v="7"/>
    <x v="2"/>
    <x v="10"/>
    <x v="0"/>
    <x v="1"/>
    <x v="0"/>
    <x v="0"/>
  </r>
  <r>
    <s v="ORD-02091"/>
    <x v="288"/>
    <s v="Kiran Nambiar"/>
    <x v="2"/>
    <x v="0"/>
    <n v="0"/>
    <n v="5"/>
    <x v="0"/>
    <x v="2"/>
    <x v="0"/>
    <x v="0"/>
    <x v="0"/>
    <x v="0"/>
  </r>
  <r>
    <s v="ORD-02014"/>
    <x v="246"/>
    <s v="Manish Srivastava"/>
    <x v="3"/>
    <x v="1"/>
    <n v="165.99"/>
    <n v="17"/>
    <x v="1"/>
    <x v="20"/>
    <x v="1094"/>
    <x v="2"/>
    <x v="0"/>
    <x v="0"/>
  </r>
  <r>
    <s v="ORD-01815"/>
    <x v="607"/>
    <s v="Kavya Nair"/>
    <x v="1"/>
    <x v="0"/>
    <n v="3360.37"/>
    <n v="2"/>
    <x v="1"/>
    <x v="2"/>
    <x v="1095"/>
    <x v="0"/>
    <x v="0"/>
    <x v="1"/>
  </r>
  <r>
    <s v="ORD-01390"/>
    <x v="582"/>
    <s v="Amit Kumar"/>
    <x v="0"/>
    <x v="0"/>
    <n v="6684.39"/>
    <n v="2"/>
    <x v="1"/>
    <x v="23"/>
    <x v="1096"/>
    <x v="0"/>
    <x v="0"/>
    <x v="1"/>
  </r>
  <r>
    <s v="ORD-01125"/>
    <x v="608"/>
    <s v="Vikram Singh"/>
    <x v="2"/>
    <x v="0"/>
    <n v="10832.28"/>
    <n v="5"/>
    <x v="1"/>
    <x v="18"/>
    <x v="1097"/>
    <x v="0"/>
    <x v="0"/>
    <x v="1"/>
  </r>
  <r>
    <s v="ORD-02160"/>
    <x v="609"/>
    <s v="Varun Naik"/>
    <x v="1"/>
    <x v="0"/>
    <n v="17602.169999999998"/>
    <n v="6"/>
    <x v="1"/>
    <x v="14"/>
    <x v="1098"/>
    <x v="1"/>
    <x v="0"/>
    <x v="0"/>
  </r>
  <r>
    <s v="ORD-01094"/>
    <x v="418"/>
    <s v="Sneha Gupta"/>
    <x v="3"/>
    <x v="0"/>
    <n v="10491.6"/>
    <n v="7"/>
    <x v="1"/>
    <x v="11"/>
    <x v="739"/>
    <x v="1"/>
    <x v="0"/>
    <x v="1"/>
  </r>
  <r>
    <s v="ORD-01594"/>
    <x v="423"/>
    <s v="Rohan Mehta"/>
    <x v="1"/>
    <x v="0"/>
    <n v="8164.36"/>
    <n v="2"/>
    <x v="1"/>
    <x v="7"/>
    <x v="1099"/>
    <x v="0"/>
    <x v="0"/>
    <x v="1"/>
  </r>
  <r>
    <s v="ORD-01265"/>
    <x v="546"/>
    <s v="Nikhil Desai"/>
    <x v="0"/>
    <x v="2"/>
    <n v="4116.82"/>
    <n v="4"/>
    <x v="1"/>
    <x v="10"/>
    <x v="1100"/>
    <x v="0"/>
    <x v="0"/>
    <x v="1"/>
  </r>
  <r>
    <s v="ORD-01562"/>
    <x v="610"/>
    <s v="Padma Subramaniam"/>
    <x v="2"/>
    <x v="2"/>
    <n v="0"/>
    <n v="3"/>
    <x v="0"/>
    <x v="0"/>
    <x v="0"/>
    <x v="0"/>
    <x v="0"/>
    <x v="1"/>
  </r>
  <r>
    <s v="ORD-02228"/>
    <x v="354"/>
    <s v="Smita Patil"/>
    <x v="3"/>
    <x v="1"/>
    <n v="1445.54"/>
    <n v="7"/>
    <x v="1"/>
    <x v="10"/>
    <x v="1101"/>
    <x v="1"/>
    <x v="0"/>
    <x v="1"/>
  </r>
  <r>
    <s v="ORD-01342"/>
    <x v="295"/>
    <s v="Kavya Nair"/>
    <x v="1"/>
    <x v="0"/>
    <n v="861.71"/>
    <n v="7"/>
    <x v="1"/>
    <x v="18"/>
    <x v="1102"/>
    <x v="1"/>
    <x v="0"/>
    <x v="1"/>
  </r>
  <r>
    <s v="ORD-01045"/>
    <x v="465"/>
    <s v="Kavya Nair"/>
    <x v="1"/>
    <x v="2"/>
    <n v="24563.439999999999"/>
    <n v="5"/>
    <x v="1"/>
    <x v="11"/>
    <x v="1103"/>
    <x v="0"/>
    <x v="0"/>
    <x v="1"/>
  </r>
  <r>
    <s v="ORD-02032"/>
    <x v="111"/>
    <s v="Sunita Menon"/>
    <x v="3"/>
    <x v="1"/>
    <n v="124.11"/>
    <n v="7"/>
    <x v="1"/>
    <x v="6"/>
    <x v="1104"/>
    <x v="1"/>
    <x v="0"/>
    <x v="1"/>
  </r>
  <r>
    <s v="ORD-02073"/>
    <x v="567"/>
    <s v="Sanjay Joshi"/>
    <x v="2"/>
    <x v="2"/>
    <n v="33705.14"/>
    <n v="1"/>
    <x v="1"/>
    <x v="6"/>
    <x v="1105"/>
    <x v="0"/>
    <x v="1"/>
    <x v="0"/>
  </r>
  <r>
    <s v="ORD-01859"/>
    <x v="352"/>
    <s v="Dev Mathur"/>
    <x v="3"/>
    <x v="1"/>
    <n v="185.42"/>
    <n v="13"/>
    <x v="1"/>
    <x v="19"/>
    <x v="1106"/>
    <x v="1"/>
    <x v="0"/>
    <x v="0"/>
  </r>
  <r>
    <s v="ORD-01989"/>
    <x v="359"/>
    <s v="Priya Patel"/>
    <x v="3"/>
    <x v="0"/>
    <n v="1419.03"/>
    <n v="5"/>
    <x v="1"/>
    <x v="2"/>
    <x v="1107"/>
    <x v="0"/>
    <x v="0"/>
    <x v="1"/>
  </r>
  <r>
    <s v="ORD-01139"/>
    <x v="525"/>
    <s v="Nikhil Desai"/>
    <x v="0"/>
    <x v="0"/>
    <n v="17650.330000000002"/>
    <n v="4"/>
    <x v="1"/>
    <x v="8"/>
    <x v="1108"/>
    <x v="0"/>
    <x v="0"/>
    <x v="1"/>
  </r>
  <r>
    <s v="ORD-01894"/>
    <x v="368"/>
    <s v="Gaurav Mishra"/>
    <x v="0"/>
    <x v="0"/>
    <n v="1471.97"/>
    <n v="3"/>
    <x v="1"/>
    <x v="0"/>
    <x v="1109"/>
    <x v="0"/>
    <x v="0"/>
    <x v="1"/>
  </r>
  <r>
    <s v="ORD-01241"/>
    <x v="207"/>
    <s v="Tara Saxena"/>
    <x v="3"/>
    <x v="2"/>
    <n v="12857.38"/>
    <n v="5"/>
    <x v="1"/>
    <x v="21"/>
    <x v="1110"/>
    <x v="0"/>
    <x v="0"/>
    <x v="1"/>
  </r>
  <r>
    <s v="ORD-02386"/>
    <x v="170"/>
    <s v="Asha Kulkarni"/>
    <x v="0"/>
    <x v="0"/>
    <n v="0"/>
    <n v="5"/>
    <x v="0"/>
    <x v="20"/>
    <x v="0"/>
    <x v="0"/>
    <x v="0"/>
    <x v="1"/>
  </r>
  <r>
    <s v="ORD-01919"/>
    <x v="313"/>
    <s v="Kavya Nair"/>
    <x v="1"/>
    <x v="1"/>
    <n v="2088.85"/>
    <n v="26"/>
    <x v="1"/>
    <x v="23"/>
    <x v="1111"/>
    <x v="2"/>
    <x v="0"/>
    <x v="1"/>
  </r>
  <r>
    <s v="ORD-01750"/>
    <x v="7"/>
    <s v="Rohan Mehta"/>
    <x v="0"/>
    <x v="0"/>
    <n v="15652.42"/>
    <n v="4"/>
    <x v="1"/>
    <x v="6"/>
    <x v="1112"/>
    <x v="0"/>
    <x v="0"/>
    <x v="1"/>
  </r>
  <r>
    <s v="ORD-01712"/>
    <x v="537"/>
    <s v="Sunita Menon"/>
    <x v="3"/>
    <x v="1"/>
    <n v="1714.51"/>
    <n v="12"/>
    <x v="1"/>
    <x v="13"/>
    <x v="1113"/>
    <x v="1"/>
    <x v="0"/>
    <x v="1"/>
  </r>
  <r>
    <s v="ORD-02148"/>
    <x v="273"/>
    <s v="Nidhi Bhatt"/>
    <x v="0"/>
    <x v="0"/>
    <n v="3816.35"/>
    <n v="7"/>
    <x v="1"/>
    <x v="12"/>
    <x v="1114"/>
    <x v="1"/>
    <x v="0"/>
    <x v="1"/>
  </r>
  <r>
    <s v="ORD-01518"/>
    <x v="47"/>
    <s v="Geeta Pandey"/>
    <x v="2"/>
    <x v="2"/>
    <n v="0"/>
    <n v="5"/>
    <x v="2"/>
    <x v="10"/>
    <x v="0"/>
    <x v="0"/>
    <x v="0"/>
    <x v="0"/>
  </r>
  <r>
    <s v="ORD-02128"/>
    <x v="125"/>
    <s v="Arjun Reddy"/>
    <x v="0"/>
    <x v="0"/>
    <n v="15648.94"/>
    <n v="7"/>
    <x v="1"/>
    <x v="20"/>
    <x v="1115"/>
    <x v="1"/>
    <x v="0"/>
    <x v="0"/>
  </r>
  <r>
    <s v="ORD-02432"/>
    <x v="424"/>
    <s v="Deepa Pillai"/>
    <x v="3"/>
    <x v="0"/>
    <n v="16276.88"/>
    <n v="5"/>
    <x v="1"/>
    <x v="3"/>
    <x v="1116"/>
    <x v="0"/>
    <x v="0"/>
    <x v="1"/>
  </r>
  <r>
    <s v="ORD-01393"/>
    <x v="487"/>
    <s v="Padma Subramaniam"/>
    <x v="2"/>
    <x v="1"/>
    <n v="2756.31"/>
    <n v="28"/>
    <x v="1"/>
    <x v="6"/>
    <x v="1117"/>
    <x v="2"/>
    <x v="0"/>
    <x v="1"/>
  </r>
  <r>
    <s v="ORD-01262"/>
    <x v="565"/>
    <s v="Arjun Reddy"/>
    <x v="0"/>
    <x v="2"/>
    <n v="24909.97"/>
    <n v="3"/>
    <x v="1"/>
    <x v="10"/>
    <x v="1118"/>
    <x v="0"/>
    <x v="0"/>
    <x v="0"/>
  </r>
  <r>
    <s v="ORD-01090"/>
    <x v="277"/>
    <s v="Dev Mathur"/>
    <x v="3"/>
    <x v="2"/>
    <n v="0"/>
    <n v="1"/>
    <x v="0"/>
    <x v="3"/>
    <x v="0"/>
    <x v="0"/>
    <x v="0"/>
    <x v="1"/>
  </r>
  <r>
    <s v="ORD-01315"/>
    <x v="611"/>
    <s v="Tara Saxena"/>
    <x v="3"/>
    <x v="1"/>
    <n v="1924.01"/>
    <n v="29"/>
    <x v="1"/>
    <x v="1"/>
    <x v="1119"/>
    <x v="2"/>
    <x v="0"/>
    <x v="0"/>
  </r>
  <r>
    <s v="ORD-02093"/>
    <x v="558"/>
    <s v="Nikhil Desai"/>
    <x v="0"/>
    <x v="0"/>
    <n v="2212.25"/>
    <n v="5"/>
    <x v="1"/>
    <x v="19"/>
    <x v="1120"/>
    <x v="0"/>
    <x v="0"/>
    <x v="1"/>
  </r>
  <r>
    <s v="ORD-01414"/>
    <x v="441"/>
    <s v="Sneha Gupta"/>
    <x v="3"/>
    <x v="1"/>
    <n v="1610.94"/>
    <n v="3"/>
    <x v="1"/>
    <x v="15"/>
    <x v="1121"/>
    <x v="0"/>
    <x v="0"/>
    <x v="1"/>
  </r>
  <r>
    <s v="ORD-01972"/>
    <x v="121"/>
    <s v="Nikhil Desai"/>
    <x v="0"/>
    <x v="0"/>
    <n v="16311.73"/>
    <n v="1"/>
    <x v="1"/>
    <x v="16"/>
    <x v="1122"/>
    <x v="0"/>
    <x v="0"/>
    <x v="0"/>
  </r>
  <r>
    <s v="ORD-01618"/>
    <x v="612"/>
    <s v="Arjun Reddy"/>
    <x v="0"/>
    <x v="0"/>
    <n v="0"/>
    <n v="8"/>
    <x v="0"/>
    <x v="5"/>
    <x v="0"/>
    <x v="1"/>
    <x v="0"/>
    <x v="1"/>
  </r>
  <r>
    <s v="ORD-01703"/>
    <x v="162"/>
    <s v="Tarun Mukerjee"/>
    <x v="1"/>
    <x v="2"/>
    <n v="22115.05"/>
    <n v="2"/>
    <x v="1"/>
    <x v="22"/>
    <x v="1123"/>
    <x v="0"/>
    <x v="0"/>
    <x v="0"/>
  </r>
  <r>
    <s v="ORD-02268"/>
    <x v="91"/>
    <s v="Dev Mathur"/>
    <x v="3"/>
    <x v="2"/>
    <n v="24559.07"/>
    <n v="4"/>
    <x v="1"/>
    <x v="23"/>
    <x v="1124"/>
    <x v="0"/>
    <x v="0"/>
    <x v="1"/>
  </r>
  <r>
    <s v="ORD-02120"/>
    <x v="359"/>
    <s v="Bhavna Dubey"/>
    <x v="0"/>
    <x v="1"/>
    <n v="0"/>
    <n v="20"/>
    <x v="0"/>
    <x v="2"/>
    <x v="0"/>
    <x v="2"/>
    <x v="0"/>
    <x v="1"/>
  </r>
  <r>
    <s v="ORD-01154"/>
    <x v="304"/>
    <s v="Deepa Pillai"/>
    <x v="3"/>
    <x v="1"/>
    <n v="0"/>
    <n v="20"/>
    <x v="2"/>
    <x v="13"/>
    <x v="0"/>
    <x v="2"/>
    <x v="0"/>
    <x v="1"/>
  </r>
  <r>
    <s v="ORD-01203"/>
    <x v="524"/>
    <s v="Vikram Singh"/>
    <x v="2"/>
    <x v="1"/>
    <n v="221.68"/>
    <n v="3"/>
    <x v="1"/>
    <x v="18"/>
    <x v="1125"/>
    <x v="0"/>
    <x v="0"/>
    <x v="1"/>
  </r>
  <r>
    <s v="ORD-01913"/>
    <x v="613"/>
    <s v="Bhavna Dubey"/>
    <x v="0"/>
    <x v="2"/>
    <n v="7152.5"/>
    <n v="5"/>
    <x v="1"/>
    <x v="8"/>
    <x v="1126"/>
    <x v="0"/>
    <x v="0"/>
    <x v="0"/>
  </r>
  <r>
    <s v="ORD-01396"/>
    <x v="198"/>
    <s v="Geeta Pandey"/>
    <x v="2"/>
    <x v="2"/>
    <n v="20012.689999999999"/>
    <n v="4"/>
    <x v="1"/>
    <x v="1"/>
    <x v="1127"/>
    <x v="0"/>
    <x v="0"/>
    <x v="1"/>
  </r>
  <r>
    <s v="ORD-01391"/>
    <x v="48"/>
    <s v="Yash Agarwal"/>
    <x v="1"/>
    <x v="0"/>
    <n v="2109.5"/>
    <n v="2"/>
    <x v="1"/>
    <x v="11"/>
    <x v="1128"/>
    <x v="0"/>
    <x v="0"/>
    <x v="0"/>
  </r>
  <r>
    <s v="ORD-02341"/>
    <x v="498"/>
    <s v="Rohan Mehta"/>
    <x v="0"/>
    <x v="1"/>
    <n v="0"/>
    <n v="10"/>
    <x v="2"/>
    <x v="9"/>
    <x v="0"/>
    <x v="1"/>
    <x v="0"/>
    <x v="1"/>
  </r>
  <r>
    <s v="ORD-02202"/>
    <x v="614"/>
    <s v="Geeta Pandey"/>
    <x v="2"/>
    <x v="1"/>
    <n v="2159.66"/>
    <n v="22"/>
    <x v="1"/>
    <x v="16"/>
    <x v="1129"/>
    <x v="2"/>
    <x v="0"/>
    <x v="1"/>
  </r>
  <r>
    <s v="ORD-01085"/>
    <x v="482"/>
    <s v="Nikhil Desai"/>
    <x v="0"/>
    <x v="2"/>
    <n v="0"/>
    <n v="4"/>
    <x v="2"/>
    <x v="2"/>
    <x v="0"/>
    <x v="0"/>
    <x v="0"/>
    <x v="0"/>
  </r>
  <r>
    <s v="ORD-02467"/>
    <x v="463"/>
    <s v="Vivek Chopra"/>
    <x v="3"/>
    <x v="1"/>
    <n v="1892.65"/>
    <n v="5"/>
    <x v="1"/>
    <x v="14"/>
    <x v="1130"/>
    <x v="0"/>
    <x v="0"/>
    <x v="1"/>
  </r>
  <r>
    <s v="ORD-02233"/>
    <x v="615"/>
    <s v="Smita Patil"/>
    <x v="3"/>
    <x v="1"/>
    <n v="3297.63"/>
    <n v="15"/>
    <x v="1"/>
    <x v="19"/>
    <x v="1131"/>
    <x v="1"/>
    <x v="0"/>
    <x v="1"/>
  </r>
  <r>
    <s v="ORD-02290"/>
    <x v="523"/>
    <s v="Priya Patel"/>
    <x v="3"/>
    <x v="2"/>
    <n v="2875.84"/>
    <n v="4"/>
    <x v="1"/>
    <x v="19"/>
    <x v="1132"/>
    <x v="0"/>
    <x v="0"/>
    <x v="1"/>
  </r>
  <r>
    <s v="ORD-01268"/>
    <x v="157"/>
    <s v="Tarun Mukerjee"/>
    <x v="3"/>
    <x v="0"/>
    <n v="17094.18"/>
    <n v="6"/>
    <x v="1"/>
    <x v="20"/>
    <x v="1133"/>
    <x v="1"/>
    <x v="0"/>
    <x v="1"/>
  </r>
  <r>
    <s v="ORD-01218"/>
    <x v="569"/>
    <s v="Yash Agarwal"/>
    <x v="1"/>
    <x v="1"/>
    <n v="2268.3200000000002"/>
    <n v="20"/>
    <x v="1"/>
    <x v="0"/>
    <x v="1134"/>
    <x v="2"/>
    <x v="0"/>
    <x v="1"/>
  </r>
  <r>
    <s v="ORD-01179"/>
    <x v="66"/>
    <s v="Tarun Mukerjee"/>
    <x v="3"/>
    <x v="2"/>
    <n v="35576.32"/>
    <n v="2"/>
    <x v="1"/>
    <x v="17"/>
    <x v="1135"/>
    <x v="0"/>
    <x v="1"/>
    <x v="1"/>
  </r>
  <r>
    <s v="ORD-01787"/>
    <x v="340"/>
    <s v="Dev Mathur"/>
    <x v="3"/>
    <x v="2"/>
    <n v="22362.66"/>
    <n v="3"/>
    <x v="1"/>
    <x v="12"/>
    <x v="1136"/>
    <x v="0"/>
    <x v="0"/>
    <x v="1"/>
  </r>
  <r>
    <s v="ORD-02197"/>
    <x v="477"/>
    <s v="Dev Mathur"/>
    <x v="3"/>
    <x v="0"/>
    <n v="13924.06"/>
    <n v="3"/>
    <x v="1"/>
    <x v="17"/>
    <x v="1137"/>
    <x v="0"/>
    <x v="0"/>
    <x v="1"/>
  </r>
  <r>
    <s v="ORD-01431"/>
    <x v="556"/>
    <s v="Tara Saxena"/>
    <x v="3"/>
    <x v="0"/>
    <n v="10312.01"/>
    <n v="8"/>
    <x v="1"/>
    <x v="9"/>
    <x v="1138"/>
    <x v="1"/>
    <x v="0"/>
    <x v="1"/>
  </r>
  <r>
    <s v="ORD-01566"/>
    <x v="495"/>
    <s v="Meena Krishnan"/>
    <x v="1"/>
    <x v="0"/>
    <n v="12915.51"/>
    <n v="5"/>
    <x v="1"/>
    <x v="2"/>
    <x v="1139"/>
    <x v="0"/>
    <x v="0"/>
    <x v="1"/>
  </r>
  <r>
    <s v="ORD-02332"/>
    <x v="585"/>
    <s v="Kavya Nair"/>
    <x v="1"/>
    <x v="2"/>
    <n v="13817.69"/>
    <n v="5"/>
    <x v="1"/>
    <x v="17"/>
    <x v="1140"/>
    <x v="0"/>
    <x v="0"/>
    <x v="1"/>
  </r>
  <r>
    <s v="ORD-01488"/>
    <x v="81"/>
    <s v="Nidhi Bhatt"/>
    <x v="0"/>
    <x v="0"/>
    <n v="12025.26"/>
    <n v="3"/>
    <x v="1"/>
    <x v="18"/>
    <x v="1141"/>
    <x v="0"/>
    <x v="0"/>
    <x v="0"/>
  </r>
  <r>
    <s v="ORD-01762"/>
    <x v="441"/>
    <s v="Bhavna Dubey"/>
    <x v="0"/>
    <x v="1"/>
    <n v="3275.26"/>
    <n v="18"/>
    <x v="1"/>
    <x v="15"/>
    <x v="1142"/>
    <x v="2"/>
    <x v="0"/>
    <x v="1"/>
  </r>
  <r>
    <s v="ORD-02239"/>
    <x v="367"/>
    <s v="Yash Agarwal"/>
    <x v="2"/>
    <x v="1"/>
    <n v="1978.44"/>
    <n v="25"/>
    <x v="1"/>
    <x v="2"/>
    <x v="1143"/>
    <x v="2"/>
    <x v="0"/>
    <x v="1"/>
  </r>
  <r>
    <s v="ORD-02084"/>
    <x v="616"/>
    <s v="Rahul Verma"/>
    <x v="2"/>
    <x v="0"/>
    <n v="13792.24"/>
    <n v="5"/>
    <x v="1"/>
    <x v="5"/>
    <x v="1144"/>
    <x v="0"/>
    <x v="0"/>
    <x v="1"/>
  </r>
  <r>
    <s v="ORD-02207"/>
    <x v="434"/>
    <s v="Bhavna Dubey"/>
    <x v="0"/>
    <x v="0"/>
    <n v="13097.01"/>
    <n v="7"/>
    <x v="1"/>
    <x v="4"/>
    <x v="1145"/>
    <x v="1"/>
    <x v="0"/>
    <x v="0"/>
  </r>
  <r>
    <s v="ORD-01741"/>
    <x v="528"/>
    <s v="Sneha Gupta"/>
    <x v="3"/>
    <x v="1"/>
    <n v="3023.35"/>
    <n v="6"/>
    <x v="1"/>
    <x v="0"/>
    <x v="1146"/>
    <x v="1"/>
    <x v="0"/>
    <x v="0"/>
  </r>
  <r>
    <s v="ORD-01739"/>
    <x v="111"/>
    <s v="Rajesh Choudhury"/>
    <x v="0"/>
    <x v="2"/>
    <n v="0"/>
    <n v="1"/>
    <x v="2"/>
    <x v="6"/>
    <x v="0"/>
    <x v="0"/>
    <x v="0"/>
    <x v="1"/>
  </r>
  <r>
    <s v="ORD-01679"/>
    <x v="143"/>
    <s v="Rohan Mehta"/>
    <x v="0"/>
    <x v="1"/>
    <n v="157.62"/>
    <n v="19"/>
    <x v="1"/>
    <x v="18"/>
    <x v="1147"/>
    <x v="2"/>
    <x v="0"/>
    <x v="0"/>
  </r>
  <r>
    <s v="ORD-01267"/>
    <x v="334"/>
    <s v="Kavya Nair"/>
    <x v="1"/>
    <x v="1"/>
    <n v="1313.83"/>
    <n v="13"/>
    <x v="1"/>
    <x v="21"/>
    <x v="1148"/>
    <x v="1"/>
    <x v="0"/>
    <x v="1"/>
  </r>
  <r>
    <s v="ORD-02131"/>
    <x v="617"/>
    <s v="Meena Krishnan"/>
    <x v="1"/>
    <x v="2"/>
    <n v="0"/>
    <n v="1"/>
    <x v="0"/>
    <x v="19"/>
    <x v="0"/>
    <x v="0"/>
    <x v="0"/>
    <x v="1"/>
  </r>
  <r>
    <s v="ORD-02399"/>
    <x v="618"/>
    <s v="Geeta Pandey"/>
    <x v="2"/>
    <x v="0"/>
    <n v="16943.04"/>
    <n v="6"/>
    <x v="1"/>
    <x v="23"/>
    <x v="1149"/>
    <x v="1"/>
    <x v="0"/>
    <x v="1"/>
  </r>
  <r>
    <s v="ORD-01036"/>
    <x v="228"/>
    <s v="Sneha Gupta"/>
    <x v="1"/>
    <x v="2"/>
    <n v="41745.42"/>
    <n v="2"/>
    <x v="1"/>
    <x v="9"/>
    <x v="890"/>
    <x v="0"/>
    <x v="1"/>
    <x v="1"/>
  </r>
  <r>
    <s v="ORD-02371"/>
    <x v="184"/>
    <s v="Neha Tiwari"/>
    <x v="1"/>
    <x v="0"/>
    <n v="16384.990000000002"/>
    <n v="4"/>
    <x v="1"/>
    <x v="23"/>
    <x v="1150"/>
    <x v="0"/>
    <x v="0"/>
    <x v="1"/>
  </r>
  <r>
    <s v="ORD-01199"/>
    <x v="4"/>
    <s v="Nikhil Desai"/>
    <x v="3"/>
    <x v="1"/>
    <n v="2680.31"/>
    <n v="30"/>
    <x v="1"/>
    <x v="4"/>
    <x v="1151"/>
    <x v="2"/>
    <x v="0"/>
    <x v="1"/>
  </r>
  <r>
    <s v="ORD-01229"/>
    <x v="619"/>
    <s v="Nidhi Bhatt"/>
    <x v="0"/>
    <x v="0"/>
    <n v="5791.1"/>
    <n v="7"/>
    <x v="1"/>
    <x v="18"/>
    <x v="1152"/>
    <x v="1"/>
    <x v="0"/>
    <x v="0"/>
  </r>
  <r>
    <s v="ORD-02438"/>
    <x v="245"/>
    <s v="Ajay Rastogi"/>
    <x v="1"/>
    <x v="0"/>
    <n v="17187.009999999998"/>
    <n v="1"/>
    <x v="1"/>
    <x v="7"/>
    <x v="1153"/>
    <x v="0"/>
    <x v="0"/>
    <x v="0"/>
  </r>
  <r>
    <s v="ORD-01685"/>
    <x v="436"/>
    <s v="Smita Patil"/>
    <x v="2"/>
    <x v="2"/>
    <n v="3578.46"/>
    <n v="3"/>
    <x v="1"/>
    <x v="15"/>
    <x v="1154"/>
    <x v="0"/>
    <x v="0"/>
    <x v="1"/>
  </r>
  <r>
    <s v="ORD-02435"/>
    <x v="620"/>
    <s v="Kavya Nair"/>
    <x v="1"/>
    <x v="0"/>
    <n v="16409.96"/>
    <n v="7"/>
    <x v="1"/>
    <x v="22"/>
    <x v="1155"/>
    <x v="1"/>
    <x v="0"/>
    <x v="0"/>
  </r>
  <r>
    <s v="ORD-02007"/>
    <x v="356"/>
    <s v="Nikhil Desai"/>
    <x v="0"/>
    <x v="2"/>
    <n v="2218.58"/>
    <n v="5"/>
    <x v="1"/>
    <x v="23"/>
    <x v="1156"/>
    <x v="0"/>
    <x v="0"/>
    <x v="1"/>
  </r>
  <r>
    <s v="ORD-01517"/>
    <x v="393"/>
    <s v="Rajesh Choudhury"/>
    <x v="0"/>
    <x v="0"/>
    <n v="5641.24"/>
    <n v="3"/>
    <x v="1"/>
    <x v="8"/>
    <x v="1157"/>
    <x v="0"/>
    <x v="0"/>
    <x v="0"/>
  </r>
  <r>
    <s v="ORD-01379"/>
    <x v="621"/>
    <s v="Ananya Sharma"/>
    <x v="1"/>
    <x v="2"/>
    <n v="22893.74"/>
    <n v="4"/>
    <x v="1"/>
    <x v="17"/>
    <x v="1158"/>
    <x v="0"/>
    <x v="0"/>
    <x v="1"/>
  </r>
  <r>
    <s v="ORD-01883"/>
    <x v="171"/>
    <s v="Asha Kulkarni"/>
    <x v="0"/>
    <x v="1"/>
    <n v="1270.79"/>
    <n v="5"/>
    <x v="1"/>
    <x v="14"/>
    <x v="1159"/>
    <x v="0"/>
    <x v="0"/>
    <x v="0"/>
  </r>
  <r>
    <s v="ORD-01207"/>
    <x v="335"/>
    <s v="Pooja Iyer"/>
    <x v="1"/>
    <x v="0"/>
    <n v="6107.77"/>
    <n v="1"/>
    <x v="1"/>
    <x v="2"/>
    <x v="1160"/>
    <x v="0"/>
    <x v="0"/>
    <x v="0"/>
  </r>
  <r>
    <s v="ORD-02243"/>
    <x v="157"/>
    <s v="Deepa Pillai"/>
    <x v="3"/>
    <x v="0"/>
    <n v="16614.04"/>
    <n v="2"/>
    <x v="1"/>
    <x v="20"/>
    <x v="1161"/>
    <x v="0"/>
    <x v="0"/>
    <x v="1"/>
  </r>
  <r>
    <s v="ORD-01574"/>
    <x v="44"/>
    <s v="Gaurav Mishra"/>
    <x v="0"/>
    <x v="2"/>
    <n v="0"/>
    <n v="4"/>
    <x v="2"/>
    <x v="13"/>
    <x v="0"/>
    <x v="0"/>
    <x v="0"/>
    <x v="1"/>
  </r>
  <r>
    <s v="ORD-01967"/>
    <x v="407"/>
    <s v="Gaurav Mishra"/>
    <x v="0"/>
    <x v="0"/>
    <n v="17214.22"/>
    <n v="5"/>
    <x v="1"/>
    <x v="16"/>
    <x v="1162"/>
    <x v="0"/>
    <x v="0"/>
    <x v="1"/>
  </r>
  <r>
    <s v="ORD-01585"/>
    <x v="20"/>
    <s v="Rajesh Choudhury"/>
    <x v="0"/>
    <x v="0"/>
    <n v="7084.7"/>
    <n v="1"/>
    <x v="1"/>
    <x v="10"/>
    <x v="1163"/>
    <x v="0"/>
    <x v="0"/>
    <x v="1"/>
  </r>
  <r>
    <s v="ORD-01435"/>
    <x v="379"/>
    <s v="Aakash Bhat"/>
    <x v="0"/>
    <x v="1"/>
    <n v="0"/>
    <n v="28"/>
    <x v="2"/>
    <x v="2"/>
    <x v="0"/>
    <x v="2"/>
    <x v="0"/>
    <x v="1"/>
  </r>
  <r>
    <s v="ORD-01659"/>
    <x v="608"/>
    <s v="Amit Kumar"/>
    <x v="3"/>
    <x v="2"/>
    <n v="4668.42"/>
    <n v="1"/>
    <x v="1"/>
    <x v="18"/>
    <x v="1164"/>
    <x v="0"/>
    <x v="0"/>
    <x v="1"/>
  </r>
  <r>
    <s v="ORD-02353"/>
    <x v="126"/>
    <s v="Vivek Chopra"/>
    <x v="2"/>
    <x v="1"/>
    <n v="2522.86"/>
    <n v="15"/>
    <x v="1"/>
    <x v="0"/>
    <x v="1165"/>
    <x v="1"/>
    <x v="0"/>
    <x v="0"/>
  </r>
  <r>
    <s v="ORD-01113"/>
    <x v="341"/>
    <s v="Sneha Gupta"/>
    <x v="3"/>
    <x v="1"/>
    <n v="1030.97"/>
    <n v="16"/>
    <x v="1"/>
    <x v="15"/>
    <x v="364"/>
    <x v="2"/>
    <x v="0"/>
    <x v="1"/>
  </r>
  <r>
    <s v="ORD-01002"/>
    <x v="396"/>
    <s v="Arjun Reddy"/>
    <x v="0"/>
    <x v="2"/>
    <n v="2117.04"/>
    <n v="2"/>
    <x v="1"/>
    <x v="9"/>
    <x v="604"/>
    <x v="0"/>
    <x v="0"/>
    <x v="1"/>
  </r>
  <r>
    <s v="ORD-01084"/>
    <x v="212"/>
    <s v="Divya Kaur"/>
    <x v="1"/>
    <x v="0"/>
    <n v="9826.5"/>
    <n v="4"/>
    <x v="1"/>
    <x v="11"/>
    <x v="1166"/>
    <x v="0"/>
    <x v="0"/>
    <x v="1"/>
  </r>
  <r>
    <s v="ORD-01373"/>
    <x v="468"/>
    <s v="Rohan Mehta"/>
    <x v="2"/>
    <x v="2"/>
    <n v="1539.3"/>
    <n v="3"/>
    <x v="1"/>
    <x v="15"/>
    <x v="1167"/>
    <x v="0"/>
    <x v="0"/>
    <x v="1"/>
  </r>
  <r>
    <s v="ORD-01098"/>
    <x v="622"/>
    <s v="Harsh Shah"/>
    <x v="2"/>
    <x v="0"/>
    <n v="12819.36"/>
    <n v="7"/>
    <x v="1"/>
    <x v="10"/>
    <x v="1168"/>
    <x v="1"/>
    <x v="0"/>
    <x v="1"/>
  </r>
  <r>
    <s v="ORD-01656"/>
    <x v="573"/>
    <s v="Tara Saxena"/>
    <x v="3"/>
    <x v="2"/>
    <n v="14957.82"/>
    <n v="1"/>
    <x v="1"/>
    <x v="20"/>
    <x v="1169"/>
    <x v="0"/>
    <x v="0"/>
    <x v="1"/>
  </r>
  <r>
    <s v="ORD-01506"/>
    <x v="11"/>
    <s v="Geeta Pandey"/>
    <x v="2"/>
    <x v="1"/>
    <n v="1783.26"/>
    <n v="13"/>
    <x v="1"/>
    <x v="9"/>
    <x v="1170"/>
    <x v="1"/>
    <x v="0"/>
    <x v="1"/>
  </r>
  <r>
    <s v="ORD-01857"/>
    <x v="582"/>
    <s v="Lakshmi Venkat"/>
    <x v="1"/>
    <x v="1"/>
    <n v="2023.17"/>
    <n v="18"/>
    <x v="1"/>
    <x v="23"/>
    <x v="1171"/>
    <x v="2"/>
    <x v="0"/>
    <x v="1"/>
  </r>
  <r>
    <s v="ORD-01719"/>
    <x v="27"/>
    <s v="Geeta Pandey"/>
    <x v="2"/>
    <x v="2"/>
    <n v="38395.089999999997"/>
    <n v="5"/>
    <x v="1"/>
    <x v="12"/>
    <x v="1172"/>
    <x v="0"/>
    <x v="1"/>
    <x v="1"/>
  </r>
  <r>
    <s v="ORD-01575"/>
    <x v="356"/>
    <s v="Varun Naik"/>
    <x v="1"/>
    <x v="2"/>
    <n v="37956.230000000003"/>
    <n v="5"/>
    <x v="1"/>
    <x v="23"/>
    <x v="1173"/>
    <x v="0"/>
    <x v="1"/>
    <x v="1"/>
  </r>
  <r>
    <s v="ORD-01745"/>
    <x v="480"/>
    <s v="Suresh Rao"/>
    <x v="2"/>
    <x v="0"/>
    <n v="3770.32"/>
    <n v="3"/>
    <x v="1"/>
    <x v="1"/>
    <x v="1174"/>
    <x v="0"/>
    <x v="0"/>
    <x v="1"/>
  </r>
  <r>
    <s v="ORD-01552"/>
    <x v="578"/>
    <s v="Sarita Bansal"/>
    <x v="2"/>
    <x v="1"/>
    <n v="1435.93"/>
    <n v="13"/>
    <x v="1"/>
    <x v="21"/>
    <x v="1175"/>
    <x v="1"/>
    <x v="0"/>
    <x v="0"/>
  </r>
  <r>
    <s v="ORD-01226"/>
    <x v="73"/>
    <s v="Asha Kulkarni"/>
    <x v="0"/>
    <x v="0"/>
    <n v="6899.48"/>
    <n v="5"/>
    <x v="1"/>
    <x v="19"/>
    <x v="1176"/>
    <x v="0"/>
    <x v="0"/>
    <x v="1"/>
  </r>
  <r>
    <s v="ORD-01624"/>
    <x v="312"/>
    <s v="Padma Subramaniam"/>
    <x v="2"/>
    <x v="1"/>
    <n v="416.81"/>
    <n v="29"/>
    <x v="1"/>
    <x v="1"/>
    <x v="1177"/>
    <x v="2"/>
    <x v="0"/>
    <x v="1"/>
  </r>
  <r>
    <s v="ORD-01106"/>
    <x v="233"/>
    <s v="Riya Malhotra"/>
    <x v="3"/>
    <x v="2"/>
    <n v="14334.31"/>
    <n v="5"/>
    <x v="1"/>
    <x v="1"/>
    <x v="1178"/>
    <x v="0"/>
    <x v="0"/>
    <x v="0"/>
  </r>
  <r>
    <s v="ORD-02319"/>
    <x v="209"/>
    <s v="Kiran Nambiar"/>
    <x v="2"/>
    <x v="2"/>
    <n v="6037.4"/>
    <n v="2"/>
    <x v="1"/>
    <x v="22"/>
    <x v="1179"/>
    <x v="0"/>
    <x v="0"/>
    <x v="1"/>
  </r>
  <r>
    <s v="ORD-01875"/>
    <x v="271"/>
    <s v="Smita Patil"/>
    <x v="1"/>
    <x v="1"/>
    <n v="2044.42"/>
    <n v="20"/>
    <x v="1"/>
    <x v="17"/>
    <x v="1180"/>
    <x v="2"/>
    <x v="0"/>
    <x v="1"/>
  </r>
  <r>
    <s v="ORD-02045"/>
    <x v="10"/>
    <s v="Rahul Verma"/>
    <x v="2"/>
    <x v="2"/>
    <n v="6962.51"/>
    <n v="5"/>
    <x v="1"/>
    <x v="8"/>
    <x v="1181"/>
    <x v="0"/>
    <x v="0"/>
    <x v="1"/>
  </r>
  <r>
    <s v="ORD-01126"/>
    <x v="207"/>
    <s v="Bhavna Dubey"/>
    <x v="0"/>
    <x v="1"/>
    <n v="1438.65"/>
    <n v="9"/>
    <x v="1"/>
    <x v="21"/>
    <x v="1182"/>
    <x v="1"/>
    <x v="0"/>
    <x v="1"/>
  </r>
  <r>
    <s v="ORD-01982"/>
    <x v="269"/>
    <s v="Rajesh Choudhury"/>
    <x v="0"/>
    <x v="1"/>
    <n v="0"/>
    <n v="15"/>
    <x v="2"/>
    <x v="20"/>
    <x v="0"/>
    <x v="1"/>
    <x v="0"/>
    <x v="1"/>
  </r>
  <r>
    <s v="ORD-01873"/>
    <x v="49"/>
    <s v="Tarun Mukerjee"/>
    <x v="3"/>
    <x v="2"/>
    <n v="39791.82"/>
    <n v="3"/>
    <x v="1"/>
    <x v="18"/>
    <x v="1183"/>
    <x v="0"/>
    <x v="1"/>
    <x v="1"/>
  </r>
  <r>
    <s v="ORD-01689"/>
    <x v="400"/>
    <s v="Kavya Nair"/>
    <x v="1"/>
    <x v="0"/>
    <n v="17516.330000000002"/>
    <n v="4"/>
    <x v="1"/>
    <x v="0"/>
    <x v="1184"/>
    <x v="0"/>
    <x v="0"/>
    <x v="0"/>
  </r>
  <r>
    <s v="ORD-01455"/>
    <x v="214"/>
    <s v="Amit Kumar"/>
    <x v="1"/>
    <x v="1"/>
    <n v="2292.5700000000002"/>
    <n v="15"/>
    <x v="1"/>
    <x v="4"/>
    <x v="1185"/>
    <x v="1"/>
    <x v="0"/>
    <x v="0"/>
  </r>
  <r>
    <s v="ORD-01474"/>
    <x v="558"/>
    <s v="Harsh Shah"/>
    <x v="0"/>
    <x v="0"/>
    <n v="3084.39"/>
    <n v="2"/>
    <x v="1"/>
    <x v="19"/>
    <x v="1186"/>
    <x v="0"/>
    <x v="0"/>
    <x v="1"/>
  </r>
  <r>
    <s v="ORD-02298"/>
    <x v="223"/>
    <s v="Sarita Bansal"/>
    <x v="2"/>
    <x v="2"/>
    <n v="5300.78"/>
    <n v="1"/>
    <x v="1"/>
    <x v="11"/>
    <x v="1187"/>
    <x v="0"/>
    <x v="0"/>
    <x v="0"/>
  </r>
  <r>
    <s v="ORD-02434"/>
    <x v="37"/>
    <s v="Geeta Pandey"/>
    <x v="2"/>
    <x v="1"/>
    <n v="1198.1600000000001"/>
    <n v="8"/>
    <x v="1"/>
    <x v="17"/>
    <x v="1188"/>
    <x v="1"/>
    <x v="0"/>
    <x v="1"/>
  </r>
  <r>
    <s v="ORD-01628"/>
    <x v="267"/>
    <s v="Bhavna Dubey"/>
    <x v="0"/>
    <x v="1"/>
    <n v="514.49"/>
    <n v="16"/>
    <x v="1"/>
    <x v="5"/>
    <x v="1189"/>
    <x v="2"/>
    <x v="0"/>
    <x v="0"/>
  </r>
  <r>
    <s v="ORD-02076"/>
    <x v="481"/>
    <s v="Varun Naik"/>
    <x v="1"/>
    <x v="0"/>
    <n v="2404.92"/>
    <n v="5"/>
    <x v="1"/>
    <x v="4"/>
    <x v="1190"/>
    <x v="0"/>
    <x v="0"/>
    <x v="1"/>
  </r>
  <r>
    <s v="ORD-01835"/>
    <x v="216"/>
    <s v="Ananya Sharma"/>
    <x v="3"/>
    <x v="1"/>
    <n v="2989.69"/>
    <n v="22"/>
    <x v="1"/>
    <x v="4"/>
    <x v="1191"/>
    <x v="2"/>
    <x v="0"/>
    <x v="1"/>
  </r>
  <r>
    <s v="ORD-01779"/>
    <x v="463"/>
    <s v="Divya Kaur"/>
    <x v="1"/>
    <x v="0"/>
    <n v="4674.7700000000004"/>
    <n v="1"/>
    <x v="1"/>
    <x v="14"/>
    <x v="1192"/>
    <x v="0"/>
    <x v="0"/>
    <x v="1"/>
  </r>
  <r>
    <s v="ORD-01105"/>
    <x v="250"/>
    <s v="Manish Srivastava"/>
    <x v="3"/>
    <x v="0"/>
    <n v="8232.69"/>
    <n v="1"/>
    <x v="1"/>
    <x v="14"/>
    <x v="1193"/>
    <x v="0"/>
    <x v="0"/>
    <x v="1"/>
  </r>
  <r>
    <s v="ORD-01187"/>
    <x v="605"/>
    <s v="Kiran Nambiar"/>
    <x v="2"/>
    <x v="0"/>
    <n v="12909.5"/>
    <n v="8"/>
    <x v="1"/>
    <x v="16"/>
    <x v="1194"/>
    <x v="1"/>
    <x v="0"/>
    <x v="1"/>
  </r>
  <r>
    <s v="ORD-01409"/>
    <x v="278"/>
    <s v="Sarita Bansal"/>
    <x v="2"/>
    <x v="0"/>
    <n v="17393.189999999999"/>
    <n v="7"/>
    <x v="1"/>
    <x v="17"/>
    <x v="1195"/>
    <x v="1"/>
    <x v="0"/>
    <x v="1"/>
  </r>
  <r>
    <s v="ORD-02263"/>
    <x v="623"/>
    <s v="Vikram Singh"/>
    <x v="2"/>
    <x v="1"/>
    <n v="2071.8000000000002"/>
    <n v="16"/>
    <x v="1"/>
    <x v="21"/>
    <x v="1196"/>
    <x v="2"/>
    <x v="0"/>
    <x v="1"/>
  </r>
  <r>
    <s v="ORD-01037"/>
    <x v="541"/>
    <s v="Geeta Pandey"/>
    <x v="2"/>
    <x v="0"/>
    <n v="16273.24"/>
    <n v="3"/>
    <x v="1"/>
    <x v="16"/>
    <x v="1197"/>
    <x v="0"/>
    <x v="0"/>
    <x v="1"/>
  </r>
  <r>
    <s v="ORD-01874"/>
    <x v="624"/>
    <s v="Padma Subramaniam"/>
    <x v="2"/>
    <x v="2"/>
    <n v="2962.21"/>
    <n v="2"/>
    <x v="1"/>
    <x v="17"/>
    <x v="1198"/>
    <x v="0"/>
    <x v="0"/>
    <x v="0"/>
  </r>
  <r>
    <s v="ORD-01300"/>
    <x v="319"/>
    <s v="Rajesh Choudhury"/>
    <x v="0"/>
    <x v="0"/>
    <n v="0"/>
    <n v="6"/>
    <x v="0"/>
    <x v="7"/>
    <x v="0"/>
    <x v="1"/>
    <x v="0"/>
    <x v="1"/>
  </r>
  <r>
    <s v="ORD-01394"/>
    <x v="469"/>
    <s v="Tara Saxena"/>
    <x v="3"/>
    <x v="2"/>
    <n v="32838.1"/>
    <n v="5"/>
    <x v="1"/>
    <x v="3"/>
    <x v="1199"/>
    <x v="0"/>
    <x v="1"/>
    <x v="1"/>
  </r>
  <r>
    <s v="ORD-01561"/>
    <x v="136"/>
    <s v="Suresh Rao"/>
    <x v="2"/>
    <x v="1"/>
    <n v="1589.06"/>
    <n v="28"/>
    <x v="1"/>
    <x v="20"/>
    <x v="1200"/>
    <x v="2"/>
    <x v="0"/>
    <x v="1"/>
  </r>
  <r>
    <s v="ORD-01079"/>
    <x v="625"/>
    <s v="Asha Kulkarni"/>
    <x v="0"/>
    <x v="2"/>
    <n v="0"/>
    <n v="1"/>
    <x v="2"/>
    <x v="1"/>
    <x v="0"/>
    <x v="0"/>
    <x v="0"/>
    <x v="1"/>
  </r>
  <r>
    <s v="ORD-01822"/>
    <x v="56"/>
    <s v="Vikram Singh"/>
    <x v="2"/>
    <x v="0"/>
    <n v="0"/>
    <n v="7"/>
    <x v="0"/>
    <x v="0"/>
    <x v="0"/>
    <x v="1"/>
    <x v="0"/>
    <x v="1"/>
  </r>
  <r>
    <s v="ORD-01271"/>
    <x v="112"/>
    <s v="Yash Agarwal"/>
    <x v="1"/>
    <x v="1"/>
    <n v="1035.24"/>
    <n v="30"/>
    <x v="1"/>
    <x v="14"/>
    <x v="1201"/>
    <x v="2"/>
    <x v="0"/>
    <x v="0"/>
  </r>
  <r>
    <s v="ORD-01247"/>
    <x v="384"/>
    <s v="Amit Kumar"/>
    <x v="0"/>
    <x v="1"/>
    <n v="2150.64"/>
    <n v="14"/>
    <x v="1"/>
    <x v="2"/>
    <x v="1202"/>
    <x v="1"/>
    <x v="0"/>
    <x v="1"/>
  </r>
  <r>
    <s v="ORD-01470"/>
    <x v="225"/>
    <s v="Sanjay Joshi"/>
    <x v="2"/>
    <x v="1"/>
    <n v="523.38"/>
    <n v="1"/>
    <x v="1"/>
    <x v="11"/>
    <x v="1203"/>
    <x v="0"/>
    <x v="0"/>
    <x v="1"/>
  </r>
  <r>
    <s v="ORD-01305"/>
    <x v="52"/>
    <s v="Rohan Mehta"/>
    <x v="0"/>
    <x v="1"/>
    <n v="428.14"/>
    <n v="14"/>
    <x v="1"/>
    <x v="15"/>
    <x v="1204"/>
    <x v="1"/>
    <x v="0"/>
    <x v="1"/>
  </r>
  <r>
    <s v="ORD-02300"/>
    <x v="626"/>
    <s v="Sarita Bansal"/>
    <x v="2"/>
    <x v="0"/>
    <n v="14374.41"/>
    <n v="2"/>
    <x v="1"/>
    <x v="22"/>
    <x v="1205"/>
    <x v="0"/>
    <x v="0"/>
    <x v="1"/>
  </r>
  <r>
    <s v="ORD-02289"/>
    <x v="134"/>
    <s v="Sunita Menon"/>
    <x v="3"/>
    <x v="1"/>
    <n v="1838.12"/>
    <n v="16"/>
    <x v="1"/>
    <x v="10"/>
    <x v="1206"/>
    <x v="2"/>
    <x v="0"/>
    <x v="1"/>
  </r>
  <r>
    <s v="ORD-02211"/>
    <x v="116"/>
    <s v="Smita Patil"/>
    <x v="3"/>
    <x v="2"/>
    <n v="37395.33"/>
    <n v="5"/>
    <x v="1"/>
    <x v="14"/>
    <x v="1207"/>
    <x v="0"/>
    <x v="1"/>
    <x v="1"/>
  </r>
  <r>
    <s v="ORD-01387"/>
    <x v="627"/>
    <s v="Rohan Mehta"/>
    <x v="0"/>
    <x v="0"/>
    <n v="8983.68"/>
    <n v="6"/>
    <x v="1"/>
    <x v="6"/>
    <x v="1208"/>
    <x v="1"/>
    <x v="0"/>
    <x v="1"/>
  </r>
  <r>
    <s v="ORD-01372"/>
    <x v="203"/>
    <s v="Aakash Bhat"/>
    <x v="0"/>
    <x v="0"/>
    <n v="1369.97"/>
    <n v="8"/>
    <x v="1"/>
    <x v="3"/>
    <x v="1209"/>
    <x v="1"/>
    <x v="0"/>
    <x v="1"/>
  </r>
  <r>
    <s v="ORD-02252"/>
    <x v="308"/>
    <s v="Yash Agarwal"/>
    <x v="1"/>
    <x v="1"/>
    <n v="0"/>
    <n v="6"/>
    <x v="2"/>
    <x v="20"/>
    <x v="0"/>
    <x v="1"/>
    <x v="0"/>
    <x v="1"/>
  </r>
  <r>
    <s v="ORD-02029"/>
    <x v="77"/>
    <s v="Bhavna Dubey"/>
    <x v="0"/>
    <x v="0"/>
    <n v="16193.64"/>
    <n v="5"/>
    <x v="1"/>
    <x v="13"/>
    <x v="1210"/>
    <x v="0"/>
    <x v="0"/>
    <x v="1"/>
  </r>
  <r>
    <s v="ORD-02485"/>
    <x v="628"/>
    <s v="Tara Saxena"/>
    <x v="3"/>
    <x v="0"/>
    <n v="9514.5300000000007"/>
    <n v="4"/>
    <x v="1"/>
    <x v="15"/>
    <x v="1211"/>
    <x v="0"/>
    <x v="0"/>
    <x v="1"/>
  </r>
  <r>
    <s v="ORD-01212"/>
    <x v="124"/>
    <s v="Harsh Shah"/>
    <x v="2"/>
    <x v="2"/>
    <n v="11554.59"/>
    <n v="5"/>
    <x v="1"/>
    <x v="8"/>
    <x v="1212"/>
    <x v="0"/>
    <x v="0"/>
    <x v="0"/>
  </r>
  <r>
    <s v="ORD-02447"/>
    <x v="629"/>
    <s v="Rohan Mehta"/>
    <x v="0"/>
    <x v="0"/>
    <n v="7777.14"/>
    <n v="8"/>
    <x v="1"/>
    <x v="12"/>
    <x v="1213"/>
    <x v="1"/>
    <x v="0"/>
    <x v="1"/>
  </r>
  <r>
    <s v="ORD-01971"/>
    <x v="277"/>
    <s v="Geeta Pandey"/>
    <x v="2"/>
    <x v="1"/>
    <n v="0"/>
    <n v="2"/>
    <x v="2"/>
    <x v="3"/>
    <x v="0"/>
    <x v="0"/>
    <x v="0"/>
    <x v="1"/>
  </r>
  <r>
    <s v="ORD-01407"/>
    <x v="630"/>
    <s v="Dev Mathur"/>
    <x v="3"/>
    <x v="1"/>
    <n v="3139.48"/>
    <n v="18"/>
    <x v="1"/>
    <x v="10"/>
    <x v="1214"/>
    <x v="2"/>
    <x v="0"/>
    <x v="1"/>
  </r>
  <r>
    <s v="ORD-02495"/>
    <x v="140"/>
    <s v="Tara Saxena"/>
    <x v="3"/>
    <x v="0"/>
    <n v="0"/>
    <n v="1"/>
    <x v="2"/>
    <x v="21"/>
    <x v="0"/>
    <x v="0"/>
    <x v="0"/>
    <x v="1"/>
  </r>
  <r>
    <s v="ORD-02365"/>
    <x v="338"/>
    <s v="Bhavna Dubey"/>
    <x v="0"/>
    <x v="2"/>
    <n v="0"/>
    <n v="2"/>
    <x v="2"/>
    <x v="4"/>
    <x v="0"/>
    <x v="0"/>
    <x v="0"/>
    <x v="0"/>
  </r>
  <r>
    <s v="ORD-01507"/>
    <x v="304"/>
    <s v="Rohan Mehta"/>
    <x v="0"/>
    <x v="2"/>
    <n v="2095.21"/>
    <n v="3"/>
    <x v="1"/>
    <x v="13"/>
    <x v="1215"/>
    <x v="0"/>
    <x v="0"/>
    <x v="1"/>
  </r>
  <r>
    <s v="ORD-02436"/>
    <x v="210"/>
    <s v="Padma Subramaniam"/>
    <x v="2"/>
    <x v="0"/>
    <n v="14609.52"/>
    <n v="4"/>
    <x v="1"/>
    <x v="17"/>
    <x v="1216"/>
    <x v="0"/>
    <x v="0"/>
    <x v="0"/>
  </r>
  <r>
    <s v="ORD-01540"/>
    <x v="486"/>
    <s v="Sunita Menon"/>
    <x v="3"/>
    <x v="1"/>
    <n v="834.92"/>
    <n v="2"/>
    <x v="1"/>
    <x v="9"/>
    <x v="1217"/>
    <x v="0"/>
    <x v="0"/>
    <x v="1"/>
  </r>
  <r>
    <s v="ORD-01236"/>
    <x v="75"/>
    <s v="Priya Patel"/>
    <x v="3"/>
    <x v="1"/>
    <n v="2532.5700000000002"/>
    <n v="15"/>
    <x v="1"/>
    <x v="10"/>
    <x v="1218"/>
    <x v="1"/>
    <x v="0"/>
    <x v="0"/>
  </r>
  <r>
    <s v="ORD-01576"/>
    <x v="117"/>
    <s v="Sneha Gupta"/>
    <x v="3"/>
    <x v="1"/>
    <n v="942.35"/>
    <n v="26"/>
    <x v="1"/>
    <x v="1"/>
    <x v="1219"/>
    <x v="2"/>
    <x v="0"/>
    <x v="0"/>
  </r>
  <r>
    <s v="ORD-01511"/>
    <x v="455"/>
    <s v="Smita Patil"/>
    <x v="3"/>
    <x v="2"/>
    <n v="31892.62"/>
    <n v="3"/>
    <x v="1"/>
    <x v="8"/>
    <x v="1220"/>
    <x v="0"/>
    <x v="1"/>
    <x v="0"/>
  </r>
  <r>
    <s v="ORD-01383"/>
    <x v="578"/>
    <s v="Rajesh Choudhury"/>
    <x v="0"/>
    <x v="0"/>
    <n v="3175.37"/>
    <n v="4"/>
    <x v="1"/>
    <x v="21"/>
    <x v="1221"/>
    <x v="0"/>
    <x v="0"/>
    <x v="0"/>
  </r>
  <r>
    <s v="ORD-02048"/>
    <x v="259"/>
    <s v="Neha Tiwari"/>
    <x v="2"/>
    <x v="1"/>
    <n v="2366.87"/>
    <n v="3"/>
    <x v="1"/>
    <x v="1"/>
    <x v="1222"/>
    <x v="0"/>
    <x v="0"/>
    <x v="1"/>
  </r>
  <r>
    <s v="ORD-01313"/>
    <x v="436"/>
    <s v="Neha Tiwari"/>
    <x v="1"/>
    <x v="0"/>
    <n v="10178.129999999999"/>
    <n v="4"/>
    <x v="1"/>
    <x v="15"/>
    <x v="1223"/>
    <x v="0"/>
    <x v="0"/>
    <x v="1"/>
  </r>
  <r>
    <s v="ORD-02265"/>
    <x v="541"/>
    <s v="Kavya Nair"/>
    <x v="1"/>
    <x v="0"/>
    <n v="11513.68"/>
    <n v="1"/>
    <x v="1"/>
    <x v="16"/>
    <x v="1224"/>
    <x v="0"/>
    <x v="0"/>
    <x v="1"/>
  </r>
  <r>
    <s v="ORD-01508"/>
    <x v="449"/>
    <s v="Asha Kulkarni"/>
    <x v="0"/>
    <x v="1"/>
    <n v="3498.64"/>
    <n v="6"/>
    <x v="1"/>
    <x v="5"/>
    <x v="1225"/>
    <x v="1"/>
    <x v="0"/>
    <x v="0"/>
  </r>
  <r>
    <s v="ORD-01879"/>
    <x v="515"/>
    <s v="Kavya Nair"/>
    <x v="1"/>
    <x v="1"/>
    <n v="273.99"/>
    <n v="16"/>
    <x v="1"/>
    <x v="23"/>
    <x v="1226"/>
    <x v="2"/>
    <x v="0"/>
    <x v="1"/>
  </r>
  <r>
    <s v="ORD-01170"/>
    <x v="382"/>
    <s v="Harsh Shah"/>
    <x v="2"/>
    <x v="2"/>
    <n v="21639.279999999999"/>
    <n v="5"/>
    <x v="1"/>
    <x v="23"/>
    <x v="1227"/>
    <x v="0"/>
    <x v="0"/>
    <x v="1"/>
  </r>
  <r>
    <s v="ORD-01996"/>
    <x v="483"/>
    <s v="Vivek Chopra"/>
    <x v="2"/>
    <x v="2"/>
    <n v="25450.799999999999"/>
    <n v="2"/>
    <x v="1"/>
    <x v="7"/>
    <x v="1228"/>
    <x v="0"/>
    <x v="0"/>
    <x v="0"/>
  </r>
  <r>
    <s v="ORD-01578"/>
    <x v="183"/>
    <s v="Harsh Shah"/>
    <x v="2"/>
    <x v="0"/>
    <n v="8508.56"/>
    <n v="2"/>
    <x v="1"/>
    <x v="6"/>
    <x v="1229"/>
    <x v="0"/>
    <x v="0"/>
    <x v="1"/>
  </r>
  <r>
    <s v="ORD-01593"/>
    <x v="411"/>
    <s v="Meena Krishnan"/>
    <x v="1"/>
    <x v="1"/>
    <n v="217.63"/>
    <n v="2"/>
    <x v="1"/>
    <x v="17"/>
    <x v="1230"/>
    <x v="0"/>
    <x v="0"/>
    <x v="1"/>
  </r>
  <r>
    <s v="ORD-01984"/>
    <x v="298"/>
    <s v="Geeta Pandey"/>
    <x v="2"/>
    <x v="0"/>
    <n v="16357.07"/>
    <n v="1"/>
    <x v="1"/>
    <x v="21"/>
    <x v="1231"/>
    <x v="0"/>
    <x v="0"/>
    <x v="1"/>
  </r>
  <r>
    <s v="ORD-01890"/>
    <x v="275"/>
    <s v="Gaurav Mishra"/>
    <x v="0"/>
    <x v="1"/>
    <n v="1702.92"/>
    <n v="16"/>
    <x v="1"/>
    <x v="13"/>
    <x v="1232"/>
    <x v="2"/>
    <x v="0"/>
    <x v="1"/>
  </r>
  <r>
    <s v="ORD-01017"/>
    <x v="490"/>
    <s v="Arjun Reddy"/>
    <x v="0"/>
    <x v="2"/>
    <n v="0"/>
    <n v="2"/>
    <x v="2"/>
    <x v="15"/>
    <x v="0"/>
    <x v="0"/>
    <x v="0"/>
    <x v="1"/>
  </r>
  <r>
    <s v="ORD-02223"/>
    <x v="60"/>
    <s v="Asha Kulkarni"/>
    <x v="0"/>
    <x v="2"/>
    <n v="0"/>
    <n v="4"/>
    <x v="0"/>
    <x v="3"/>
    <x v="0"/>
    <x v="0"/>
    <x v="0"/>
    <x v="1"/>
  </r>
  <r>
    <s v="ORD-01880"/>
    <x v="631"/>
    <s v="Nikhil Desai"/>
    <x v="0"/>
    <x v="0"/>
    <n v="9586.24"/>
    <n v="4"/>
    <x v="1"/>
    <x v="21"/>
    <x v="1233"/>
    <x v="0"/>
    <x v="0"/>
    <x v="1"/>
  </r>
  <r>
    <s v="ORD-01701"/>
    <x v="570"/>
    <s v="Nidhi Bhatt"/>
    <x v="2"/>
    <x v="0"/>
    <n v="2640.17"/>
    <n v="1"/>
    <x v="1"/>
    <x v="22"/>
    <x v="1234"/>
    <x v="0"/>
    <x v="0"/>
    <x v="1"/>
  </r>
  <r>
    <s v="ORD-02390"/>
    <x v="337"/>
    <s v="Neha Tiwari"/>
    <x v="0"/>
    <x v="2"/>
    <n v="6349.8"/>
    <n v="2"/>
    <x v="1"/>
    <x v="18"/>
    <x v="1235"/>
    <x v="0"/>
    <x v="0"/>
    <x v="1"/>
  </r>
  <r>
    <s v="ORD-01107"/>
    <x v="194"/>
    <s v="Padma Subramaniam"/>
    <x v="2"/>
    <x v="0"/>
    <n v="17940.38"/>
    <n v="6"/>
    <x v="1"/>
    <x v="5"/>
    <x v="1236"/>
    <x v="1"/>
    <x v="0"/>
    <x v="1"/>
  </r>
  <r>
    <s v="ORD-01485"/>
    <x v="18"/>
    <s v="Sunita Menon"/>
    <x v="3"/>
    <x v="2"/>
    <n v="0"/>
    <n v="2"/>
    <x v="2"/>
    <x v="14"/>
    <x v="0"/>
    <x v="0"/>
    <x v="0"/>
    <x v="1"/>
  </r>
  <r>
    <s v="ORD-02402"/>
    <x v="226"/>
    <s v="Varun Naik"/>
    <x v="1"/>
    <x v="1"/>
    <n v="2425.29"/>
    <n v="23"/>
    <x v="1"/>
    <x v="6"/>
    <x v="1237"/>
    <x v="2"/>
    <x v="0"/>
    <x v="0"/>
  </r>
  <r>
    <s v="ORD-01028"/>
    <x v="523"/>
    <s v="Yash Agarwal"/>
    <x v="1"/>
    <x v="2"/>
    <n v="3629.94"/>
    <n v="1"/>
    <x v="1"/>
    <x v="19"/>
    <x v="1089"/>
    <x v="0"/>
    <x v="0"/>
    <x v="1"/>
  </r>
  <r>
    <s v="ORD-02025"/>
    <x v="528"/>
    <s v="Aakash Bhat"/>
    <x v="0"/>
    <x v="2"/>
    <n v="14964.5"/>
    <n v="3"/>
    <x v="1"/>
    <x v="0"/>
    <x v="1238"/>
    <x v="0"/>
    <x v="0"/>
    <x v="0"/>
  </r>
  <r>
    <s v="ORD-01705"/>
    <x v="632"/>
    <s v="Priya Patel"/>
    <x v="3"/>
    <x v="0"/>
    <n v="0"/>
    <n v="8"/>
    <x v="0"/>
    <x v="23"/>
    <x v="0"/>
    <x v="1"/>
    <x v="0"/>
    <x v="1"/>
  </r>
  <r>
    <s v="ORD-01319"/>
    <x v="237"/>
    <s v="Asha Kulkarni"/>
    <x v="0"/>
    <x v="2"/>
    <n v="3120.11"/>
    <n v="4"/>
    <x v="1"/>
    <x v="20"/>
    <x v="1239"/>
    <x v="0"/>
    <x v="0"/>
    <x v="1"/>
  </r>
  <r>
    <s v="ORD-01259"/>
    <x v="278"/>
    <s v="Neha Tiwari"/>
    <x v="1"/>
    <x v="2"/>
    <n v="39068.28"/>
    <n v="3"/>
    <x v="1"/>
    <x v="17"/>
    <x v="1240"/>
    <x v="0"/>
    <x v="1"/>
    <x v="1"/>
  </r>
  <r>
    <s v="ORD-01044"/>
    <x v="496"/>
    <s v="Lakshmi Venkat"/>
    <x v="1"/>
    <x v="0"/>
    <n v="2616.5500000000002"/>
    <n v="5"/>
    <x v="1"/>
    <x v="13"/>
    <x v="1241"/>
    <x v="0"/>
    <x v="0"/>
    <x v="0"/>
  </r>
  <r>
    <s v="ORD-01221"/>
    <x v="506"/>
    <s v="Harsh Shah"/>
    <x v="2"/>
    <x v="2"/>
    <n v="29294.26"/>
    <n v="1"/>
    <x v="1"/>
    <x v="20"/>
    <x v="1242"/>
    <x v="0"/>
    <x v="1"/>
    <x v="1"/>
  </r>
  <r>
    <s v="ORD-01225"/>
    <x v="524"/>
    <s v="Varun Naik"/>
    <x v="1"/>
    <x v="2"/>
    <n v="11750.27"/>
    <n v="4"/>
    <x v="1"/>
    <x v="18"/>
    <x v="1243"/>
    <x v="0"/>
    <x v="0"/>
    <x v="1"/>
  </r>
  <r>
    <s v="ORD-01270"/>
    <x v="239"/>
    <s v="Rohan Mehta"/>
    <x v="0"/>
    <x v="0"/>
    <n v="9464.09"/>
    <n v="2"/>
    <x v="1"/>
    <x v="7"/>
    <x v="1244"/>
    <x v="0"/>
    <x v="0"/>
    <x v="1"/>
  </r>
  <r>
    <s v="ORD-01797"/>
    <x v="230"/>
    <s v="Priya Patel"/>
    <x v="3"/>
    <x v="0"/>
    <n v="3691.61"/>
    <n v="1"/>
    <x v="1"/>
    <x v="13"/>
    <x v="1245"/>
    <x v="0"/>
    <x v="0"/>
    <x v="0"/>
  </r>
  <r>
    <s v="ORD-02487"/>
    <x v="49"/>
    <s v="Kavya Nair"/>
    <x v="1"/>
    <x v="2"/>
    <n v="8098"/>
    <n v="1"/>
    <x v="1"/>
    <x v="18"/>
    <x v="1246"/>
    <x v="0"/>
    <x v="0"/>
    <x v="1"/>
  </r>
  <r>
    <s v="ORD-02028"/>
    <x v="135"/>
    <s v="Harsh Shah"/>
    <x v="2"/>
    <x v="1"/>
    <n v="2840.35"/>
    <n v="29"/>
    <x v="1"/>
    <x v="22"/>
    <x v="1247"/>
    <x v="2"/>
    <x v="0"/>
    <x v="1"/>
  </r>
  <r>
    <s v="ORD-01819"/>
    <x v="633"/>
    <s v="Asha Kulkarni"/>
    <x v="0"/>
    <x v="0"/>
    <n v="9192.51"/>
    <n v="4"/>
    <x v="1"/>
    <x v="11"/>
    <x v="1248"/>
    <x v="0"/>
    <x v="0"/>
    <x v="1"/>
  </r>
  <r>
    <s v="ORD-01666"/>
    <x v="212"/>
    <s v="Harsh Shah"/>
    <x v="2"/>
    <x v="2"/>
    <n v="25265.77"/>
    <n v="5"/>
    <x v="1"/>
    <x v="11"/>
    <x v="1249"/>
    <x v="0"/>
    <x v="0"/>
    <x v="1"/>
  </r>
  <r>
    <s v="ORD-01261"/>
    <x v="634"/>
    <s v="Geeta Pandey"/>
    <x v="2"/>
    <x v="0"/>
    <n v="16660.3"/>
    <n v="5"/>
    <x v="1"/>
    <x v="13"/>
    <x v="1250"/>
    <x v="0"/>
    <x v="0"/>
    <x v="1"/>
  </r>
  <r>
    <s v="ORD-02463"/>
    <x v="207"/>
    <s v="Aakash Bhat"/>
    <x v="0"/>
    <x v="2"/>
    <n v="0"/>
    <n v="5"/>
    <x v="2"/>
    <x v="21"/>
    <x v="0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C1461-438E-4862-8CA3-1240C655368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D12:G17" firstHeaderRow="1" firstDataRow="2" firstDataCol="1"/>
  <pivotFields count="13">
    <pivotField showAll="0"/>
    <pivotField numFmtId="14" showAll="0"/>
    <pivotField showAll="0"/>
    <pivotField showAll="0"/>
    <pivotField showAll="0">
      <items count="5">
        <item x="2"/>
        <item x="0"/>
        <item x="1"/>
        <item f="1" x="3"/>
        <item t="default"/>
      </items>
    </pivotField>
    <pivotField numFmtId="4" showAll="0"/>
    <pivotField numFmtId="1" showAll="0"/>
    <pivotField showAll="0">
      <items count="4">
        <item x="1"/>
        <item x="2"/>
        <item x="0"/>
        <item t="default"/>
      </items>
    </pivotField>
    <pivotField showAll="0">
      <items count="25">
        <item x="3"/>
        <item x="20"/>
        <item x="18"/>
        <item x="7"/>
        <item x="21"/>
        <item x="12"/>
        <item x="13"/>
        <item x="2"/>
        <item x="14"/>
        <item x="1"/>
        <item x="11"/>
        <item x="6"/>
        <item x="23"/>
        <item x="16"/>
        <item x="10"/>
        <item x="5"/>
        <item x="15"/>
        <item x="19"/>
        <item x="9"/>
        <item x="0"/>
        <item x="22"/>
        <item x="17"/>
        <item x="4"/>
        <item x="8"/>
        <item t="default"/>
      </items>
    </pivotField>
    <pivotField numFmtId="4" showAll="0">
      <items count="1252">
        <item x="0"/>
        <item x="1025"/>
        <item x="602"/>
        <item x="489"/>
        <item x="894"/>
        <item x="3"/>
        <item x="642"/>
        <item x="981"/>
        <item x="470"/>
        <item x="917"/>
        <item x="1041"/>
        <item x="1147"/>
        <item x="86"/>
        <item x="299"/>
        <item x="1094"/>
        <item x="186"/>
        <item x="776"/>
        <item x="892"/>
        <item x="1067"/>
        <item x="624"/>
        <item x="564"/>
        <item x="14"/>
        <item x="697"/>
        <item x="1081"/>
        <item x="1106"/>
        <item x="1177"/>
        <item x="821"/>
        <item x="1061"/>
        <item x="380"/>
        <item x="116"/>
        <item x="982"/>
        <item x="212"/>
        <item x="1226"/>
        <item x="139"/>
        <item x="1104"/>
        <item x="1027"/>
        <item x="1017"/>
        <item x="583"/>
        <item x="806"/>
        <item x="28"/>
        <item x="462"/>
        <item x="461"/>
        <item x="294"/>
        <item x="903"/>
        <item x="658"/>
        <item x="115"/>
        <item x="263"/>
        <item x="985"/>
        <item x="62"/>
        <item x="979"/>
        <item x="346"/>
        <item x="1072"/>
        <item x="79"/>
        <item x="27"/>
        <item x="991"/>
        <item x="562"/>
        <item x="990"/>
        <item x="1204"/>
        <item x="1189"/>
        <item x="875"/>
        <item x="555"/>
        <item x="714"/>
        <item x="136"/>
        <item x="1002"/>
        <item x="783"/>
        <item x="1201"/>
        <item x="323"/>
        <item x="233"/>
        <item x="750"/>
        <item x="1219"/>
        <item x="703"/>
        <item x="754"/>
        <item x="610"/>
        <item x="312"/>
        <item x="663"/>
        <item x="915"/>
        <item x="113"/>
        <item x="118"/>
        <item x="69"/>
        <item x="910"/>
        <item x="342"/>
        <item x="311"/>
        <item x="1026"/>
        <item x="335"/>
        <item x="1069"/>
        <item x="2"/>
        <item x="347"/>
        <item x="760"/>
        <item x="486"/>
        <item x="656"/>
        <item x="1000"/>
        <item x="598"/>
        <item x="178"/>
        <item x="561"/>
        <item x="479"/>
        <item x="366"/>
        <item x="708"/>
        <item x="1052"/>
        <item x="61"/>
        <item x="632"/>
        <item x="963"/>
        <item x="324"/>
        <item x="137"/>
        <item x="51"/>
        <item x="1047"/>
        <item x="802"/>
        <item x="440"/>
        <item x="442"/>
        <item x="456"/>
        <item x="496"/>
        <item x="1200"/>
        <item x="1014"/>
        <item x="376"/>
        <item x="588"/>
        <item x="852"/>
        <item x="1013"/>
        <item x="194"/>
        <item x="667"/>
        <item x="721"/>
        <item x="867"/>
        <item x="336"/>
        <item x="1085"/>
        <item x="1012"/>
        <item x="180"/>
        <item x="322"/>
        <item x="163"/>
        <item x="818"/>
        <item x="669"/>
        <item x="276"/>
        <item x="364"/>
        <item x="690"/>
        <item x="434"/>
        <item x="370"/>
        <item x="363"/>
        <item x="838"/>
        <item x="65"/>
        <item x="1119"/>
        <item x="816"/>
        <item x="259"/>
        <item x="214"/>
        <item x="986"/>
        <item x="1034"/>
        <item x="64"/>
        <item x="824"/>
        <item x="230"/>
        <item x="497"/>
        <item x="209"/>
        <item x="1125"/>
        <item x="1088"/>
        <item x="293"/>
        <item x="960"/>
        <item x="862"/>
        <item x="320"/>
        <item x="586"/>
        <item x="728"/>
        <item x="508"/>
        <item x="247"/>
        <item x="231"/>
        <item x="1092"/>
        <item x="66"/>
        <item x="429"/>
        <item x="1143"/>
        <item x="566"/>
        <item x="886"/>
        <item x="1111"/>
        <item x="955"/>
        <item x="828"/>
        <item x="119"/>
        <item x="107"/>
        <item x="403"/>
        <item x="611"/>
        <item x="1049"/>
        <item x="532"/>
        <item x="943"/>
        <item x="761"/>
        <item x="1151"/>
        <item x="758"/>
        <item x="57"/>
        <item x="318"/>
        <item x="730"/>
        <item x="856"/>
        <item x="1063"/>
        <item x="956"/>
        <item x="848"/>
        <item x="92"/>
        <item x="905"/>
        <item x="501"/>
        <item x="911"/>
        <item x="216"/>
        <item x="1247"/>
        <item x="1129"/>
        <item x="1117"/>
        <item x="609"/>
        <item x="362"/>
        <item x="1016"/>
        <item x="193"/>
        <item x="807"/>
        <item x="270"/>
        <item x="615"/>
        <item x="709"/>
        <item x="670"/>
        <item x="1075"/>
        <item x="1148"/>
        <item x="73"/>
        <item x="423"/>
        <item x="635"/>
        <item x="1180"/>
        <item x="149"/>
        <item x="174"/>
        <item x="851"/>
        <item x="515"/>
        <item x="1054"/>
        <item x="1237"/>
        <item x="438"/>
        <item x="511"/>
        <item x="1232"/>
        <item x="839"/>
        <item x="387"/>
        <item x="654"/>
        <item x="897"/>
        <item x="1230"/>
        <item x="457"/>
        <item x="128"/>
        <item x="695"/>
        <item x="102"/>
        <item x="813"/>
        <item x="1175"/>
        <item x="447"/>
        <item x="941"/>
        <item x="832"/>
        <item x="1171"/>
        <item x="1134"/>
        <item x="896"/>
        <item x="234"/>
        <item x="822"/>
        <item x="265"/>
        <item x="1206"/>
        <item x="267"/>
        <item x="220"/>
        <item x="796"/>
        <item x="677"/>
        <item x="768"/>
        <item x="7"/>
        <item x="797"/>
        <item x="932"/>
        <item x="679"/>
        <item x="1102"/>
        <item x="568"/>
        <item x="798"/>
        <item x="952"/>
        <item x="1039"/>
        <item x="958"/>
        <item x="1055"/>
        <item x="368"/>
        <item x="371"/>
        <item x="1196"/>
        <item x="411"/>
        <item x="52"/>
        <item x="689"/>
        <item x="393"/>
        <item x="597"/>
        <item x="573"/>
        <item x="1191"/>
        <item x="1170"/>
        <item x="558"/>
        <item x="416"/>
        <item x="59"/>
        <item x="863"/>
        <item x="349"/>
        <item x="1113"/>
        <item x="353"/>
        <item x="282"/>
        <item x="348"/>
        <item x="606"/>
        <item x="54"/>
        <item x="190"/>
        <item x="47"/>
        <item x="766"/>
        <item x="732"/>
        <item x="800"/>
        <item x="880"/>
        <item x="899"/>
        <item x="1188"/>
        <item x="946"/>
        <item x="488"/>
        <item x="1185"/>
        <item x="229"/>
        <item x="1202"/>
        <item x="771"/>
        <item x="17"/>
        <item x="518"/>
        <item x="853"/>
        <item x="392"/>
        <item x="4"/>
        <item x="306"/>
        <item x="122"/>
        <item x="391"/>
        <item x="1182"/>
        <item x="108"/>
        <item x="72"/>
        <item x="983"/>
        <item x="46"/>
        <item x="409"/>
        <item x="619"/>
        <item x="751"/>
        <item x="258"/>
        <item x="1165"/>
        <item x="1218"/>
        <item x="1209"/>
        <item x="506"/>
        <item x="329"/>
        <item x="183"/>
        <item x="1068"/>
        <item x="1214"/>
        <item x="310"/>
        <item x="469"/>
        <item x="1010"/>
        <item x="827"/>
        <item x="790"/>
        <item x="379"/>
        <item x="995"/>
        <item x="1142"/>
        <item x="83"/>
        <item x="909"/>
        <item x="333"/>
        <item x="868"/>
        <item x="687"/>
        <item x="621"/>
        <item x="101"/>
        <item x="1050"/>
        <item x="700"/>
        <item x="195"/>
        <item x="1030"/>
        <item x="993"/>
        <item x="78"/>
        <item x="111"/>
        <item x="331"/>
        <item x="384"/>
        <item x="895"/>
        <item x="505"/>
        <item x="601"/>
        <item x="222"/>
        <item x="599"/>
        <item x="33"/>
        <item x="307"/>
        <item x="147"/>
        <item x="337"/>
        <item x="275"/>
        <item x="235"/>
        <item x="845"/>
        <item x="1101"/>
        <item x="75"/>
        <item x="537"/>
        <item x="262"/>
        <item x="179"/>
        <item x="68"/>
        <item x="264"/>
        <item x="1090"/>
        <item x="16"/>
        <item x="26"/>
        <item x="858"/>
        <item x="1131"/>
        <item x="666"/>
        <item x="914"/>
        <item x="303"/>
        <item x="397"/>
        <item x="653"/>
        <item x="755"/>
        <item x="485"/>
        <item x="769"/>
        <item x="556"/>
        <item x="685"/>
        <item x="375"/>
        <item x="1040"/>
        <item x="1159"/>
        <item x="726"/>
        <item x="240"/>
        <item x="6"/>
        <item x="516"/>
        <item x="668"/>
        <item x="284"/>
        <item x="1019"/>
        <item x="142"/>
        <item x="1107"/>
        <item x="1045"/>
        <item x="1023"/>
        <item x="9"/>
        <item x="612"/>
        <item x="227"/>
        <item x="91"/>
        <item x="77"/>
        <item x="552"/>
        <item x="499"/>
        <item x="539"/>
        <item x="948"/>
        <item x="716"/>
        <item x="154"/>
        <item x="228"/>
        <item x="855"/>
        <item x="97"/>
        <item x="794"/>
        <item x="1044"/>
        <item x="830"/>
        <item x="545"/>
        <item x="544"/>
        <item x="795"/>
        <item x="803"/>
        <item x="513"/>
        <item x="953"/>
        <item x="1035"/>
        <item x="887"/>
        <item x="200"/>
        <item x="1130"/>
        <item x="833"/>
        <item x="841"/>
        <item x="112"/>
        <item x="15"/>
        <item x="431"/>
        <item x="676"/>
        <item x="625"/>
        <item x="1031"/>
        <item x="150"/>
        <item x="877"/>
        <item x="1217"/>
        <item x="554"/>
        <item x="978"/>
        <item x="1120"/>
        <item x="1156"/>
        <item x="579"/>
        <item x="747"/>
        <item x="217"/>
        <item x="466"/>
        <item x="63"/>
        <item x="465"/>
        <item x="1190"/>
        <item x="645"/>
        <item x="1109"/>
        <item x="257"/>
        <item x="1146"/>
        <item x="871"/>
        <item x="1167"/>
        <item x="696"/>
        <item x="1241"/>
        <item x="1203"/>
        <item x="126"/>
        <item x="540"/>
        <item x="421"/>
        <item x="1121"/>
        <item x="999"/>
        <item x="359"/>
        <item x="221"/>
        <item x="48"/>
        <item x="711"/>
        <item x="720"/>
        <item x="1114"/>
        <item x="584"/>
        <item x="727"/>
        <item x="1005"/>
        <item x="674"/>
        <item x="957"/>
        <item x="1225"/>
        <item x="398"/>
        <item x="449"/>
        <item x="232"/>
        <item x="723"/>
        <item x="334"/>
        <item x="343"/>
        <item x="355"/>
        <item x="350"/>
        <item x="580"/>
        <item x="260"/>
        <item x="56"/>
        <item x="926"/>
        <item x="250"/>
        <item x="702"/>
        <item x="967"/>
        <item x="762"/>
        <item x="44"/>
        <item x="884"/>
        <item x="475"/>
        <item x="630"/>
        <item x="551"/>
        <item x="778"/>
        <item x="764"/>
        <item x="224"/>
        <item x="344"/>
        <item x="759"/>
        <item x="950"/>
        <item x="395"/>
        <item x="825"/>
        <item x="11"/>
        <item x="902"/>
        <item x="1215"/>
        <item x="772"/>
        <item x="500"/>
        <item x="191"/>
        <item x="146"/>
        <item x="938"/>
        <item x="1132"/>
        <item x="1070"/>
        <item x="734"/>
        <item x="243"/>
        <item x="649"/>
        <item x="969"/>
        <item x="817"/>
        <item x="520"/>
        <item x="1239"/>
        <item x="782"/>
        <item x="1222"/>
        <item x="296"/>
        <item x="1221"/>
        <item x="585"/>
        <item x="425"/>
        <item x="372"/>
        <item x="1152"/>
        <item x="254"/>
        <item x="1093"/>
        <item x="105"/>
        <item x="175"/>
        <item x="519"/>
        <item x="96"/>
        <item x="361"/>
        <item x="124"/>
        <item x="939"/>
        <item x="98"/>
        <item x="165"/>
        <item x="454"/>
        <item x="650"/>
        <item x="437"/>
        <item x="628"/>
        <item x="662"/>
        <item x="706"/>
        <item x="675"/>
        <item x="31"/>
        <item x="315"/>
        <item x="432"/>
        <item x="889"/>
        <item x="166"/>
        <item x="1213"/>
        <item x="463"/>
        <item x="1"/>
        <item x="594"/>
        <item x="58"/>
        <item x="748"/>
        <item x="1100"/>
        <item x="37"/>
        <item x="281"/>
        <item x="301"/>
        <item x="1128"/>
        <item x="604"/>
        <item x="459"/>
        <item x="976"/>
        <item x="954"/>
        <item x="964"/>
        <item x="660"/>
        <item x="291"/>
        <item x="655"/>
        <item x="919"/>
        <item x="354"/>
        <item x="971"/>
        <item x="298"/>
        <item x="156"/>
        <item x="605"/>
        <item x="733"/>
        <item x="577"/>
        <item x="369"/>
        <item x="683"/>
        <item x="215"/>
        <item x="553"/>
        <item x="145"/>
        <item x="644"/>
        <item x="390"/>
        <item x="1154"/>
        <item x="357"/>
        <item x="341"/>
        <item x="575"/>
        <item x="211"/>
        <item x="651"/>
        <item x="527"/>
        <item x="528"/>
        <item x="1174"/>
        <item x="358"/>
        <item x="854"/>
        <item x="1051"/>
        <item x="805"/>
        <item x="164"/>
        <item x="600"/>
        <item x="278"/>
        <item x="131"/>
        <item x="1138"/>
        <item x="439"/>
        <item x="965"/>
        <item x="843"/>
        <item x="407"/>
        <item x="55"/>
        <item x="85"/>
        <item x="399"/>
        <item x="223"/>
        <item x="684"/>
        <item x="643"/>
        <item x="1176"/>
        <item x="483"/>
        <item x="1181"/>
        <item x="529"/>
        <item x="1126"/>
        <item x="1009"/>
        <item x="741"/>
        <item x="330"/>
        <item x="874"/>
        <item x="89"/>
        <item x="1198"/>
        <item x="1208"/>
        <item x="739"/>
        <item x="997"/>
        <item x="724"/>
        <item x="840"/>
        <item x="814"/>
        <item x="1029"/>
        <item x="1186"/>
        <item x="1062"/>
        <item x="517"/>
        <item x="512"/>
        <item x="383"/>
        <item x="321"/>
        <item x="1194"/>
        <item x="850"/>
        <item x="319"/>
        <item x="1007"/>
        <item x="661"/>
        <item x="777"/>
        <item x="879"/>
        <item x="972"/>
        <item x="302"/>
        <item x="542"/>
        <item x="744"/>
        <item x="524"/>
        <item x="1095"/>
        <item x="918"/>
        <item x="820"/>
        <item x="652"/>
        <item x="876"/>
        <item x="535"/>
        <item x="1059"/>
        <item x="640"/>
        <item x="686"/>
        <item x="809"/>
        <item x="464"/>
        <item x="846"/>
        <item x="722"/>
        <item x="182"/>
        <item x="290"/>
        <item x="295"/>
        <item x="305"/>
        <item x="719"/>
        <item x="729"/>
        <item x="1168"/>
        <item x="1057"/>
        <item x="173"/>
        <item x="29"/>
        <item x="578"/>
        <item x="185"/>
        <item x="893"/>
        <item x="365"/>
        <item x="1145"/>
        <item x="752"/>
        <item x="1157"/>
        <item x="34"/>
        <item x="249"/>
        <item x="144"/>
        <item x="189"/>
        <item x="901"/>
        <item x="637"/>
        <item x="582"/>
        <item x="339"/>
        <item x="607"/>
        <item x="973"/>
        <item x="490"/>
        <item x="316"/>
        <item x="401"/>
        <item x="1056"/>
        <item x="266"/>
        <item x="80"/>
        <item x="356"/>
        <item x="717"/>
        <item x="576"/>
        <item x="279"/>
        <item x="49"/>
        <item x="1037"/>
        <item x="405"/>
        <item x="737"/>
        <item x="614"/>
        <item x="196"/>
        <item x="428"/>
        <item x="129"/>
        <item x="888"/>
        <item x="120"/>
        <item x="904"/>
        <item x="634"/>
        <item x="812"/>
        <item x="430"/>
        <item x="446"/>
        <item x="482"/>
        <item x="468"/>
        <item x="50"/>
        <item x="613"/>
        <item x="1097"/>
        <item x="338"/>
        <item x="458"/>
        <item x="949"/>
        <item x="536"/>
        <item x="70"/>
        <item x="114"/>
        <item x="451"/>
        <item x="936"/>
        <item x="502"/>
        <item x="590"/>
        <item x="1115"/>
        <item x="945"/>
        <item x="5"/>
        <item x="620"/>
        <item x="1021"/>
        <item x="140"/>
        <item x="484"/>
        <item x="1248"/>
        <item x="202"/>
        <item x="1212"/>
        <item x="792"/>
        <item x="878"/>
        <item x="962"/>
        <item x="1155"/>
        <item x="944"/>
        <item x="408"/>
        <item x="1211"/>
        <item x="942"/>
        <item x="1233"/>
        <item x="268"/>
        <item x="160"/>
        <item x="823"/>
        <item x="543"/>
        <item x="974"/>
        <item x="1166"/>
        <item x="1020"/>
        <item x="707"/>
        <item x="1195"/>
        <item x="289"/>
        <item x="704"/>
        <item x="36"/>
        <item x="317"/>
        <item x="1223"/>
        <item x="970"/>
        <item x="53"/>
        <item x="1110"/>
        <item x="93"/>
        <item x="638"/>
        <item x="1139"/>
        <item x="87"/>
        <item x="443"/>
        <item x="67"/>
        <item x="1234"/>
        <item x="921"/>
        <item x="192"/>
        <item x="998"/>
        <item x="691"/>
        <item x="1144"/>
        <item x="1140"/>
        <item x="647"/>
        <item x="1011"/>
        <item x="477"/>
        <item x="1079"/>
        <item x="1149"/>
        <item x="204"/>
        <item x="23"/>
        <item x="587"/>
        <item x="1133"/>
        <item x="389"/>
        <item x="412"/>
        <item x="779"/>
        <item x="1178"/>
        <item x="314"/>
        <item x="472"/>
        <item x="132"/>
        <item x="636"/>
        <item x="328"/>
        <item x="1098"/>
        <item x="1243"/>
        <item x="198"/>
        <item x="908"/>
        <item x="480"/>
        <item x="1236"/>
        <item x="857"/>
        <item x="927"/>
        <item x="1003"/>
        <item x="1179"/>
        <item x="445"/>
        <item x="869"/>
        <item x="106"/>
        <item x="32"/>
        <item x="1066"/>
        <item x="507"/>
        <item x="765"/>
        <item x="872"/>
        <item x="35"/>
        <item x="835"/>
        <item x="20"/>
        <item x="623"/>
        <item x="994"/>
        <item x="1073"/>
        <item x="1235"/>
        <item x="388"/>
        <item x="374"/>
        <item x="492"/>
        <item x="1210"/>
        <item x="678"/>
        <item x="1116"/>
        <item x="1053"/>
        <item x="419"/>
        <item x="1250"/>
        <item x="367"/>
        <item x="1096"/>
        <item x="933"/>
        <item x="76"/>
        <item x="837"/>
        <item x="103"/>
        <item x="1162"/>
        <item x="444"/>
        <item x="427"/>
        <item x="402"/>
        <item x="929"/>
        <item x="743"/>
        <item x="648"/>
        <item x="155"/>
        <item x="280"/>
        <item x="819"/>
        <item x="478"/>
        <item x="567"/>
        <item x="1076"/>
        <item x="460"/>
        <item x="1089"/>
        <item x="593"/>
        <item x="1216"/>
        <item x="187"/>
        <item x="565"/>
        <item x="38"/>
        <item x="1245"/>
        <item x="1065"/>
        <item x="167"/>
        <item x="503"/>
        <item x="255"/>
        <item x="476"/>
        <item x="225"/>
        <item x="373"/>
        <item x="274"/>
        <item x="900"/>
        <item x="673"/>
        <item x="1112"/>
        <item x="10"/>
        <item x="780"/>
        <item x="664"/>
        <item x="170"/>
        <item x="922"/>
        <item x="1141"/>
        <item x="199"/>
        <item x="1018"/>
        <item x="1099"/>
        <item x="924"/>
        <item x="253"/>
        <item x="1150"/>
        <item x="725"/>
        <item x="378"/>
        <item x="84"/>
        <item x="735"/>
        <item x="95"/>
        <item x="1229"/>
        <item x="495"/>
        <item x="571"/>
        <item x="522"/>
        <item x="698"/>
        <item x="693"/>
        <item x="671"/>
        <item x="1227"/>
        <item x="885"/>
        <item x="791"/>
        <item x="157"/>
        <item x="996"/>
        <item x="925"/>
        <item x="873"/>
        <item x="1184"/>
        <item x="473"/>
        <item x="767"/>
        <item x="313"/>
        <item x="1108"/>
        <item x="236"/>
        <item x="988"/>
        <item x="595"/>
        <item x="297"/>
        <item x="525"/>
        <item x="672"/>
        <item x="1137"/>
        <item x="1164"/>
        <item x="1192"/>
        <item x="861"/>
        <item x="934"/>
        <item x="1244"/>
        <item x="287"/>
        <item x="248"/>
        <item x="688"/>
        <item x="1074"/>
        <item x="569"/>
        <item x="237"/>
        <item x="272"/>
        <item x="849"/>
        <item x="1103"/>
        <item x="1238"/>
        <item x="1046"/>
        <item x="1127"/>
        <item x="975"/>
        <item x="1249"/>
        <item x="273"/>
        <item x="916"/>
        <item x="533"/>
        <item x="509"/>
        <item x="45"/>
        <item x="731"/>
        <item x="256"/>
        <item x="300"/>
        <item x="123"/>
        <item x="125"/>
        <item x="738"/>
        <item x="626"/>
        <item x="153"/>
        <item x="1187"/>
        <item x="177"/>
        <item x="826"/>
        <item x="736"/>
        <item x="1197"/>
        <item x="90"/>
        <item x="493"/>
        <item x="829"/>
        <item x="325"/>
        <item x="860"/>
        <item x="589"/>
        <item x="557"/>
        <item x="523"/>
        <item x="1022"/>
        <item x="1158"/>
        <item x="40"/>
        <item x="43"/>
        <item x="629"/>
        <item x="785"/>
        <item x="781"/>
        <item x="906"/>
        <item x="327"/>
        <item x="71"/>
        <item x="622"/>
        <item x="745"/>
        <item x="546"/>
        <item x="309"/>
        <item x="657"/>
        <item x="784"/>
        <item x="208"/>
        <item x="1160"/>
        <item x="992"/>
        <item x="206"/>
        <item x="534"/>
        <item x="1124"/>
        <item x="810"/>
        <item x="844"/>
        <item x="530"/>
        <item x="718"/>
        <item x="1024"/>
        <item x="641"/>
        <item x="19"/>
        <item x="801"/>
        <item x="135"/>
        <item x="1006"/>
        <item x="787"/>
        <item x="1199"/>
        <item x="786"/>
        <item x="1086"/>
        <item x="21"/>
        <item x="162"/>
        <item x="504"/>
        <item x="1004"/>
        <item x="288"/>
        <item x="977"/>
        <item x="559"/>
        <item x="203"/>
        <item x="705"/>
        <item x="246"/>
        <item x="1163"/>
        <item x="592"/>
        <item x="94"/>
        <item x="883"/>
        <item x="616"/>
        <item x="1038"/>
        <item x="1205"/>
        <item x="980"/>
        <item x="172"/>
        <item x="646"/>
        <item x="152"/>
        <item x="966"/>
        <item x="436"/>
        <item x="891"/>
        <item x="351"/>
        <item x="920"/>
        <item x="130"/>
        <item x="42"/>
        <item x="210"/>
        <item x="984"/>
        <item x="213"/>
        <item x="935"/>
        <item x="88"/>
        <item x="514"/>
        <item x="1136"/>
        <item x="1207"/>
        <item x="304"/>
        <item x="386"/>
        <item x="808"/>
        <item x="332"/>
        <item x="1173"/>
        <item x="424"/>
        <item x="441"/>
        <item x="219"/>
        <item x="1172"/>
        <item x="510"/>
        <item x="1001"/>
        <item x="1060"/>
        <item x="799"/>
        <item x="1048"/>
        <item x="242"/>
        <item x="531"/>
        <item x="1078"/>
        <item x="340"/>
        <item x="420"/>
        <item x="712"/>
        <item x="987"/>
        <item x="815"/>
        <item x="526"/>
        <item x="1246"/>
        <item x="400"/>
        <item x="710"/>
        <item x="1077"/>
        <item x="148"/>
        <item x="41"/>
        <item x="1193"/>
        <item x="491"/>
        <item x="627"/>
        <item x="345"/>
        <item x="633"/>
        <item x="1118"/>
        <item x="1161"/>
        <item x="749"/>
        <item x="834"/>
        <item x="692"/>
        <item x="907"/>
        <item x="1008"/>
        <item x="740"/>
        <item x="775"/>
        <item x="171"/>
        <item x="74"/>
        <item x="1083"/>
        <item x="1043"/>
        <item x="251"/>
        <item x="283"/>
        <item x="406"/>
        <item x="746"/>
        <item x="184"/>
        <item x="549"/>
        <item x="218"/>
        <item x="176"/>
        <item x="435"/>
        <item x="394"/>
        <item x="928"/>
        <item x="1058"/>
        <item x="773"/>
        <item x="498"/>
        <item x="563"/>
        <item x="271"/>
        <item x="881"/>
        <item x="618"/>
        <item x="961"/>
        <item x="591"/>
        <item x="694"/>
        <item x="968"/>
        <item x="1036"/>
        <item x="937"/>
        <item x="763"/>
        <item x="239"/>
        <item x="521"/>
        <item x="603"/>
        <item x="110"/>
        <item x="81"/>
        <item x="538"/>
        <item x="245"/>
        <item x="455"/>
        <item x="8"/>
        <item x="547"/>
        <item x="639"/>
        <item x="715"/>
        <item x="415"/>
        <item x="713"/>
        <item x="1220"/>
        <item x="414"/>
        <item x="572"/>
        <item x="82"/>
        <item x="422"/>
        <item x="836"/>
        <item x="756"/>
        <item x="24"/>
        <item x="109"/>
        <item x="912"/>
        <item x="1123"/>
        <item x="292"/>
        <item x="1080"/>
        <item x="859"/>
        <item x="1091"/>
        <item x="811"/>
        <item x="951"/>
        <item x="1224"/>
        <item x="940"/>
        <item x="18"/>
        <item x="742"/>
        <item x="1084"/>
        <item x="382"/>
        <item x="617"/>
        <item x="143"/>
        <item x="201"/>
        <item x="923"/>
        <item x="269"/>
        <item x="385"/>
        <item x="570"/>
        <item x="404"/>
        <item x="39"/>
        <item x="226"/>
        <item x="847"/>
        <item x="138"/>
        <item x="1071"/>
        <item x="13"/>
        <item x="1228"/>
        <item x="1033"/>
        <item x="241"/>
        <item x="381"/>
        <item x="1240"/>
        <item x="181"/>
        <item x="574"/>
        <item x="494"/>
        <item x="25"/>
        <item x="1183"/>
        <item x="161"/>
        <item x="947"/>
        <item x="286"/>
        <item x="581"/>
        <item x="205"/>
        <item x="410"/>
        <item x="418"/>
        <item x="804"/>
        <item x="631"/>
        <item x="99"/>
        <item x="1082"/>
        <item x="117"/>
        <item x="188"/>
        <item x="989"/>
        <item x="360"/>
        <item x="197"/>
        <item x="930"/>
        <item x="413"/>
        <item x="1032"/>
        <item x="12"/>
        <item x="467"/>
        <item x="453"/>
        <item x="831"/>
        <item x="1169"/>
        <item x="699"/>
        <item x="866"/>
        <item x="789"/>
        <item x="471"/>
        <item x="433"/>
        <item x="1042"/>
        <item x="377"/>
        <item x="448"/>
        <item x="30"/>
        <item x="864"/>
        <item x="450"/>
        <item x="452"/>
        <item x="474"/>
        <item x="1122"/>
        <item x="959"/>
        <item x="1231"/>
        <item x="774"/>
        <item x="426"/>
        <item x="169"/>
        <item x="560"/>
        <item x="127"/>
        <item x="252"/>
        <item x="168"/>
        <item x="1153"/>
        <item x="680"/>
        <item x="285"/>
        <item x="121"/>
        <item x="1135"/>
        <item x="487"/>
        <item x="277"/>
        <item x="100"/>
        <item x="308"/>
        <item x="104"/>
        <item x="682"/>
        <item x="133"/>
        <item x="481"/>
        <item x="1028"/>
        <item x="1015"/>
        <item x="870"/>
        <item x="158"/>
        <item x="396"/>
        <item x="890"/>
        <item x="608"/>
        <item x="1087"/>
        <item x="865"/>
        <item x="931"/>
        <item x="757"/>
        <item x="261"/>
        <item x="701"/>
        <item x="665"/>
        <item x="22"/>
        <item x="134"/>
        <item x="898"/>
        <item x="548"/>
        <item x="159"/>
        <item x="550"/>
        <item x="1242"/>
        <item x="659"/>
        <item x="60"/>
        <item x="244"/>
        <item x="326"/>
        <item x="238"/>
        <item x="417"/>
        <item x="1064"/>
        <item x="788"/>
        <item x="681"/>
        <item x="1105"/>
        <item x="141"/>
        <item x="151"/>
        <item x="842"/>
        <item x="913"/>
        <item x="352"/>
        <item x="753"/>
        <item x="882"/>
        <item x="541"/>
        <item x="793"/>
        <item x="770"/>
        <item x="596"/>
        <item x="207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High Value Orders" fld="11" subtotal="count" baseField="0" baseItem="0"/>
  </dataFields>
  <chartFormats count="2"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F433C-6CF5-4006-BD31-3227CBC81B21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4">
  <location ref="D21:I26" firstHeaderRow="1" firstDataRow="2" firstDataCol="1"/>
  <pivotFields count="13">
    <pivotField showAll="0"/>
    <pivotField numFmtId="14" showAll="0"/>
    <pivotField showAll="0"/>
    <pivotField axis="axisCol" showAll="0">
      <items count="5">
        <item x="3"/>
        <item x="1"/>
        <item x="0"/>
        <item x="2"/>
        <item t="default"/>
      </items>
    </pivotField>
    <pivotField showAll="0">
      <items count="5">
        <item x="2"/>
        <item x="0"/>
        <item x="1"/>
        <item f="1" x="3"/>
        <item t="default"/>
      </items>
    </pivotField>
    <pivotField numFmtId="4" showAll="0"/>
    <pivotField dataField="1" numFmtId="1" showAll="0"/>
    <pivotField showAll="0">
      <items count="4">
        <item x="1"/>
        <item x="2"/>
        <item x="0"/>
        <item t="default"/>
      </items>
    </pivotField>
    <pivotField showAll="0">
      <items count="25">
        <item x="3"/>
        <item x="20"/>
        <item x="18"/>
        <item x="7"/>
        <item x="21"/>
        <item x="12"/>
        <item x="13"/>
        <item x="2"/>
        <item x="14"/>
        <item x="1"/>
        <item x="11"/>
        <item x="6"/>
        <item x="23"/>
        <item x="16"/>
        <item x="10"/>
        <item x="5"/>
        <item x="15"/>
        <item x="19"/>
        <item x="9"/>
        <item x="0"/>
        <item x="22"/>
        <item x="17"/>
        <item x="4"/>
        <item x="8"/>
        <item t="default"/>
      </items>
    </pivotField>
    <pivotField numFmtId="4" showAll="0">
      <items count="1252">
        <item x="0"/>
        <item x="1025"/>
        <item x="602"/>
        <item x="489"/>
        <item x="894"/>
        <item x="3"/>
        <item x="642"/>
        <item x="981"/>
        <item x="470"/>
        <item x="917"/>
        <item x="1041"/>
        <item x="1147"/>
        <item x="86"/>
        <item x="299"/>
        <item x="1094"/>
        <item x="186"/>
        <item x="776"/>
        <item x="892"/>
        <item x="1067"/>
        <item x="624"/>
        <item x="564"/>
        <item x="14"/>
        <item x="697"/>
        <item x="1081"/>
        <item x="1106"/>
        <item x="1177"/>
        <item x="821"/>
        <item x="1061"/>
        <item x="380"/>
        <item x="116"/>
        <item x="982"/>
        <item x="212"/>
        <item x="1226"/>
        <item x="139"/>
        <item x="1104"/>
        <item x="1027"/>
        <item x="1017"/>
        <item x="583"/>
        <item x="806"/>
        <item x="28"/>
        <item x="462"/>
        <item x="461"/>
        <item x="294"/>
        <item x="903"/>
        <item x="658"/>
        <item x="115"/>
        <item x="263"/>
        <item x="985"/>
        <item x="62"/>
        <item x="979"/>
        <item x="346"/>
        <item x="1072"/>
        <item x="79"/>
        <item x="27"/>
        <item x="991"/>
        <item x="562"/>
        <item x="990"/>
        <item x="1204"/>
        <item x="1189"/>
        <item x="875"/>
        <item x="555"/>
        <item x="714"/>
        <item x="136"/>
        <item x="1002"/>
        <item x="783"/>
        <item x="1201"/>
        <item x="323"/>
        <item x="233"/>
        <item x="750"/>
        <item x="1219"/>
        <item x="703"/>
        <item x="754"/>
        <item x="610"/>
        <item x="312"/>
        <item x="663"/>
        <item x="915"/>
        <item x="113"/>
        <item x="118"/>
        <item x="69"/>
        <item x="910"/>
        <item x="342"/>
        <item x="311"/>
        <item x="1026"/>
        <item x="335"/>
        <item x="1069"/>
        <item x="2"/>
        <item x="347"/>
        <item x="760"/>
        <item x="486"/>
        <item x="656"/>
        <item x="1000"/>
        <item x="598"/>
        <item x="178"/>
        <item x="561"/>
        <item x="479"/>
        <item x="366"/>
        <item x="708"/>
        <item x="1052"/>
        <item x="61"/>
        <item x="632"/>
        <item x="963"/>
        <item x="324"/>
        <item x="137"/>
        <item x="51"/>
        <item x="1047"/>
        <item x="802"/>
        <item x="440"/>
        <item x="442"/>
        <item x="456"/>
        <item x="496"/>
        <item x="1200"/>
        <item x="1014"/>
        <item x="376"/>
        <item x="588"/>
        <item x="852"/>
        <item x="1013"/>
        <item x="194"/>
        <item x="667"/>
        <item x="721"/>
        <item x="867"/>
        <item x="336"/>
        <item x="1085"/>
        <item x="1012"/>
        <item x="180"/>
        <item x="322"/>
        <item x="163"/>
        <item x="818"/>
        <item x="669"/>
        <item x="276"/>
        <item x="364"/>
        <item x="690"/>
        <item x="434"/>
        <item x="370"/>
        <item x="363"/>
        <item x="838"/>
        <item x="65"/>
        <item x="1119"/>
        <item x="816"/>
        <item x="259"/>
        <item x="214"/>
        <item x="986"/>
        <item x="1034"/>
        <item x="64"/>
        <item x="824"/>
        <item x="230"/>
        <item x="497"/>
        <item x="209"/>
        <item x="1125"/>
        <item x="1088"/>
        <item x="293"/>
        <item x="960"/>
        <item x="862"/>
        <item x="320"/>
        <item x="586"/>
        <item x="728"/>
        <item x="508"/>
        <item x="247"/>
        <item x="231"/>
        <item x="1092"/>
        <item x="66"/>
        <item x="429"/>
        <item x="1143"/>
        <item x="566"/>
        <item x="886"/>
        <item x="1111"/>
        <item x="955"/>
        <item x="828"/>
        <item x="119"/>
        <item x="107"/>
        <item x="403"/>
        <item x="611"/>
        <item x="1049"/>
        <item x="532"/>
        <item x="943"/>
        <item x="761"/>
        <item x="1151"/>
        <item x="758"/>
        <item x="57"/>
        <item x="318"/>
        <item x="730"/>
        <item x="856"/>
        <item x="1063"/>
        <item x="956"/>
        <item x="848"/>
        <item x="92"/>
        <item x="905"/>
        <item x="501"/>
        <item x="911"/>
        <item x="216"/>
        <item x="1247"/>
        <item x="1129"/>
        <item x="1117"/>
        <item x="609"/>
        <item x="362"/>
        <item x="1016"/>
        <item x="193"/>
        <item x="807"/>
        <item x="270"/>
        <item x="615"/>
        <item x="709"/>
        <item x="670"/>
        <item x="1075"/>
        <item x="1148"/>
        <item x="73"/>
        <item x="423"/>
        <item x="635"/>
        <item x="1180"/>
        <item x="149"/>
        <item x="174"/>
        <item x="851"/>
        <item x="515"/>
        <item x="1054"/>
        <item x="1237"/>
        <item x="438"/>
        <item x="511"/>
        <item x="1232"/>
        <item x="839"/>
        <item x="387"/>
        <item x="654"/>
        <item x="897"/>
        <item x="1230"/>
        <item x="457"/>
        <item x="128"/>
        <item x="695"/>
        <item x="102"/>
        <item x="813"/>
        <item x="1175"/>
        <item x="447"/>
        <item x="941"/>
        <item x="832"/>
        <item x="1171"/>
        <item x="1134"/>
        <item x="896"/>
        <item x="234"/>
        <item x="822"/>
        <item x="265"/>
        <item x="1206"/>
        <item x="267"/>
        <item x="220"/>
        <item x="796"/>
        <item x="677"/>
        <item x="768"/>
        <item x="7"/>
        <item x="797"/>
        <item x="932"/>
        <item x="679"/>
        <item x="1102"/>
        <item x="568"/>
        <item x="798"/>
        <item x="952"/>
        <item x="1039"/>
        <item x="958"/>
        <item x="1055"/>
        <item x="368"/>
        <item x="371"/>
        <item x="1196"/>
        <item x="411"/>
        <item x="52"/>
        <item x="689"/>
        <item x="393"/>
        <item x="597"/>
        <item x="573"/>
        <item x="1191"/>
        <item x="1170"/>
        <item x="558"/>
        <item x="416"/>
        <item x="59"/>
        <item x="863"/>
        <item x="349"/>
        <item x="1113"/>
        <item x="353"/>
        <item x="282"/>
        <item x="348"/>
        <item x="606"/>
        <item x="54"/>
        <item x="190"/>
        <item x="47"/>
        <item x="766"/>
        <item x="732"/>
        <item x="800"/>
        <item x="880"/>
        <item x="899"/>
        <item x="1188"/>
        <item x="946"/>
        <item x="488"/>
        <item x="1185"/>
        <item x="229"/>
        <item x="1202"/>
        <item x="771"/>
        <item x="17"/>
        <item x="518"/>
        <item x="853"/>
        <item x="392"/>
        <item x="4"/>
        <item x="306"/>
        <item x="122"/>
        <item x="391"/>
        <item x="1182"/>
        <item x="108"/>
        <item x="72"/>
        <item x="983"/>
        <item x="46"/>
        <item x="409"/>
        <item x="619"/>
        <item x="751"/>
        <item x="258"/>
        <item x="1165"/>
        <item x="1218"/>
        <item x="1209"/>
        <item x="506"/>
        <item x="329"/>
        <item x="183"/>
        <item x="1068"/>
        <item x="1214"/>
        <item x="310"/>
        <item x="469"/>
        <item x="1010"/>
        <item x="827"/>
        <item x="790"/>
        <item x="379"/>
        <item x="995"/>
        <item x="1142"/>
        <item x="83"/>
        <item x="909"/>
        <item x="333"/>
        <item x="868"/>
        <item x="687"/>
        <item x="621"/>
        <item x="101"/>
        <item x="1050"/>
        <item x="700"/>
        <item x="195"/>
        <item x="1030"/>
        <item x="993"/>
        <item x="78"/>
        <item x="111"/>
        <item x="331"/>
        <item x="384"/>
        <item x="895"/>
        <item x="505"/>
        <item x="601"/>
        <item x="222"/>
        <item x="599"/>
        <item x="33"/>
        <item x="307"/>
        <item x="147"/>
        <item x="337"/>
        <item x="275"/>
        <item x="235"/>
        <item x="845"/>
        <item x="1101"/>
        <item x="75"/>
        <item x="537"/>
        <item x="262"/>
        <item x="179"/>
        <item x="68"/>
        <item x="264"/>
        <item x="1090"/>
        <item x="16"/>
        <item x="26"/>
        <item x="858"/>
        <item x="1131"/>
        <item x="666"/>
        <item x="914"/>
        <item x="303"/>
        <item x="397"/>
        <item x="653"/>
        <item x="755"/>
        <item x="485"/>
        <item x="769"/>
        <item x="556"/>
        <item x="685"/>
        <item x="375"/>
        <item x="1040"/>
        <item x="1159"/>
        <item x="726"/>
        <item x="240"/>
        <item x="6"/>
        <item x="516"/>
        <item x="668"/>
        <item x="284"/>
        <item x="1019"/>
        <item x="142"/>
        <item x="1107"/>
        <item x="1045"/>
        <item x="1023"/>
        <item x="9"/>
        <item x="612"/>
        <item x="227"/>
        <item x="91"/>
        <item x="77"/>
        <item x="552"/>
        <item x="499"/>
        <item x="539"/>
        <item x="948"/>
        <item x="716"/>
        <item x="154"/>
        <item x="228"/>
        <item x="855"/>
        <item x="97"/>
        <item x="794"/>
        <item x="1044"/>
        <item x="830"/>
        <item x="545"/>
        <item x="544"/>
        <item x="795"/>
        <item x="803"/>
        <item x="513"/>
        <item x="953"/>
        <item x="1035"/>
        <item x="887"/>
        <item x="200"/>
        <item x="1130"/>
        <item x="833"/>
        <item x="841"/>
        <item x="112"/>
        <item x="15"/>
        <item x="431"/>
        <item x="676"/>
        <item x="625"/>
        <item x="1031"/>
        <item x="150"/>
        <item x="877"/>
        <item x="1217"/>
        <item x="554"/>
        <item x="978"/>
        <item x="1120"/>
        <item x="1156"/>
        <item x="579"/>
        <item x="747"/>
        <item x="217"/>
        <item x="466"/>
        <item x="63"/>
        <item x="465"/>
        <item x="1190"/>
        <item x="645"/>
        <item x="1109"/>
        <item x="257"/>
        <item x="1146"/>
        <item x="871"/>
        <item x="1167"/>
        <item x="696"/>
        <item x="1241"/>
        <item x="1203"/>
        <item x="126"/>
        <item x="540"/>
        <item x="421"/>
        <item x="1121"/>
        <item x="999"/>
        <item x="359"/>
        <item x="221"/>
        <item x="48"/>
        <item x="711"/>
        <item x="720"/>
        <item x="1114"/>
        <item x="584"/>
        <item x="727"/>
        <item x="1005"/>
        <item x="674"/>
        <item x="957"/>
        <item x="1225"/>
        <item x="398"/>
        <item x="449"/>
        <item x="232"/>
        <item x="723"/>
        <item x="334"/>
        <item x="343"/>
        <item x="355"/>
        <item x="350"/>
        <item x="580"/>
        <item x="260"/>
        <item x="56"/>
        <item x="926"/>
        <item x="250"/>
        <item x="702"/>
        <item x="967"/>
        <item x="762"/>
        <item x="44"/>
        <item x="884"/>
        <item x="475"/>
        <item x="630"/>
        <item x="551"/>
        <item x="778"/>
        <item x="764"/>
        <item x="224"/>
        <item x="344"/>
        <item x="759"/>
        <item x="950"/>
        <item x="395"/>
        <item x="825"/>
        <item x="11"/>
        <item x="902"/>
        <item x="1215"/>
        <item x="772"/>
        <item x="500"/>
        <item x="191"/>
        <item x="146"/>
        <item x="938"/>
        <item x="1132"/>
        <item x="1070"/>
        <item x="734"/>
        <item x="243"/>
        <item x="649"/>
        <item x="969"/>
        <item x="817"/>
        <item x="520"/>
        <item x="1239"/>
        <item x="782"/>
        <item x="1222"/>
        <item x="296"/>
        <item x="1221"/>
        <item x="585"/>
        <item x="425"/>
        <item x="372"/>
        <item x="1152"/>
        <item x="254"/>
        <item x="1093"/>
        <item x="105"/>
        <item x="175"/>
        <item x="519"/>
        <item x="96"/>
        <item x="361"/>
        <item x="124"/>
        <item x="939"/>
        <item x="98"/>
        <item x="165"/>
        <item x="454"/>
        <item x="650"/>
        <item x="437"/>
        <item x="628"/>
        <item x="662"/>
        <item x="706"/>
        <item x="675"/>
        <item x="31"/>
        <item x="315"/>
        <item x="432"/>
        <item x="889"/>
        <item x="166"/>
        <item x="1213"/>
        <item x="463"/>
        <item x="1"/>
        <item x="594"/>
        <item x="58"/>
        <item x="748"/>
        <item x="1100"/>
        <item x="37"/>
        <item x="281"/>
        <item x="301"/>
        <item x="1128"/>
        <item x="604"/>
        <item x="459"/>
        <item x="976"/>
        <item x="954"/>
        <item x="964"/>
        <item x="660"/>
        <item x="291"/>
        <item x="655"/>
        <item x="919"/>
        <item x="354"/>
        <item x="971"/>
        <item x="298"/>
        <item x="156"/>
        <item x="605"/>
        <item x="733"/>
        <item x="577"/>
        <item x="369"/>
        <item x="683"/>
        <item x="215"/>
        <item x="553"/>
        <item x="145"/>
        <item x="644"/>
        <item x="390"/>
        <item x="1154"/>
        <item x="357"/>
        <item x="341"/>
        <item x="575"/>
        <item x="211"/>
        <item x="651"/>
        <item x="527"/>
        <item x="528"/>
        <item x="1174"/>
        <item x="358"/>
        <item x="854"/>
        <item x="1051"/>
        <item x="805"/>
        <item x="164"/>
        <item x="600"/>
        <item x="278"/>
        <item x="131"/>
        <item x="1138"/>
        <item x="439"/>
        <item x="965"/>
        <item x="843"/>
        <item x="407"/>
        <item x="55"/>
        <item x="85"/>
        <item x="399"/>
        <item x="223"/>
        <item x="684"/>
        <item x="643"/>
        <item x="1176"/>
        <item x="483"/>
        <item x="1181"/>
        <item x="529"/>
        <item x="1126"/>
        <item x="1009"/>
        <item x="741"/>
        <item x="330"/>
        <item x="874"/>
        <item x="89"/>
        <item x="1198"/>
        <item x="1208"/>
        <item x="739"/>
        <item x="997"/>
        <item x="724"/>
        <item x="840"/>
        <item x="814"/>
        <item x="1029"/>
        <item x="1186"/>
        <item x="1062"/>
        <item x="517"/>
        <item x="512"/>
        <item x="383"/>
        <item x="321"/>
        <item x="1194"/>
        <item x="850"/>
        <item x="319"/>
        <item x="1007"/>
        <item x="661"/>
        <item x="777"/>
        <item x="879"/>
        <item x="972"/>
        <item x="302"/>
        <item x="542"/>
        <item x="744"/>
        <item x="524"/>
        <item x="1095"/>
        <item x="918"/>
        <item x="820"/>
        <item x="652"/>
        <item x="876"/>
        <item x="535"/>
        <item x="1059"/>
        <item x="640"/>
        <item x="686"/>
        <item x="809"/>
        <item x="464"/>
        <item x="846"/>
        <item x="722"/>
        <item x="182"/>
        <item x="290"/>
        <item x="295"/>
        <item x="305"/>
        <item x="719"/>
        <item x="729"/>
        <item x="1168"/>
        <item x="1057"/>
        <item x="173"/>
        <item x="29"/>
        <item x="578"/>
        <item x="185"/>
        <item x="893"/>
        <item x="365"/>
        <item x="1145"/>
        <item x="752"/>
        <item x="1157"/>
        <item x="34"/>
        <item x="249"/>
        <item x="144"/>
        <item x="189"/>
        <item x="901"/>
        <item x="637"/>
        <item x="582"/>
        <item x="339"/>
        <item x="607"/>
        <item x="973"/>
        <item x="490"/>
        <item x="316"/>
        <item x="401"/>
        <item x="1056"/>
        <item x="266"/>
        <item x="80"/>
        <item x="356"/>
        <item x="717"/>
        <item x="576"/>
        <item x="279"/>
        <item x="49"/>
        <item x="1037"/>
        <item x="405"/>
        <item x="737"/>
        <item x="614"/>
        <item x="196"/>
        <item x="428"/>
        <item x="129"/>
        <item x="888"/>
        <item x="120"/>
        <item x="904"/>
        <item x="634"/>
        <item x="812"/>
        <item x="430"/>
        <item x="446"/>
        <item x="482"/>
        <item x="468"/>
        <item x="50"/>
        <item x="613"/>
        <item x="1097"/>
        <item x="338"/>
        <item x="458"/>
        <item x="949"/>
        <item x="536"/>
        <item x="70"/>
        <item x="114"/>
        <item x="451"/>
        <item x="936"/>
        <item x="502"/>
        <item x="590"/>
        <item x="1115"/>
        <item x="945"/>
        <item x="5"/>
        <item x="620"/>
        <item x="1021"/>
        <item x="140"/>
        <item x="484"/>
        <item x="1248"/>
        <item x="202"/>
        <item x="1212"/>
        <item x="792"/>
        <item x="878"/>
        <item x="962"/>
        <item x="1155"/>
        <item x="944"/>
        <item x="408"/>
        <item x="1211"/>
        <item x="942"/>
        <item x="1233"/>
        <item x="268"/>
        <item x="160"/>
        <item x="823"/>
        <item x="543"/>
        <item x="974"/>
        <item x="1166"/>
        <item x="1020"/>
        <item x="707"/>
        <item x="1195"/>
        <item x="289"/>
        <item x="704"/>
        <item x="36"/>
        <item x="317"/>
        <item x="1223"/>
        <item x="970"/>
        <item x="53"/>
        <item x="1110"/>
        <item x="93"/>
        <item x="638"/>
        <item x="1139"/>
        <item x="87"/>
        <item x="443"/>
        <item x="67"/>
        <item x="1234"/>
        <item x="921"/>
        <item x="192"/>
        <item x="998"/>
        <item x="691"/>
        <item x="1144"/>
        <item x="1140"/>
        <item x="647"/>
        <item x="1011"/>
        <item x="477"/>
        <item x="1079"/>
        <item x="1149"/>
        <item x="204"/>
        <item x="23"/>
        <item x="587"/>
        <item x="1133"/>
        <item x="389"/>
        <item x="412"/>
        <item x="779"/>
        <item x="1178"/>
        <item x="314"/>
        <item x="472"/>
        <item x="132"/>
        <item x="636"/>
        <item x="328"/>
        <item x="1098"/>
        <item x="1243"/>
        <item x="198"/>
        <item x="908"/>
        <item x="480"/>
        <item x="1236"/>
        <item x="857"/>
        <item x="927"/>
        <item x="1003"/>
        <item x="1179"/>
        <item x="445"/>
        <item x="869"/>
        <item x="106"/>
        <item x="32"/>
        <item x="1066"/>
        <item x="507"/>
        <item x="765"/>
        <item x="872"/>
        <item x="35"/>
        <item x="835"/>
        <item x="20"/>
        <item x="623"/>
        <item x="994"/>
        <item x="1073"/>
        <item x="1235"/>
        <item x="388"/>
        <item x="374"/>
        <item x="492"/>
        <item x="1210"/>
        <item x="678"/>
        <item x="1116"/>
        <item x="1053"/>
        <item x="419"/>
        <item x="1250"/>
        <item x="367"/>
        <item x="1096"/>
        <item x="933"/>
        <item x="76"/>
        <item x="837"/>
        <item x="103"/>
        <item x="1162"/>
        <item x="444"/>
        <item x="427"/>
        <item x="402"/>
        <item x="929"/>
        <item x="743"/>
        <item x="648"/>
        <item x="155"/>
        <item x="280"/>
        <item x="819"/>
        <item x="478"/>
        <item x="567"/>
        <item x="1076"/>
        <item x="460"/>
        <item x="1089"/>
        <item x="593"/>
        <item x="1216"/>
        <item x="187"/>
        <item x="565"/>
        <item x="38"/>
        <item x="1245"/>
        <item x="1065"/>
        <item x="167"/>
        <item x="503"/>
        <item x="255"/>
        <item x="476"/>
        <item x="225"/>
        <item x="373"/>
        <item x="274"/>
        <item x="900"/>
        <item x="673"/>
        <item x="1112"/>
        <item x="10"/>
        <item x="780"/>
        <item x="664"/>
        <item x="170"/>
        <item x="922"/>
        <item x="1141"/>
        <item x="199"/>
        <item x="1018"/>
        <item x="1099"/>
        <item x="924"/>
        <item x="253"/>
        <item x="1150"/>
        <item x="725"/>
        <item x="378"/>
        <item x="84"/>
        <item x="735"/>
        <item x="95"/>
        <item x="1229"/>
        <item x="495"/>
        <item x="571"/>
        <item x="522"/>
        <item x="698"/>
        <item x="693"/>
        <item x="671"/>
        <item x="1227"/>
        <item x="885"/>
        <item x="791"/>
        <item x="157"/>
        <item x="996"/>
        <item x="925"/>
        <item x="873"/>
        <item x="1184"/>
        <item x="473"/>
        <item x="767"/>
        <item x="313"/>
        <item x="1108"/>
        <item x="236"/>
        <item x="988"/>
        <item x="595"/>
        <item x="297"/>
        <item x="525"/>
        <item x="672"/>
        <item x="1137"/>
        <item x="1164"/>
        <item x="1192"/>
        <item x="861"/>
        <item x="934"/>
        <item x="1244"/>
        <item x="287"/>
        <item x="248"/>
        <item x="688"/>
        <item x="1074"/>
        <item x="569"/>
        <item x="237"/>
        <item x="272"/>
        <item x="849"/>
        <item x="1103"/>
        <item x="1238"/>
        <item x="1046"/>
        <item x="1127"/>
        <item x="975"/>
        <item x="1249"/>
        <item x="273"/>
        <item x="916"/>
        <item x="533"/>
        <item x="509"/>
        <item x="45"/>
        <item x="731"/>
        <item x="256"/>
        <item x="300"/>
        <item x="123"/>
        <item x="125"/>
        <item x="738"/>
        <item x="626"/>
        <item x="153"/>
        <item x="1187"/>
        <item x="177"/>
        <item x="826"/>
        <item x="736"/>
        <item x="1197"/>
        <item x="90"/>
        <item x="493"/>
        <item x="829"/>
        <item x="325"/>
        <item x="860"/>
        <item x="589"/>
        <item x="557"/>
        <item x="523"/>
        <item x="1022"/>
        <item x="1158"/>
        <item x="40"/>
        <item x="43"/>
        <item x="629"/>
        <item x="785"/>
        <item x="781"/>
        <item x="906"/>
        <item x="327"/>
        <item x="71"/>
        <item x="622"/>
        <item x="745"/>
        <item x="546"/>
        <item x="309"/>
        <item x="657"/>
        <item x="784"/>
        <item x="208"/>
        <item x="1160"/>
        <item x="992"/>
        <item x="206"/>
        <item x="534"/>
        <item x="1124"/>
        <item x="810"/>
        <item x="844"/>
        <item x="530"/>
        <item x="718"/>
        <item x="1024"/>
        <item x="641"/>
        <item x="19"/>
        <item x="801"/>
        <item x="135"/>
        <item x="1006"/>
        <item x="787"/>
        <item x="1199"/>
        <item x="786"/>
        <item x="1086"/>
        <item x="21"/>
        <item x="162"/>
        <item x="504"/>
        <item x="1004"/>
        <item x="288"/>
        <item x="977"/>
        <item x="559"/>
        <item x="203"/>
        <item x="705"/>
        <item x="246"/>
        <item x="1163"/>
        <item x="592"/>
        <item x="94"/>
        <item x="883"/>
        <item x="616"/>
        <item x="1038"/>
        <item x="1205"/>
        <item x="980"/>
        <item x="172"/>
        <item x="646"/>
        <item x="152"/>
        <item x="966"/>
        <item x="436"/>
        <item x="891"/>
        <item x="351"/>
        <item x="920"/>
        <item x="130"/>
        <item x="42"/>
        <item x="210"/>
        <item x="984"/>
        <item x="213"/>
        <item x="935"/>
        <item x="88"/>
        <item x="514"/>
        <item x="1136"/>
        <item x="1207"/>
        <item x="304"/>
        <item x="386"/>
        <item x="808"/>
        <item x="332"/>
        <item x="1173"/>
        <item x="424"/>
        <item x="441"/>
        <item x="219"/>
        <item x="1172"/>
        <item x="510"/>
        <item x="1001"/>
        <item x="1060"/>
        <item x="799"/>
        <item x="1048"/>
        <item x="242"/>
        <item x="531"/>
        <item x="1078"/>
        <item x="340"/>
        <item x="420"/>
        <item x="712"/>
        <item x="987"/>
        <item x="815"/>
        <item x="526"/>
        <item x="1246"/>
        <item x="400"/>
        <item x="710"/>
        <item x="1077"/>
        <item x="148"/>
        <item x="41"/>
        <item x="1193"/>
        <item x="491"/>
        <item x="627"/>
        <item x="345"/>
        <item x="633"/>
        <item x="1118"/>
        <item x="1161"/>
        <item x="749"/>
        <item x="834"/>
        <item x="692"/>
        <item x="907"/>
        <item x="1008"/>
        <item x="740"/>
        <item x="775"/>
        <item x="171"/>
        <item x="74"/>
        <item x="1083"/>
        <item x="1043"/>
        <item x="251"/>
        <item x="283"/>
        <item x="406"/>
        <item x="746"/>
        <item x="184"/>
        <item x="549"/>
        <item x="218"/>
        <item x="176"/>
        <item x="435"/>
        <item x="394"/>
        <item x="928"/>
        <item x="1058"/>
        <item x="773"/>
        <item x="498"/>
        <item x="563"/>
        <item x="271"/>
        <item x="881"/>
        <item x="618"/>
        <item x="961"/>
        <item x="591"/>
        <item x="694"/>
        <item x="968"/>
        <item x="1036"/>
        <item x="937"/>
        <item x="763"/>
        <item x="239"/>
        <item x="521"/>
        <item x="603"/>
        <item x="110"/>
        <item x="81"/>
        <item x="538"/>
        <item x="245"/>
        <item x="455"/>
        <item x="8"/>
        <item x="547"/>
        <item x="639"/>
        <item x="715"/>
        <item x="415"/>
        <item x="713"/>
        <item x="1220"/>
        <item x="414"/>
        <item x="572"/>
        <item x="82"/>
        <item x="422"/>
        <item x="836"/>
        <item x="756"/>
        <item x="24"/>
        <item x="109"/>
        <item x="912"/>
        <item x="1123"/>
        <item x="292"/>
        <item x="1080"/>
        <item x="859"/>
        <item x="1091"/>
        <item x="811"/>
        <item x="951"/>
        <item x="1224"/>
        <item x="940"/>
        <item x="18"/>
        <item x="742"/>
        <item x="1084"/>
        <item x="382"/>
        <item x="617"/>
        <item x="143"/>
        <item x="201"/>
        <item x="923"/>
        <item x="269"/>
        <item x="385"/>
        <item x="570"/>
        <item x="404"/>
        <item x="39"/>
        <item x="226"/>
        <item x="847"/>
        <item x="138"/>
        <item x="1071"/>
        <item x="13"/>
        <item x="1228"/>
        <item x="1033"/>
        <item x="241"/>
        <item x="381"/>
        <item x="1240"/>
        <item x="181"/>
        <item x="574"/>
        <item x="494"/>
        <item x="25"/>
        <item x="1183"/>
        <item x="161"/>
        <item x="947"/>
        <item x="286"/>
        <item x="581"/>
        <item x="205"/>
        <item x="410"/>
        <item x="418"/>
        <item x="804"/>
        <item x="631"/>
        <item x="99"/>
        <item x="1082"/>
        <item x="117"/>
        <item x="188"/>
        <item x="989"/>
        <item x="360"/>
        <item x="197"/>
        <item x="930"/>
        <item x="413"/>
        <item x="1032"/>
        <item x="12"/>
        <item x="467"/>
        <item x="453"/>
        <item x="831"/>
        <item x="1169"/>
        <item x="699"/>
        <item x="866"/>
        <item x="789"/>
        <item x="471"/>
        <item x="433"/>
        <item x="1042"/>
        <item x="377"/>
        <item x="448"/>
        <item x="30"/>
        <item x="864"/>
        <item x="450"/>
        <item x="452"/>
        <item x="474"/>
        <item x="1122"/>
        <item x="959"/>
        <item x="1231"/>
        <item x="774"/>
        <item x="426"/>
        <item x="169"/>
        <item x="560"/>
        <item x="127"/>
        <item x="252"/>
        <item x="168"/>
        <item x="1153"/>
        <item x="680"/>
        <item x="285"/>
        <item x="121"/>
        <item x="1135"/>
        <item x="487"/>
        <item x="277"/>
        <item x="100"/>
        <item x="308"/>
        <item x="104"/>
        <item x="682"/>
        <item x="133"/>
        <item x="481"/>
        <item x="1028"/>
        <item x="1015"/>
        <item x="870"/>
        <item x="158"/>
        <item x="396"/>
        <item x="890"/>
        <item x="608"/>
        <item x="1087"/>
        <item x="865"/>
        <item x="931"/>
        <item x="757"/>
        <item x="261"/>
        <item x="701"/>
        <item x="665"/>
        <item x="22"/>
        <item x="134"/>
        <item x="898"/>
        <item x="548"/>
        <item x="159"/>
        <item x="550"/>
        <item x="1242"/>
        <item x="659"/>
        <item x="60"/>
        <item x="244"/>
        <item x="326"/>
        <item x="238"/>
        <item x="417"/>
        <item x="1064"/>
        <item x="788"/>
        <item x="681"/>
        <item x="1105"/>
        <item x="141"/>
        <item x="151"/>
        <item x="842"/>
        <item x="913"/>
        <item x="352"/>
        <item x="753"/>
        <item x="882"/>
        <item x="541"/>
        <item x="793"/>
        <item x="770"/>
        <item x="596"/>
        <item x="207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6" baseField="0" baseItem="0" numFmtId="1"/>
  </dataFields>
  <chartFormats count="4"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9AE7C-D0EF-45D3-B288-6455EBA6E97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H3:I6" firstHeaderRow="1" firstDataRow="1" firstDataCol="1"/>
  <pivotFields count="13">
    <pivotField showAll="0"/>
    <pivotField numFmtId="14" showAll="0"/>
    <pivotField showAll="0"/>
    <pivotField showAll="0"/>
    <pivotField showAll="0">
      <items count="5">
        <item x="2"/>
        <item x="0"/>
        <item x="1"/>
        <item f="1" x="3"/>
        <item t="default"/>
      </items>
    </pivotField>
    <pivotField dataField="1" numFmtId="4" showAll="0"/>
    <pivotField numFmtId="1" showAll="0"/>
    <pivotField showAll="0">
      <items count="4">
        <item x="1"/>
        <item x="2"/>
        <item x="0"/>
        <item t="default"/>
      </items>
    </pivotField>
    <pivotField showAll="0">
      <items count="25">
        <item x="3"/>
        <item x="20"/>
        <item x="18"/>
        <item x="7"/>
        <item x="21"/>
        <item x="12"/>
        <item x="13"/>
        <item x="2"/>
        <item x="14"/>
        <item x="1"/>
        <item x="11"/>
        <item x="6"/>
        <item x="23"/>
        <item x="16"/>
        <item x="10"/>
        <item x="5"/>
        <item x="15"/>
        <item x="19"/>
        <item x="9"/>
        <item x="0"/>
        <item x="22"/>
        <item x="17"/>
        <item x="4"/>
        <item x="8"/>
        <item t="default"/>
      </items>
    </pivotField>
    <pivotField numFmtId="4" showAll="0">
      <items count="1252">
        <item x="0"/>
        <item x="1025"/>
        <item x="602"/>
        <item x="489"/>
        <item x="894"/>
        <item x="3"/>
        <item x="642"/>
        <item x="981"/>
        <item x="470"/>
        <item x="917"/>
        <item x="1041"/>
        <item x="1147"/>
        <item x="86"/>
        <item x="299"/>
        <item x="1094"/>
        <item x="186"/>
        <item x="776"/>
        <item x="892"/>
        <item x="1067"/>
        <item x="624"/>
        <item x="564"/>
        <item x="14"/>
        <item x="697"/>
        <item x="1081"/>
        <item x="1106"/>
        <item x="1177"/>
        <item x="821"/>
        <item x="1061"/>
        <item x="380"/>
        <item x="116"/>
        <item x="982"/>
        <item x="212"/>
        <item x="1226"/>
        <item x="139"/>
        <item x="1104"/>
        <item x="1027"/>
        <item x="1017"/>
        <item x="583"/>
        <item x="806"/>
        <item x="28"/>
        <item x="462"/>
        <item x="461"/>
        <item x="294"/>
        <item x="903"/>
        <item x="658"/>
        <item x="115"/>
        <item x="263"/>
        <item x="985"/>
        <item x="62"/>
        <item x="979"/>
        <item x="346"/>
        <item x="1072"/>
        <item x="79"/>
        <item x="27"/>
        <item x="991"/>
        <item x="562"/>
        <item x="990"/>
        <item x="1204"/>
        <item x="1189"/>
        <item x="875"/>
        <item x="555"/>
        <item x="714"/>
        <item x="136"/>
        <item x="1002"/>
        <item x="783"/>
        <item x="1201"/>
        <item x="323"/>
        <item x="233"/>
        <item x="750"/>
        <item x="1219"/>
        <item x="703"/>
        <item x="754"/>
        <item x="610"/>
        <item x="312"/>
        <item x="663"/>
        <item x="915"/>
        <item x="113"/>
        <item x="118"/>
        <item x="69"/>
        <item x="910"/>
        <item x="342"/>
        <item x="311"/>
        <item x="1026"/>
        <item x="335"/>
        <item x="1069"/>
        <item x="2"/>
        <item x="347"/>
        <item x="760"/>
        <item x="486"/>
        <item x="656"/>
        <item x="1000"/>
        <item x="598"/>
        <item x="178"/>
        <item x="561"/>
        <item x="479"/>
        <item x="366"/>
        <item x="708"/>
        <item x="1052"/>
        <item x="61"/>
        <item x="632"/>
        <item x="963"/>
        <item x="324"/>
        <item x="137"/>
        <item x="51"/>
        <item x="1047"/>
        <item x="802"/>
        <item x="440"/>
        <item x="442"/>
        <item x="456"/>
        <item x="496"/>
        <item x="1200"/>
        <item x="1014"/>
        <item x="376"/>
        <item x="588"/>
        <item x="852"/>
        <item x="1013"/>
        <item x="194"/>
        <item x="667"/>
        <item x="721"/>
        <item x="867"/>
        <item x="336"/>
        <item x="1085"/>
        <item x="1012"/>
        <item x="180"/>
        <item x="322"/>
        <item x="163"/>
        <item x="818"/>
        <item x="669"/>
        <item x="276"/>
        <item x="364"/>
        <item x="690"/>
        <item x="434"/>
        <item x="370"/>
        <item x="363"/>
        <item x="838"/>
        <item x="65"/>
        <item x="1119"/>
        <item x="816"/>
        <item x="259"/>
        <item x="214"/>
        <item x="986"/>
        <item x="1034"/>
        <item x="64"/>
        <item x="824"/>
        <item x="230"/>
        <item x="497"/>
        <item x="209"/>
        <item x="1125"/>
        <item x="1088"/>
        <item x="293"/>
        <item x="960"/>
        <item x="862"/>
        <item x="320"/>
        <item x="586"/>
        <item x="728"/>
        <item x="508"/>
        <item x="247"/>
        <item x="231"/>
        <item x="1092"/>
        <item x="66"/>
        <item x="429"/>
        <item x="1143"/>
        <item x="566"/>
        <item x="886"/>
        <item x="1111"/>
        <item x="955"/>
        <item x="828"/>
        <item x="119"/>
        <item x="107"/>
        <item x="403"/>
        <item x="611"/>
        <item x="1049"/>
        <item x="532"/>
        <item x="943"/>
        <item x="761"/>
        <item x="1151"/>
        <item x="758"/>
        <item x="57"/>
        <item x="318"/>
        <item x="730"/>
        <item x="856"/>
        <item x="1063"/>
        <item x="956"/>
        <item x="848"/>
        <item x="92"/>
        <item x="905"/>
        <item x="501"/>
        <item x="911"/>
        <item x="216"/>
        <item x="1247"/>
        <item x="1129"/>
        <item x="1117"/>
        <item x="609"/>
        <item x="362"/>
        <item x="1016"/>
        <item x="193"/>
        <item x="807"/>
        <item x="270"/>
        <item x="615"/>
        <item x="709"/>
        <item x="670"/>
        <item x="1075"/>
        <item x="1148"/>
        <item x="73"/>
        <item x="423"/>
        <item x="635"/>
        <item x="1180"/>
        <item x="149"/>
        <item x="174"/>
        <item x="851"/>
        <item x="515"/>
        <item x="1054"/>
        <item x="1237"/>
        <item x="438"/>
        <item x="511"/>
        <item x="1232"/>
        <item x="839"/>
        <item x="387"/>
        <item x="654"/>
        <item x="897"/>
        <item x="1230"/>
        <item x="457"/>
        <item x="128"/>
        <item x="695"/>
        <item x="102"/>
        <item x="813"/>
        <item x="1175"/>
        <item x="447"/>
        <item x="941"/>
        <item x="832"/>
        <item x="1171"/>
        <item x="1134"/>
        <item x="896"/>
        <item x="234"/>
        <item x="822"/>
        <item x="265"/>
        <item x="1206"/>
        <item x="267"/>
        <item x="220"/>
        <item x="796"/>
        <item x="677"/>
        <item x="768"/>
        <item x="7"/>
        <item x="797"/>
        <item x="932"/>
        <item x="679"/>
        <item x="1102"/>
        <item x="568"/>
        <item x="798"/>
        <item x="952"/>
        <item x="1039"/>
        <item x="958"/>
        <item x="1055"/>
        <item x="368"/>
        <item x="371"/>
        <item x="1196"/>
        <item x="411"/>
        <item x="52"/>
        <item x="689"/>
        <item x="393"/>
        <item x="597"/>
        <item x="573"/>
        <item x="1191"/>
        <item x="1170"/>
        <item x="558"/>
        <item x="416"/>
        <item x="59"/>
        <item x="863"/>
        <item x="349"/>
        <item x="1113"/>
        <item x="353"/>
        <item x="282"/>
        <item x="348"/>
        <item x="606"/>
        <item x="54"/>
        <item x="190"/>
        <item x="47"/>
        <item x="766"/>
        <item x="732"/>
        <item x="800"/>
        <item x="880"/>
        <item x="899"/>
        <item x="1188"/>
        <item x="946"/>
        <item x="488"/>
        <item x="1185"/>
        <item x="229"/>
        <item x="1202"/>
        <item x="771"/>
        <item x="17"/>
        <item x="518"/>
        <item x="853"/>
        <item x="392"/>
        <item x="4"/>
        <item x="306"/>
        <item x="122"/>
        <item x="391"/>
        <item x="1182"/>
        <item x="108"/>
        <item x="72"/>
        <item x="983"/>
        <item x="46"/>
        <item x="409"/>
        <item x="619"/>
        <item x="751"/>
        <item x="258"/>
        <item x="1165"/>
        <item x="1218"/>
        <item x="1209"/>
        <item x="506"/>
        <item x="329"/>
        <item x="183"/>
        <item x="1068"/>
        <item x="1214"/>
        <item x="310"/>
        <item x="469"/>
        <item x="1010"/>
        <item x="827"/>
        <item x="790"/>
        <item x="379"/>
        <item x="995"/>
        <item x="1142"/>
        <item x="83"/>
        <item x="909"/>
        <item x="333"/>
        <item x="868"/>
        <item x="687"/>
        <item x="621"/>
        <item x="101"/>
        <item x="1050"/>
        <item x="700"/>
        <item x="195"/>
        <item x="1030"/>
        <item x="993"/>
        <item x="78"/>
        <item x="111"/>
        <item x="331"/>
        <item x="384"/>
        <item x="895"/>
        <item x="505"/>
        <item x="601"/>
        <item x="222"/>
        <item x="599"/>
        <item x="33"/>
        <item x="307"/>
        <item x="147"/>
        <item x="337"/>
        <item x="275"/>
        <item x="235"/>
        <item x="845"/>
        <item x="1101"/>
        <item x="75"/>
        <item x="537"/>
        <item x="262"/>
        <item x="179"/>
        <item x="68"/>
        <item x="264"/>
        <item x="1090"/>
        <item x="16"/>
        <item x="26"/>
        <item x="858"/>
        <item x="1131"/>
        <item x="666"/>
        <item x="914"/>
        <item x="303"/>
        <item x="397"/>
        <item x="653"/>
        <item x="755"/>
        <item x="485"/>
        <item x="769"/>
        <item x="556"/>
        <item x="685"/>
        <item x="375"/>
        <item x="1040"/>
        <item x="1159"/>
        <item x="726"/>
        <item x="240"/>
        <item x="6"/>
        <item x="516"/>
        <item x="668"/>
        <item x="284"/>
        <item x="1019"/>
        <item x="142"/>
        <item x="1107"/>
        <item x="1045"/>
        <item x="1023"/>
        <item x="9"/>
        <item x="612"/>
        <item x="227"/>
        <item x="91"/>
        <item x="77"/>
        <item x="552"/>
        <item x="499"/>
        <item x="539"/>
        <item x="948"/>
        <item x="716"/>
        <item x="154"/>
        <item x="228"/>
        <item x="855"/>
        <item x="97"/>
        <item x="794"/>
        <item x="1044"/>
        <item x="830"/>
        <item x="545"/>
        <item x="544"/>
        <item x="795"/>
        <item x="803"/>
        <item x="513"/>
        <item x="953"/>
        <item x="1035"/>
        <item x="887"/>
        <item x="200"/>
        <item x="1130"/>
        <item x="833"/>
        <item x="841"/>
        <item x="112"/>
        <item x="15"/>
        <item x="431"/>
        <item x="676"/>
        <item x="625"/>
        <item x="1031"/>
        <item x="150"/>
        <item x="877"/>
        <item x="1217"/>
        <item x="554"/>
        <item x="978"/>
        <item x="1120"/>
        <item x="1156"/>
        <item x="579"/>
        <item x="747"/>
        <item x="217"/>
        <item x="466"/>
        <item x="63"/>
        <item x="465"/>
        <item x="1190"/>
        <item x="645"/>
        <item x="1109"/>
        <item x="257"/>
        <item x="1146"/>
        <item x="871"/>
        <item x="1167"/>
        <item x="696"/>
        <item x="1241"/>
        <item x="1203"/>
        <item x="126"/>
        <item x="540"/>
        <item x="421"/>
        <item x="1121"/>
        <item x="999"/>
        <item x="359"/>
        <item x="221"/>
        <item x="48"/>
        <item x="711"/>
        <item x="720"/>
        <item x="1114"/>
        <item x="584"/>
        <item x="727"/>
        <item x="1005"/>
        <item x="674"/>
        <item x="957"/>
        <item x="1225"/>
        <item x="398"/>
        <item x="449"/>
        <item x="232"/>
        <item x="723"/>
        <item x="334"/>
        <item x="343"/>
        <item x="355"/>
        <item x="350"/>
        <item x="580"/>
        <item x="260"/>
        <item x="56"/>
        <item x="926"/>
        <item x="250"/>
        <item x="702"/>
        <item x="967"/>
        <item x="762"/>
        <item x="44"/>
        <item x="884"/>
        <item x="475"/>
        <item x="630"/>
        <item x="551"/>
        <item x="778"/>
        <item x="764"/>
        <item x="224"/>
        <item x="344"/>
        <item x="759"/>
        <item x="950"/>
        <item x="395"/>
        <item x="825"/>
        <item x="11"/>
        <item x="902"/>
        <item x="1215"/>
        <item x="772"/>
        <item x="500"/>
        <item x="191"/>
        <item x="146"/>
        <item x="938"/>
        <item x="1132"/>
        <item x="1070"/>
        <item x="734"/>
        <item x="243"/>
        <item x="649"/>
        <item x="969"/>
        <item x="817"/>
        <item x="520"/>
        <item x="1239"/>
        <item x="782"/>
        <item x="1222"/>
        <item x="296"/>
        <item x="1221"/>
        <item x="585"/>
        <item x="425"/>
        <item x="372"/>
        <item x="1152"/>
        <item x="254"/>
        <item x="1093"/>
        <item x="105"/>
        <item x="175"/>
        <item x="519"/>
        <item x="96"/>
        <item x="361"/>
        <item x="124"/>
        <item x="939"/>
        <item x="98"/>
        <item x="165"/>
        <item x="454"/>
        <item x="650"/>
        <item x="437"/>
        <item x="628"/>
        <item x="662"/>
        <item x="706"/>
        <item x="675"/>
        <item x="31"/>
        <item x="315"/>
        <item x="432"/>
        <item x="889"/>
        <item x="166"/>
        <item x="1213"/>
        <item x="463"/>
        <item x="1"/>
        <item x="594"/>
        <item x="58"/>
        <item x="748"/>
        <item x="1100"/>
        <item x="37"/>
        <item x="281"/>
        <item x="301"/>
        <item x="1128"/>
        <item x="604"/>
        <item x="459"/>
        <item x="976"/>
        <item x="954"/>
        <item x="964"/>
        <item x="660"/>
        <item x="291"/>
        <item x="655"/>
        <item x="919"/>
        <item x="354"/>
        <item x="971"/>
        <item x="298"/>
        <item x="156"/>
        <item x="605"/>
        <item x="733"/>
        <item x="577"/>
        <item x="369"/>
        <item x="683"/>
        <item x="215"/>
        <item x="553"/>
        <item x="145"/>
        <item x="644"/>
        <item x="390"/>
        <item x="1154"/>
        <item x="357"/>
        <item x="341"/>
        <item x="575"/>
        <item x="211"/>
        <item x="651"/>
        <item x="527"/>
        <item x="528"/>
        <item x="1174"/>
        <item x="358"/>
        <item x="854"/>
        <item x="1051"/>
        <item x="805"/>
        <item x="164"/>
        <item x="600"/>
        <item x="278"/>
        <item x="131"/>
        <item x="1138"/>
        <item x="439"/>
        <item x="965"/>
        <item x="843"/>
        <item x="407"/>
        <item x="55"/>
        <item x="85"/>
        <item x="399"/>
        <item x="223"/>
        <item x="684"/>
        <item x="643"/>
        <item x="1176"/>
        <item x="483"/>
        <item x="1181"/>
        <item x="529"/>
        <item x="1126"/>
        <item x="1009"/>
        <item x="741"/>
        <item x="330"/>
        <item x="874"/>
        <item x="89"/>
        <item x="1198"/>
        <item x="1208"/>
        <item x="739"/>
        <item x="997"/>
        <item x="724"/>
        <item x="840"/>
        <item x="814"/>
        <item x="1029"/>
        <item x="1186"/>
        <item x="1062"/>
        <item x="517"/>
        <item x="512"/>
        <item x="383"/>
        <item x="321"/>
        <item x="1194"/>
        <item x="850"/>
        <item x="319"/>
        <item x="1007"/>
        <item x="661"/>
        <item x="777"/>
        <item x="879"/>
        <item x="972"/>
        <item x="302"/>
        <item x="542"/>
        <item x="744"/>
        <item x="524"/>
        <item x="1095"/>
        <item x="918"/>
        <item x="820"/>
        <item x="652"/>
        <item x="876"/>
        <item x="535"/>
        <item x="1059"/>
        <item x="640"/>
        <item x="686"/>
        <item x="809"/>
        <item x="464"/>
        <item x="846"/>
        <item x="722"/>
        <item x="182"/>
        <item x="290"/>
        <item x="295"/>
        <item x="305"/>
        <item x="719"/>
        <item x="729"/>
        <item x="1168"/>
        <item x="1057"/>
        <item x="173"/>
        <item x="29"/>
        <item x="578"/>
        <item x="185"/>
        <item x="893"/>
        <item x="365"/>
        <item x="1145"/>
        <item x="752"/>
        <item x="1157"/>
        <item x="34"/>
        <item x="249"/>
        <item x="144"/>
        <item x="189"/>
        <item x="901"/>
        <item x="637"/>
        <item x="582"/>
        <item x="339"/>
        <item x="607"/>
        <item x="973"/>
        <item x="490"/>
        <item x="316"/>
        <item x="401"/>
        <item x="1056"/>
        <item x="266"/>
        <item x="80"/>
        <item x="356"/>
        <item x="717"/>
        <item x="576"/>
        <item x="279"/>
        <item x="49"/>
        <item x="1037"/>
        <item x="405"/>
        <item x="737"/>
        <item x="614"/>
        <item x="196"/>
        <item x="428"/>
        <item x="129"/>
        <item x="888"/>
        <item x="120"/>
        <item x="904"/>
        <item x="634"/>
        <item x="812"/>
        <item x="430"/>
        <item x="446"/>
        <item x="482"/>
        <item x="468"/>
        <item x="50"/>
        <item x="613"/>
        <item x="1097"/>
        <item x="338"/>
        <item x="458"/>
        <item x="949"/>
        <item x="536"/>
        <item x="70"/>
        <item x="114"/>
        <item x="451"/>
        <item x="936"/>
        <item x="502"/>
        <item x="590"/>
        <item x="1115"/>
        <item x="945"/>
        <item x="5"/>
        <item x="620"/>
        <item x="1021"/>
        <item x="140"/>
        <item x="484"/>
        <item x="1248"/>
        <item x="202"/>
        <item x="1212"/>
        <item x="792"/>
        <item x="878"/>
        <item x="962"/>
        <item x="1155"/>
        <item x="944"/>
        <item x="408"/>
        <item x="1211"/>
        <item x="942"/>
        <item x="1233"/>
        <item x="268"/>
        <item x="160"/>
        <item x="823"/>
        <item x="543"/>
        <item x="974"/>
        <item x="1166"/>
        <item x="1020"/>
        <item x="707"/>
        <item x="1195"/>
        <item x="289"/>
        <item x="704"/>
        <item x="36"/>
        <item x="317"/>
        <item x="1223"/>
        <item x="970"/>
        <item x="53"/>
        <item x="1110"/>
        <item x="93"/>
        <item x="638"/>
        <item x="1139"/>
        <item x="87"/>
        <item x="443"/>
        <item x="67"/>
        <item x="1234"/>
        <item x="921"/>
        <item x="192"/>
        <item x="998"/>
        <item x="691"/>
        <item x="1144"/>
        <item x="1140"/>
        <item x="647"/>
        <item x="1011"/>
        <item x="477"/>
        <item x="1079"/>
        <item x="1149"/>
        <item x="204"/>
        <item x="23"/>
        <item x="587"/>
        <item x="1133"/>
        <item x="389"/>
        <item x="412"/>
        <item x="779"/>
        <item x="1178"/>
        <item x="314"/>
        <item x="472"/>
        <item x="132"/>
        <item x="636"/>
        <item x="328"/>
        <item x="1098"/>
        <item x="1243"/>
        <item x="198"/>
        <item x="908"/>
        <item x="480"/>
        <item x="1236"/>
        <item x="857"/>
        <item x="927"/>
        <item x="1003"/>
        <item x="1179"/>
        <item x="445"/>
        <item x="869"/>
        <item x="106"/>
        <item x="32"/>
        <item x="1066"/>
        <item x="507"/>
        <item x="765"/>
        <item x="872"/>
        <item x="35"/>
        <item x="835"/>
        <item x="20"/>
        <item x="623"/>
        <item x="994"/>
        <item x="1073"/>
        <item x="1235"/>
        <item x="388"/>
        <item x="374"/>
        <item x="492"/>
        <item x="1210"/>
        <item x="678"/>
        <item x="1116"/>
        <item x="1053"/>
        <item x="419"/>
        <item x="1250"/>
        <item x="367"/>
        <item x="1096"/>
        <item x="933"/>
        <item x="76"/>
        <item x="837"/>
        <item x="103"/>
        <item x="1162"/>
        <item x="444"/>
        <item x="427"/>
        <item x="402"/>
        <item x="929"/>
        <item x="743"/>
        <item x="648"/>
        <item x="155"/>
        <item x="280"/>
        <item x="819"/>
        <item x="478"/>
        <item x="567"/>
        <item x="1076"/>
        <item x="460"/>
        <item x="1089"/>
        <item x="593"/>
        <item x="1216"/>
        <item x="187"/>
        <item x="565"/>
        <item x="38"/>
        <item x="1245"/>
        <item x="1065"/>
        <item x="167"/>
        <item x="503"/>
        <item x="255"/>
        <item x="476"/>
        <item x="225"/>
        <item x="373"/>
        <item x="274"/>
        <item x="900"/>
        <item x="673"/>
        <item x="1112"/>
        <item x="10"/>
        <item x="780"/>
        <item x="664"/>
        <item x="170"/>
        <item x="922"/>
        <item x="1141"/>
        <item x="199"/>
        <item x="1018"/>
        <item x="1099"/>
        <item x="924"/>
        <item x="253"/>
        <item x="1150"/>
        <item x="725"/>
        <item x="378"/>
        <item x="84"/>
        <item x="735"/>
        <item x="95"/>
        <item x="1229"/>
        <item x="495"/>
        <item x="571"/>
        <item x="522"/>
        <item x="698"/>
        <item x="693"/>
        <item x="671"/>
        <item x="1227"/>
        <item x="885"/>
        <item x="791"/>
        <item x="157"/>
        <item x="996"/>
        <item x="925"/>
        <item x="873"/>
        <item x="1184"/>
        <item x="473"/>
        <item x="767"/>
        <item x="313"/>
        <item x="1108"/>
        <item x="236"/>
        <item x="988"/>
        <item x="595"/>
        <item x="297"/>
        <item x="525"/>
        <item x="672"/>
        <item x="1137"/>
        <item x="1164"/>
        <item x="1192"/>
        <item x="861"/>
        <item x="934"/>
        <item x="1244"/>
        <item x="287"/>
        <item x="248"/>
        <item x="688"/>
        <item x="1074"/>
        <item x="569"/>
        <item x="237"/>
        <item x="272"/>
        <item x="849"/>
        <item x="1103"/>
        <item x="1238"/>
        <item x="1046"/>
        <item x="1127"/>
        <item x="975"/>
        <item x="1249"/>
        <item x="273"/>
        <item x="916"/>
        <item x="533"/>
        <item x="509"/>
        <item x="45"/>
        <item x="731"/>
        <item x="256"/>
        <item x="300"/>
        <item x="123"/>
        <item x="125"/>
        <item x="738"/>
        <item x="626"/>
        <item x="153"/>
        <item x="1187"/>
        <item x="177"/>
        <item x="826"/>
        <item x="736"/>
        <item x="1197"/>
        <item x="90"/>
        <item x="493"/>
        <item x="829"/>
        <item x="325"/>
        <item x="860"/>
        <item x="589"/>
        <item x="557"/>
        <item x="523"/>
        <item x="1022"/>
        <item x="1158"/>
        <item x="40"/>
        <item x="43"/>
        <item x="629"/>
        <item x="785"/>
        <item x="781"/>
        <item x="906"/>
        <item x="327"/>
        <item x="71"/>
        <item x="622"/>
        <item x="745"/>
        <item x="546"/>
        <item x="309"/>
        <item x="657"/>
        <item x="784"/>
        <item x="208"/>
        <item x="1160"/>
        <item x="992"/>
        <item x="206"/>
        <item x="534"/>
        <item x="1124"/>
        <item x="810"/>
        <item x="844"/>
        <item x="530"/>
        <item x="718"/>
        <item x="1024"/>
        <item x="641"/>
        <item x="19"/>
        <item x="801"/>
        <item x="135"/>
        <item x="1006"/>
        <item x="787"/>
        <item x="1199"/>
        <item x="786"/>
        <item x="1086"/>
        <item x="21"/>
        <item x="162"/>
        <item x="504"/>
        <item x="1004"/>
        <item x="288"/>
        <item x="977"/>
        <item x="559"/>
        <item x="203"/>
        <item x="705"/>
        <item x="246"/>
        <item x="1163"/>
        <item x="592"/>
        <item x="94"/>
        <item x="883"/>
        <item x="616"/>
        <item x="1038"/>
        <item x="1205"/>
        <item x="980"/>
        <item x="172"/>
        <item x="646"/>
        <item x="152"/>
        <item x="966"/>
        <item x="436"/>
        <item x="891"/>
        <item x="351"/>
        <item x="920"/>
        <item x="130"/>
        <item x="42"/>
        <item x="210"/>
        <item x="984"/>
        <item x="213"/>
        <item x="935"/>
        <item x="88"/>
        <item x="514"/>
        <item x="1136"/>
        <item x="1207"/>
        <item x="304"/>
        <item x="386"/>
        <item x="808"/>
        <item x="332"/>
        <item x="1173"/>
        <item x="424"/>
        <item x="441"/>
        <item x="219"/>
        <item x="1172"/>
        <item x="510"/>
        <item x="1001"/>
        <item x="1060"/>
        <item x="799"/>
        <item x="1048"/>
        <item x="242"/>
        <item x="531"/>
        <item x="1078"/>
        <item x="340"/>
        <item x="420"/>
        <item x="712"/>
        <item x="987"/>
        <item x="815"/>
        <item x="526"/>
        <item x="1246"/>
        <item x="400"/>
        <item x="710"/>
        <item x="1077"/>
        <item x="148"/>
        <item x="41"/>
        <item x="1193"/>
        <item x="491"/>
        <item x="627"/>
        <item x="345"/>
        <item x="633"/>
        <item x="1118"/>
        <item x="1161"/>
        <item x="749"/>
        <item x="834"/>
        <item x="692"/>
        <item x="907"/>
        <item x="1008"/>
        <item x="740"/>
        <item x="775"/>
        <item x="171"/>
        <item x="74"/>
        <item x="1083"/>
        <item x="1043"/>
        <item x="251"/>
        <item x="283"/>
        <item x="406"/>
        <item x="746"/>
        <item x="184"/>
        <item x="549"/>
        <item x="218"/>
        <item x="176"/>
        <item x="435"/>
        <item x="394"/>
        <item x="928"/>
        <item x="1058"/>
        <item x="773"/>
        <item x="498"/>
        <item x="563"/>
        <item x="271"/>
        <item x="881"/>
        <item x="618"/>
        <item x="961"/>
        <item x="591"/>
        <item x="694"/>
        <item x="968"/>
        <item x="1036"/>
        <item x="937"/>
        <item x="763"/>
        <item x="239"/>
        <item x="521"/>
        <item x="603"/>
        <item x="110"/>
        <item x="81"/>
        <item x="538"/>
        <item x="245"/>
        <item x="455"/>
        <item x="8"/>
        <item x="547"/>
        <item x="639"/>
        <item x="715"/>
        <item x="415"/>
        <item x="713"/>
        <item x="1220"/>
        <item x="414"/>
        <item x="572"/>
        <item x="82"/>
        <item x="422"/>
        <item x="836"/>
        <item x="756"/>
        <item x="24"/>
        <item x="109"/>
        <item x="912"/>
        <item x="1123"/>
        <item x="292"/>
        <item x="1080"/>
        <item x="859"/>
        <item x="1091"/>
        <item x="811"/>
        <item x="951"/>
        <item x="1224"/>
        <item x="940"/>
        <item x="18"/>
        <item x="742"/>
        <item x="1084"/>
        <item x="382"/>
        <item x="617"/>
        <item x="143"/>
        <item x="201"/>
        <item x="923"/>
        <item x="269"/>
        <item x="385"/>
        <item x="570"/>
        <item x="404"/>
        <item x="39"/>
        <item x="226"/>
        <item x="847"/>
        <item x="138"/>
        <item x="1071"/>
        <item x="13"/>
        <item x="1228"/>
        <item x="1033"/>
        <item x="241"/>
        <item x="381"/>
        <item x="1240"/>
        <item x="181"/>
        <item x="574"/>
        <item x="494"/>
        <item x="25"/>
        <item x="1183"/>
        <item x="161"/>
        <item x="947"/>
        <item x="286"/>
        <item x="581"/>
        <item x="205"/>
        <item x="410"/>
        <item x="418"/>
        <item x="804"/>
        <item x="631"/>
        <item x="99"/>
        <item x="1082"/>
        <item x="117"/>
        <item x="188"/>
        <item x="989"/>
        <item x="360"/>
        <item x="197"/>
        <item x="930"/>
        <item x="413"/>
        <item x="1032"/>
        <item x="12"/>
        <item x="467"/>
        <item x="453"/>
        <item x="831"/>
        <item x="1169"/>
        <item x="699"/>
        <item x="866"/>
        <item x="789"/>
        <item x="471"/>
        <item x="433"/>
        <item x="1042"/>
        <item x="377"/>
        <item x="448"/>
        <item x="30"/>
        <item x="864"/>
        <item x="450"/>
        <item x="452"/>
        <item x="474"/>
        <item x="1122"/>
        <item x="959"/>
        <item x="1231"/>
        <item x="774"/>
        <item x="426"/>
        <item x="169"/>
        <item x="560"/>
        <item x="127"/>
        <item x="252"/>
        <item x="168"/>
        <item x="1153"/>
        <item x="680"/>
        <item x="285"/>
        <item x="121"/>
        <item x="1135"/>
        <item x="487"/>
        <item x="277"/>
        <item x="100"/>
        <item x="308"/>
        <item x="104"/>
        <item x="682"/>
        <item x="133"/>
        <item x="481"/>
        <item x="1028"/>
        <item x="1015"/>
        <item x="870"/>
        <item x="158"/>
        <item x="396"/>
        <item x="890"/>
        <item x="608"/>
        <item x="1087"/>
        <item x="865"/>
        <item x="931"/>
        <item x="757"/>
        <item x="261"/>
        <item x="701"/>
        <item x="665"/>
        <item x="22"/>
        <item x="134"/>
        <item x="898"/>
        <item x="548"/>
        <item x="159"/>
        <item x="550"/>
        <item x="1242"/>
        <item x="659"/>
        <item x="60"/>
        <item x="244"/>
        <item x="326"/>
        <item x="238"/>
        <item x="417"/>
        <item x="1064"/>
        <item x="788"/>
        <item x="681"/>
        <item x="1105"/>
        <item x="141"/>
        <item x="151"/>
        <item x="842"/>
        <item x="913"/>
        <item x="352"/>
        <item x="753"/>
        <item x="882"/>
        <item x="541"/>
        <item x="793"/>
        <item x="770"/>
        <item x="596"/>
        <item x="207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Revenue" fld="5" baseField="0" baseItem="0" numFmtId="4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0CDF1-59E0-4A2B-BD93-838CCC987EC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2:B15" firstHeaderRow="1" firstDataRow="1" firstDataCol="1"/>
  <pivotFields count="13">
    <pivotField showAll="0"/>
    <pivotField numFmtId="14" showAll="0"/>
    <pivotField showAll="0"/>
    <pivotField showAll="0"/>
    <pivotField showAll="0">
      <items count="5">
        <item x="2"/>
        <item x="0"/>
        <item x="1"/>
        <item f="1" x="3"/>
        <item t="default"/>
      </items>
    </pivotField>
    <pivotField dataField="1" numFmtId="4" showAll="0"/>
    <pivotField numFmtId="1" showAll="0"/>
    <pivotField showAll="0">
      <items count="4">
        <item x="1"/>
        <item x="2"/>
        <item x="0"/>
        <item t="default"/>
      </items>
    </pivotField>
    <pivotField showAll="0">
      <items count="25">
        <item x="3"/>
        <item x="20"/>
        <item x="18"/>
        <item x="7"/>
        <item x="21"/>
        <item x="12"/>
        <item x="13"/>
        <item x="2"/>
        <item x="14"/>
        <item x="1"/>
        <item x="11"/>
        <item x="6"/>
        <item x="23"/>
        <item x="16"/>
        <item x="10"/>
        <item x="5"/>
        <item x="15"/>
        <item x="19"/>
        <item x="9"/>
        <item x="0"/>
        <item x="22"/>
        <item x="17"/>
        <item x="4"/>
        <item x="8"/>
        <item t="default"/>
      </items>
    </pivotField>
    <pivotField numFmtId="4" showAll="0">
      <items count="1252">
        <item x="0"/>
        <item x="1025"/>
        <item x="602"/>
        <item x="489"/>
        <item x="894"/>
        <item x="3"/>
        <item x="642"/>
        <item x="981"/>
        <item x="470"/>
        <item x="917"/>
        <item x="1041"/>
        <item x="1147"/>
        <item x="86"/>
        <item x="299"/>
        <item x="1094"/>
        <item x="186"/>
        <item x="776"/>
        <item x="892"/>
        <item x="1067"/>
        <item x="624"/>
        <item x="564"/>
        <item x="14"/>
        <item x="697"/>
        <item x="1081"/>
        <item x="1106"/>
        <item x="1177"/>
        <item x="821"/>
        <item x="1061"/>
        <item x="380"/>
        <item x="116"/>
        <item x="982"/>
        <item x="212"/>
        <item x="1226"/>
        <item x="139"/>
        <item x="1104"/>
        <item x="1027"/>
        <item x="1017"/>
        <item x="583"/>
        <item x="806"/>
        <item x="28"/>
        <item x="462"/>
        <item x="461"/>
        <item x="294"/>
        <item x="903"/>
        <item x="658"/>
        <item x="115"/>
        <item x="263"/>
        <item x="985"/>
        <item x="62"/>
        <item x="979"/>
        <item x="346"/>
        <item x="1072"/>
        <item x="79"/>
        <item x="27"/>
        <item x="991"/>
        <item x="562"/>
        <item x="990"/>
        <item x="1204"/>
        <item x="1189"/>
        <item x="875"/>
        <item x="555"/>
        <item x="714"/>
        <item x="136"/>
        <item x="1002"/>
        <item x="783"/>
        <item x="1201"/>
        <item x="323"/>
        <item x="233"/>
        <item x="750"/>
        <item x="1219"/>
        <item x="703"/>
        <item x="754"/>
        <item x="610"/>
        <item x="312"/>
        <item x="663"/>
        <item x="915"/>
        <item x="113"/>
        <item x="118"/>
        <item x="69"/>
        <item x="910"/>
        <item x="342"/>
        <item x="311"/>
        <item x="1026"/>
        <item x="335"/>
        <item x="1069"/>
        <item x="2"/>
        <item x="347"/>
        <item x="760"/>
        <item x="486"/>
        <item x="656"/>
        <item x="1000"/>
        <item x="598"/>
        <item x="178"/>
        <item x="561"/>
        <item x="479"/>
        <item x="366"/>
        <item x="708"/>
        <item x="1052"/>
        <item x="61"/>
        <item x="632"/>
        <item x="963"/>
        <item x="324"/>
        <item x="137"/>
        <item x="51"/>
        <item x="1047"/>
        <item x="802"/>
        <item x="440"/>
        <item x="442"/>
        <item x="456"/>
        <item x="496"/>
        <item x="1200"/>
        <item x="1014"/>
        <item x="376"/>
        <item x="588"/>
        <item x="852"/>
        <item x="1013"/>
        <item x="194"/>
        <item x="667"/>
        <item x="721"/>
        <item x="867"/>
        <item x="336"/>
        <item x="1085"/>
        <item x="1012"/>
        <item x="180"/>
        <item x="322"/>
        <item x="163"/>
        <item x="818"/>
        <item x="669"/>
        <item x="276"/>
        <item x="364"/>
        <item x="690"/>
        <item x="434"/>
        <item x="370"/>
        <item x="363"/>
        <item x="838"/>
        <item x="65"/>
        <item x="1119"/>
        <item x="816"/>
        <item x="259"/>
        <item x="214"/>
        <item x="986"/>
        <item x="1034"/>
        <item x="64"/>
        <item x="824"/>
        <item x="230"/>
        <item x="497"/>
        <item x="209"/>
        <item x="1125"/>
        <item x="1088"/>
        <item x="293"/>
        <item x="960"/>
        <item x="862"/>
        <item x="320"/>
        <item x="586"/>
        <item x="728"/>
        <item x="508"/>
        <item x="247"/>
        <item x="231"/>
        <item x="1092"/>
        <item x="66"/>
        <item x="429"/>
        <item x="1143"/>
        <item x="566"/>
        <item x="886"/>
        <item x="1111"/>
        <item x="955"/>
        <item x="828"/>
        <item x="119"/>
        <item x="107"/>
        <item x="403"/>
        <item x="611"/>
        <item x="1049"/>
        <item x="532"/>
        <item x="943"/>
        <item x="761"/>
        <item x="1151"/>
        <item x="758"/>
        <item x="57"/>
        <item x="318"/>
        <item x="730"/>
        <item x="856"/>
        <item x="1063"/>
        <item x="956"/>
        <item x="848"/>
        <item x="92"/>
        <item x="905"/>
        <item x="501"/>
        <item x="911"/>
        <item x="216"/>
        <item x="1247"/>
        <item x="1129"/>
        <item x="1117"/>
        <item x="609"/>
        <item x="362"/>
        <item x="1016"/>
        <item x="193"/>
        <item x="807"/>
        <item x="270"/>
        <item x="615"/>
        <item x="709"/>
        <item x="670"/>
        <item x="1075"/>
        <item x="1148"/>
        <item x="73"/>
        <item x="423"/>
        <item x="635"/>
        <item x="1180"/>
        <item x="149"/>
        <item x="174"/>
        <item x="851"/>
        <item x="515"/>
        <item x="1054"/>
        <item x="1237"/>
        <item x="438"/>
        <item x="511"/>
        <item x="1232"/>
        <item x="839"/>
        <item x="387"/>
        <item x="654"/>
        <item x="897"/>
        <item x="1230"/>
        <item x="457"/>
        <item x="128"/>
        <item x="695"/>
        <item x="102"/>
        <item x="813"/>
        <item x="1175"/>
        <item x="447"/>
        <item x="941"/>
        <item x="832"/>
        <item x="1171"/>
        <item x="1134"/>
        <item x="896"/>
        <item x="234"/>
        <item x="822"/>
        <item x="265"/>
        <item x="1206"/>
        <item x="267"/>
        <item x="220"/>
        <item x="796"/>
        <item x="677"/>
        <item x="768"/>
        <item x="7"/>
        <item x="797"/>
        <item x="932"/>
        <item x="679"/>
        <item x="1102"/>
        <item x="568"/>
        <item x="798"/>
        <item x="952"/>
        <item x="1039"/>
        <item x="958"/>
        <item x="1055"/>
        <item x="368"/>
        <item x="371"/>
        <item x="1196"/>
        <item x="411"/>
        <item x="52"/>
        <item x="689"/>
        <item x="393"/>
        <item x="597"/>
        <item x="573"/>
        <item x="1191"/>
        <item x="1170"/>
        <item x="558"/>
        <item x="416"/>
        <item x="59"/>
        <item x="863"/>
        <item x="349"/>
        <item x="1113"/>
        <item x="353"/>
        <item x="282"/>
        <item x="348"/>
        <item x="606"/>
        <item x="54"/>
        <item x="190"/>
        <item x="47"/>
        <item x="766"/>
        <item x="732"/>
        <item x="800"/>
        <item x="880"/>
        <item x="899"/>
        <item x="1188"/>
        <item x="946"/>
        <item x="488"/>
        <item x="1185"/>
        <item x="229"/>
        <item x="1202"/>
        <item x="771"/>
        <item x="17"/>
        <item x="518"/>
        <item x="853"/>
        <item x="392"/>
        <item x="4"/>
        <item x="306"/>
        <item x="122"/>
        <item x="391"/>
        <item x="1182"/>
        <item x="108"/>
        <item x="72"/>
        <item x="983"/>
        <item x="46"/>
        <item x="409"/>
        <item x="619"/>
        <item x="751"/>
        <item x="258"/>
        <item x="1165"/>
        <item x="1218"/>
        <item x="1209"/>
        <item x="506"/>
        <item x="329"/>
        <item x="183"/>
        <item x="1068"/>
        <item x="1214"/>
        <item x="310"/>
        <item x="469"/>
        <item x="1010"/>
        <item x="827"/>
        <item x="790"/>
        <item x="379"/>
        <item x="995"/>
        <item x="1142"/>
        <item x="83"/>
        <item x="909"/>
        <item x="333"/>
        <item x="868"/>
        <item x="687"/>
        <item x="621"/>
        <item x="101"/>
        <item x="1050"/>
        <item x="700"/>
        <item x="195"/>
        <item x="1030"/>
        <item x="993"/>
        <item x="78"/>
        <item x="111"/>
        <item x="331"/>
        <item x="384"/>
        <item x="895"/>
        <item x="505"/>
        <item x="601"/>
        <item x="222"/>
        <item x="599"/>
        <item x="33"/>
        <item x="307"/>
        <item x="147"/>
        <item x="337"/>
        <item x="275"/>
        <item x="235"/>
        <item x="845"/>
        <item x="1101"/>
        <item x="75"/>
        <item x="537"/>
        <item x="262"/>
        <item x="179"/>
        <item x="68"/>
        <item x="264"/>
        <item x="1090"/>
        <item x="16"/>
        <item x="26"/>
        <item x="858"/>
        <item x="1131"/>
        <item x="666"/>
        <item x="914"/>
        <item x="303"/>
        <item x="397"/>
        <item x="653"/>
        <item x="755"/>
        <item x="485"/>
        <item x="769"/>
        <item x="556"/>
        <item x="685"/>
        <item x="375"/>
        <item x="1040"/>
        <item x="1159"/>
        <item x="726"/>
        <item x="240"/>
        <item x="6"/>
        <item x="516"/>
        <item x="668"/>
        <item x="284"/>
        <item x="1019"/>
        <item x="142"/>
        <item x="1107"/>
        <item x="1045"/>
        <item x="1023"/>
        <item x="9"/>
        <item x="612"/>
        <item x="227"/>
        <item x="91"/>
        <item x="77"/>
        <item x="552"/>
        <item x="499"/>
        <item x="539"/>
        <item x="948"/>
        <item x="716"/>
        <item x="154"/>
        <item x="228"/>
        <item x="855"/>
        <item x="97"/>
        <item x="794"/>
        <item x="1044"/>
        <item x="830"/>
        <item x="545"/>
        <item x="544"/>
        <item x="795"/>
        <item x="803"/>
        <item x="513"/>
        <item x="953"/>
        <item x="1035"/>
        <item x="887"/>
        <item x="200"/>
        <item x="1130"/>
        <item x="833"/>
        <item x="841"/>
        <item x="112"/>
        <item x="15"/>
        <item x="431"/>
        <item x="676"/>
        <item x="625"/>
        <item x="1031"/>
        <item x="150"/>
        <item x="877"/>
        <item x="1217"/>
        <item x="554"/>
        <item x="978"/>
        <item x="1120"/>
        <item x="1156"/>
        <item x="579"/>
        <item x="747"/>
        <item x="217"/>
        <item x="466"/>
        <item x="63"/>
        <item x="465"/>
        <item x="1190"/>
        <item x="645"/>
        <item x="1109"/>
        <item x="257"/>
        <item x="1146"/>
        <item x="871"/>
        <item x="1167"/>
        <item x="696"/>
        <item x="1241"/>
        <item x="1203"/>
        <item x="126"/>
        <item x="540"/>
        <item x="421"/>
        <item x="1121"/>
        <item x="999"/>
        <item x="359"/>
        <item x="221"/>
        <item x="48"/>
        <item x="711"/>
        <item x="720"/>
        <item x="1114"/>
        <item x="584"/>
        <item x="727"/>
        <item x="1005"/>
        <item x="674"/>
        <item x="957"/>
        <item x="1225"/>
        <item x="398"/>
        <item x="449"/>
        <item x="232"/>
        <item x="723"/>
        <item x="334"/>
        <item x="343"/>
        <item x="355"/>
        <item x="350"/>
        <item x="580"/>
        <item x="260"/>
        <item x="56"/>
        <item x="926"/>
        <item x="250"/>
        <item x="702"/>
        <item x="967"/>
        <item x="762"/>
        <item x="44"/>
        <item x="884"/>
        <item x="475"/>
        <item x="630"/>
        <item x="551"/>
        <item x="778"/>
        <item x="764"/>
        <item x="224"/>
        <item x="344"/>
        <item x="759"/>
        <item x="950"/>
        <item x="395"/>
        <item x="825"/>
        <item x="11"/>
        <item x="902"/>
        <item x="1215"/>
        <item x="772"/>
        <item x="500"/>
        <item x="191"/>
        <item x="146"/>
        <item x="938"/>
        <item x="1132"/>
        <item x="1070"/>
        <item x="734"/>
        <item x="243"/>
        <item x="649"/>
        <item x="969"/>
        <item x="817"/>
        <item x="520"/>
        <item x="1239"/>
        <item x="782"/>
        <item x="1222"/>
        <item x="296"/>
        <item x="1221"/>
        <item x="585"/>
        <item x="425"/>
        <item x="372"/>
        <item x="1152"/>
        <item x="254"/>
        <item x="1093"/>
        <item x="105"/>
        <item x="175"/>
        <item x="519"/>
        <item x="96"/>
        <item x="361"/>
        <item x="124"/>
        <item x="939"/>
        <item x="98"/>
        <item x="165"/>
        <item x="454"/>
        <item x="650"/>
        <item x="437"/>
        <item x="628"/>
        <item x="662"/>
        <item x="706"/>
        <item x="675"/>
        <item x="31"/>
        <item x="315"/>
        <item x="432"/>
        <item x="889"/>
        <item x="166"/>
        <item x="1213"/>
        <item x="463"/>
        <item x="1"/>
        <item x="594"/>
        <item x="58"/>
        <item x="748"/>
        <item x="1100"/>
        <item x="37"/>
        <item x="281"/>
        <item x="301"/>
        <item x="1128"/>
        <item x="604"/>
        <item x="459"/>
        <item x="976"/>
        <item x="954"/>
        <item x="964"/>
        <item x="660"/>
        <item x="291"/>
        <item x="655"/>
        <item x="919"/>
        <item x="354"/>
        <item x="971"/>
        <item x="298"/>
        <item x="156"/>
        <item x="605"/>
        <item x="733"/>
        <item x="577"/>
        <item x="369"/>
        <item x="683"/>
        <item x="215"/>
        <item x="553"/>
        <item x="145"/>
        <item x="644"/>
        <item x="390"/>
        <item x="1154"/>
        <item x="357"/>
        <item x="341"/>
        <item x="575"/>
        <item x="211"/>
        <item x="651"/>
        <item x="527"/>
        <item x="528"/>
        <item x="1174"/>
        <item x="358"/>
        <item x="854"/>
        <item x="1051"/>
        <item x="805"/>
        <item x="164"/>
        <item x="600"/>
        <item x="278"/>
        <item x="131"/>
        <item x="1138"/>
        <item x="439"/>
        <item x="965"/>
        <item x="843"/>
        <item x="407"/>
        <item x="55"/>
        <item x="85"/>
        <item x="399"/>
        <item x="223"/>
        <item x="684"/>
        <item x="643"/>
        <item x="1176"/>
        <item x="483"/>
        <item x="1181"/>
        <item x="529"/>
        <item x="1126"/>
        <item x="1009"/>
        <item x="741"/>
        <item x="330"/>
        <item x="874"/>
        <item x="89"/>
        <item x="1198"/>
        <item x="1208"/>
        <item x="739"/>
        <item x="997"/>
        <item x="724"/>
        <item x="840"/>
        <item x="814"/>
        <item x="1029"/>
        <item x="1186"/>
        <item x="1062"/>
        <item x="517"/>
        <item x="512"/>
        <item x="383"/>
        <item x="321"/>
        <item x="1194"/>
        <item x="850"/>
        <item x="319"/>
        <item x="1007"/>
        <item x="661"/>
        <item x="777"/>
        <item x="879"/>
        <item x="972"/>
        <item x="302"/>
        <item x="542"/>
        <item x="744"/>
        <item x="524"/>
        <item x="1095"/>
        <item x="918"/>
        <item x="820"/>
        <item x="652"/>
        <item x="876"/>
        <item x="535"/>
        <item x="1059"/>
        <item x="640"/>
        <item x="686"/>
        <item x="809"/>
        <item x="464"/>
        <item x="846"/>
        <item x="722"/>
        <item x="182"/>
        <item x="290"/>
        <item x="295"/>
        <item x="305"/>
        <item x="719"/>
        <item x="729"/>
        <item x="1168"/>
        <item x="1057"/>
        <item x="173"/>
        <item x="29"/>
        <item x="578"/>
        <item x="185"/>
        <item x="893"/>
        <item x="365"/>
        <item x="1145"/>
        <item x="752"/>
        <item x="1157"/>
        <item x="34"/>
        <item x="249"/>
        <item x="144"/>
        <item x="189"/>
        <item x="901"/>
        <item x="637"/>
        <item x="582"/>
        <item x="339"/>
        <item x="607"/>
        <item x="973"/>
        <item x="490"/>
        <item x="316"/>
        <item x="401"/>
        <item x="1056"/>
        <item x="266"/>
        <item x="80"/>
        <item x="356"/>
        <item x="717"/>
        <item x="576"/>
        <item x="279"/>
        <item x="49"/>
        <item x="1037"/>
        <item x="405"/>
        <item x="737"/>
        <item x="614"/>
        <item x="196"/>
        <item x="428"/>
        <item x="129"/>
        <item x="888"/>
        <item x="120"/>
        <item x="904"/>
        <item x="634"/>
        <item x="812"/>
        <item x="430"/>
        <item x="446"/>
        <item x="482"/>
        <item x="468"/>
        <item x="50"/>
        <item x="613"/>
        <item x="1097"/>
        <item x="338"/>
        <item x="458"/>
        <item x="949"/>
        <item x="536"/>
        <item x="70"/>
        <item x="114"/>
        <item x="451"/>
        <item x="936"/>
        <item x="502"/>
        <item x="590"/>
        <item x="1115"/>
        <item x="945"/>
        <item x="5"/>
        <item x="620"/>
        <item x="1021"/>
        <item x="140"/>
        <item x="484"/>
        <item x="1248"/>
        <item x="202"/>
        <item x="1212"/>
        <item x="792"/>
        <item x="878"/>
        <item x="962"/>
        <item x="1155"/>
        <item x="944"/>
        <item x="408"/>
        <item x="1211"/>
        <item x="942"/>
        <item x="1233"/>
        <item x="268"/>
        <item x="160"/>
        <item x="823"/>
        <item x="543"/>
        <item x="974"/>
        <item x="1166"/>
        <item x="1020"/>
        <item x="707"/>
        <item x="1195"/>
        <item x="289"/>
        <item x="704"/>
        <item x="36"/>
        <item x="317"/>
        <item x="1223"/>
        <item x="970"/>
        <item x="53"/>
        <item x="1110"/>
        <item x="93"/>
        <item x="638"/>
        <item x="1139"/>
        <item x="87"/>
        <item x="443"/>
        <item x="67"/>
        <item x="1234"/>
        <item x="921"/>
        <item x="192"/>
        <item x="998"/>
        <item x="691"/>
        <item x="1144"/>
        <item x="1140"/>
        <item x="647"/>
        <item x="1011"/>
        <item x="477"/>
        <item x="1079"/>
        <item x="1149"/>
        <item x="204"/>
        <item x="23"/>
        <item x="587"/>
        <item x="1133"/>
        <item x="389"/>
        <item x="412"/>
        <item x="779"/>
        <item x="1178"/>
        <item x="314"/>
        <item x="472"/>
        <item x="132"/>
        <item x="636"/>
        <item x="328"/>
        <item x="1098"/>
        <item x="1243"/>
        <item x="198"/>
        <item x="908"/>
        <item x="480"/>
        <item x="1236"/>
        <item x="857"/>
        <item x="927"/>
        <item x="1003"/>
        <item x="1179"/>
        <item x="445"/>
        <item x="869"/>
        <item x="106"/>
        <item x="32"/>
        <item x="1066"/>
        <item x="507"/>
        <item x="765"/>
        <item x="872"/>
        <item x="35"/>
        <item x="835"/>
        <item x="20"/>
        <item x="623"/>
        <item x="994"/>
        <item x="1073"/>
        <item x="1235"/>
        <item x="388"/>
        <item x="374"/>
        <item x="492"/>
        <item x="1210"/>
        <item x="678"/>
        <item x="1116"/>
        <item x="1053"/>
        <item x="419"/>
        <item x="1250"/>
        <item x="367"/>
        <item x="1096"/>
        <item x="933"/>
        <item x="76"/>
        <item x="837"/>
        <item x="103"/>
        <item x="1162"/>
        <item x="444"/>
        <item x="427"/>
        <item x="402"/>
        <item x="929"/>
        <item x="743"/>
        <item x="648"/>
        <item x="155"/>
        <item x="280"/>
        <item x="819"/>
        <item x="478"/>
        <item x="567"/>
        <item x="1076"/>
        <item x="460"/>
        <item x="1089"/>
        <item x="593"/>
        <item x="1216"/>
        <item x="187"/>
        <item x="565"/>
        <item x="38"/>
        <item x="1245"/>
        <item x="1065"/>
        <item x="167"/>
        <item x="503"/>
        <item x="255"/>
        <item x="476"/>
        <item x="225"/>
        <item x="373"/>
        <item x="274"/>
        <item x="900"/>
        <item x="673"/>
        <item x="1112"/>
        <item x="10"/>
        <item x="780"/>
        <item x="664"/>
        <item x="170"/>
        <item x="922"/>
        <item x="1141"/>
        <item x="199"/>
        <item x="1018"/>
        <item x="1099"/>
        <item x="924"/>
        <item x="253"/>
        <item x="1150"/>
        <item x="725"/>
        <item x="378"/>
        <item x="84"/>
        <item x="735"/>
        <item x="95"/>
        <item x="1229"/>
        <item x="495"/>
        <item x="571"/>
        <item x="522"/>
        <item x="698"/>
        <item x="693"/>
        <item x="671"/>
        <item x="1227"/>
        <item x="885"/>
        <item x="791"/>
        <item x="157"/>
        <item x="996"/>
        <item x="925"/>
        <item x="873"/>
        <item x="1184"/>
        <item x="473"/>
        <item x="767"/>
        <item x="313"/>
        <item x="1108"/>
        <item x="236"/>
        <item x="988"/>
        <item x="595"/>
        <item x="297"/>
        <item x="525"/>
        <item x="672"/>
        <item x="1137"/>
        <item x="1164"/>
        <item x="1192"/>
        <item x="861"/>
        <item x="934"/>
        <item x="1244"/>
        <item x="287"/>
        <item x="248"/>
        <item x="688"/>
        <item x="1074"/>
        <item x="569"/>
        <item x="237"/>
        <item x="272"/>
        <item x="849"/>
        <item x="1103"/>
        <item x="1238"/>
        <item x="1046"/>
        <item x="1127"/>
        <item x="975"/>
        <item x="1249"/>
        <item x="273"/>
        <item x="916"/>
        <item x="533"/>
        <item x="509"/>
        <item x="45"/>
        <item x="731"/>
        <item x="256"/>
        <item x="300"/>
        <item x="123"/>
        <item x="125"/>
        <item x="738"/>
        <item x="626"/>
        <item x="153"/>
        <item x="1187"/>
        <item x="177"/>
        <item x="826"/>
        <item x="736"/>
        <item x="1197"/>
        <item x="90"/>
        <item x="493"/>
        <item x="829"/>
        <item x="325"/>
        <item x="860"/>
        <item x="589"/>
        <item x="557"/>
        <item x="523"/>
        <item x="1022"/>
        <item x="1158"/>
        <item x="40"/>
        <item x="43"/>
        <item x="629"/>
        <item x="785"/>
        <item x="781"/>
        <item x="906"/>
        <item x="327"/>
        <item x="71"/>
        <item x="622"/>
        <item x="745"/>
        <item x="546"/>
        <item x="309"/>
        <item x="657"/>
        <item x="784"/>
        <item x="208"/>
        <item x="1160"/>
        <item x="992"/>
        <item x="206"/>
        <item x="534"/>
        <item x="1124"/>
        <item x="810"/>
        <item x="844"/>
        <item x="530"/>
        <item x="718"/>
        <item x="1024"/>
        <item x="641"/>
        <item x="19"/>
        <item x="801"/>
        <item x="135"/>
        <item x="1006"/>
        <item x="787"/>
        <item x="1199"/>
        <item x="786"/>
        <item x="1086"/>
        <item x="21"/>
        <item x="162"/>
        <item x="504"/>
        <item x="1004"/>
        <item x="288"/>
        <item x="977"/>
        <item x="559"/>
        <item x="203"/>
        <item x="705"/>
        <item x="246"/>
        <item x="1163"/>
        <item x="592"/>
        <item x="94"/>
        <item x="883"/>
        <item x="616"/>
        <item x="1038"/>
        <item x="1205"/>
        <item x="980"/>
        <item x="172"/>
        <item x="646"/>
        <item x="152"/>
        <item x="966"/>
        <item x="436"/>
        <item x="891"/>
        <item x="351"/>
        <item x="920"/>
        <item x="130"/>
        <item x="42"/>
        <item x="210"/>
        <item x="984"/>
        <item x="213"/>
        <item x="935"/>
        <item x="88"/>
        <item x="514"/>
        <item x="1136"/>
        <item x="1207"/>
        <item x="304"/>
        <item x="386"/>
        <item x="808"/>
        <item x="332"/>
        <item x="1173"/>
        <item x="424"/>
        <item x="441"/>
        <item x="219"/>
        <item x="1172"/>
        <item x="510"/>
        <item x="1001"/>
        <item x="1060"/>
        <item x="799"/>
        <item x="1048"/>
        <item x="242"/>
        <item x="531"/>
        <item x="1078"/>
        <item x="340"/>
        <item x="420"/>
        <item x="712"/>
        <item x="987"/>
        <item x="815"/>
        <item x="526"/>
        <item x="1246"/>
        <item x="400"/>
        <item x="710"/>
        <item x="1077"/>
        <item x="148"/>
        <item x="41"/>
        <item x="1193"/>
        <item x="491"/>
        <item x="627"/>
        <item x="345"/>
        <item x="633"/>
        <item x="1118"/>
        <item x="1161"/>
        <item x="749"/>
        <item x="834"/>
        <item x="692"/>
        <item x="907"/>
        <item x="1008"/>
        <item x="740"/>
        <item x="775"/>
        <item x="171"/>
        <item x="74"/>
        <item x="1083"/>
        <item x="1043"/>
        <item x="251"/>
        <item x="283"/>
        <item x="406"/>
        <item x="746"/>
        <item x="184"/>
        <item x="549"/>
        <item x="218"/>
        <item x="176"/>
        <item x="435"/>
        <item x="394"/>
        <item x="928"/>
        <item x="1058"/>
        <item x="773"/>
        <item x="498"/>
        <item x="563"/>
        <item x="271"/>
        <item x="881"/>
        <item x="618"/>
        <item x="961"/>
        <item x="591"/>
        <item x="694"/>
        <item x="968"/>
        <item x="1036"/>
        <item x="937"/>
        <item x="763"/>
        <item x="239"/>
        <item x="521"/>
        <item x="603"/>
        <item x="110"/>
        <item x="81"/>
        <item x="538"/>
        <item x="245"/>
        <item x="455"/>
        <item x="8"/>
        <item x="547"/>
        <item x="639"/>
        <item x="715"/>
        <item x="415"/>
        <item x="713"/>
        <item x="1220"/>
        <item x="414"/>
        <item x="572"/>
        <item x="82"/>
        <item x="422"/>
        <item x="836"/>
        <item x="756"/>
        <item x="24"/>
        <item x="109"/>
        <item x="912"/>
        <item x="1123"/>
        <item x="292"/>
        <item x="1080"/>
        <item x="859"/>
        <item x="1091"/>
        <item x="811"/>
        <item x="951"/>
        <item x="1224"/>
        <item x="940"/>
        <item x="18"/>
        <item x="742"/>
        <item x="1084"/>
        <item x="382"/>
        <item x="617"/>
        <item x="143"/>
        <item x="201"/>
        <item x="923"/>
        <item x="269"/>
        <item x="385"/>
        <item x="570"/>
        <item x="404"/>
        <item x="39"/>
        <item x="226"/>
        <item x="847"/>
        <item x="138"/>
        <item x="1071"/>
        <item x="13"/>
        <item x="1228"/>
        <item x="1033"/>
        <item x="241"/>
        <item x="381"/>
        <item x="1240"/>
        <item x="181"/>
        <item x="574"/>
        <item x="494"/>
        <item x="25"/>
        <item x="1183"/>
        <item x="161"/>
        <item x="947"/>
        <item x="286"/>
        <item x="581"/>
        <item x="205"/>
        <item x="410"/>
        <item x="418"/>
        <item x="804"/>
        <item x="631"/>
        <item x="99"/>
        <item x="1082"/>
        <item x="117"/>
        <item x="188"/>
        <item x="989"/>
        <item x="360"/>
        <item x="197"/>
        <item x="930"/>
        <item x="413"/>
        <item x="1032"/>
        <item x="12"/>
        <item x="467"/>
        <item x="453"/>
        <item x="831"/>
        <item x="1169"/>
        <item x="699"/>
        <item x="866"/>
        <item x="789"/>
        <item x="471"/>
        <item x="433"/>
        <item x="1042"/>
        <item x="377"/>
        <item x="448"/>
        <item x="30"/>
        <item x="864"/>
        <item x="450"/>
        <item x="452"/>
        <item x="474"/>
        <item x="1122"/>
        <item x="959"/>
        <item x="1231"/>
        <item x="774"/>
        <item x="426"/>
        <item x="169"/>
        <item x="560"/>
        <item x="127"/>
        <item x="252"/>
        <item x="168"/>
        <item x="1153"/>
        <item x="680"/>
        <item x="285"/>
        <item x="121"/>
        <item x="1135"/>
        <item x="487"/>
        <item x="277"/>
        <item x="100"/>
        <item x="308"/>
        <item x="104"/>
        <item x="682"/>
        <item x="133"/>
        <item x="481"/>
        <item x="1028"/>
        <item x="1015"/>
        <item x="870"/>
        <item x="158"/>
        <item x="396"/>
        <item x="890"/>
        <item x="608"/>
        <item x="1087"/>
        <item x="865"/>
        <item x="931"/>
        <item x="757"/>
        <item x="261"/>
        <item x="701"/>
        <item x="665"/>
        <item x="22"/>
        <item x="134"/>
        <item x="898"/>
        <item x="548"/>
        <item x="159"/>
        <item x="550"/>
        <item x="1242"/>
        <item x="659"/>
        <item x="60"/>
        <item x="244"/>
        <item x="326"/>
        <item x="238"/>
        <item x="417"/>
        <item x="1064"/>
        <item x="788"/>
        <item x="681"/>
        <item x="1105"/>
        <item x="141"/>
        <item x="151"/>
        <item x="842"/>
        <item x="913"/>
        <item x="352"/>
        <item x="753"/>
        <item x="882"/>
        <item x="541"/>
        <item x="793"/>
        <item x="770"/>
        <item x="596"/>
        <item x="20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Revenue" fld="5" baseField="0" baseItem="0" numFmtId="4"/>
  </dataFields>
  <chartFormats count="1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637DA-FC5F-406D-86AF-3398696F435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8" firstHeaderRow="1" firstDataRow="2" firstDataCol="1"/>
  <pivotFields count="13">
    <pivotField showAll="0"/>
    <pivotField numFmtId="14" showAll="0"/>
    <pivotField showAll="0"/>
    <pivotField showAll="0"/>
    <pivotField axis="axisCol" showAll="0">
      <items count="5">
        <item x="2"/>
        <item x="0"/>
        <item x="1"/>
        <item f="1" x="3"/>
        <item t="default"/>
      </items>
    </pivotField>
    <pivotField dataField="1" numFmtId="4" showAll="0"/>
    <pivotField numFmtId="1" showAll="0"/>
    <pivotField showAll="0"/>
    <pivotField showAll="0"/>
    <pivotField numFmtId="4"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5" baseField="0" baseItem="0" numFmtId="4"/>
  </dataFields>
  <chartFormats count="4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B759C-FD90-4F78-84A1-A248B57DDF20}" name="PivotTable1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4">
  <location ref="A19:B44" firstHeaderRow="1" firstDataRow="1" firstDataCol="1"/>
  <pivotFields count="13">
    <pivotField showAll="0"/>
    <pivotField numFmtId="14" showAll="0">
      <items count="636">
        <item x="385"/>
        <item x="321"/>
        <item x="150"/>
        <item x="431"/>
        <item x="152"/>
        <item x="3"/>
        <item x="203"/>
        <item x="60"/>
        <item x="420"/>
        <item x="469"/>
        <item x="176"/>
        <item x="181"/>
        <item x="67"/>
        <item x="277"/>
        <item x="511"/>
        <item x="544"/>
        <item x="59"/>
        <item x="43"/>
        <item x="39"/>
        <item x="473"/>
        <item x="158"/>
        <item x="234"/>
        <item x="424"/>
        <item x="97"/>
        <item x="136"/>
        <item x="215"/>
        <item x="157"/>
        <item x="42"/>
        <item x="598"/>
        <item x="493"/>
        <item x="531"/>
        <item x="252"/>
        <item x="170"/>
        <item x="246"/>
        <item x="104"/>
        <item x="269"/>
        <item x="573"/>
        <item x="475"/>
        <item x="308"/>
        <item x="80"/>
        <item x="205"/>
        <item x="237"/>
        <item x="552"/>
        <item x="156"/>
        <item x="129"/>
        <item x="501"/>
        <item x="125"/>
        <item x="601"/>
        <item x="506"/>
        <item x="268"/>
        <item x="295"/>
        <item x="74"/>
        <item x="161"/>
        <item x="95"/>
        <item x="229"/>
        <item x="54"/>
        <item x="254"/>
        <item x="589"/>
        <item x="53"/>
        <item x="337"/>
        <item x="608"/>
        <item x="238"/>
        <item x="596"/>
        <item x="81"/>
        <item x="143"/>
        <item x="101"/>
        <item x="435"/>
        <item x="594"/>
        <item x="49"/>
        <item x="187"/>
        <item x="619"/>
        <item x="419"/>
        <item x="524"/>
        <item x="464"/>
        <item x="26"/>
        <item x="483"/>
        <item x="189"/>
        <item x="566"/>
        <item x="318"/>
        <item x="68"/>
        <item x="343"/>
        <item x="118"/>
        <item x="319"/>
        <item x="320"/>
        <item x="499"/>
        <item x="451"/>
        <item x="166"/>
        <item x="539"/>
        <item x="185"/>
        <item x="509"/>
        <item x="106"/>
        <item x="423"/>
        <item x="545"/>
        <item x="391"/>
        <item x="538"/>
        <item x="8"/>
        <item x="503"/>
        <item x="239"/>
        <item x="245"/>
        <item x="507"/>
        <item x="140"/>
        <item x="253"/>
        <item x="276"/>
        <item x="623"/>
        <item x="631"/>
        <item x="590"/>
        <item x="50"/>
        <item x="207"/>
        <item x="334"/>
        <item x="204"/>
        <item x="119"/>
        <item x="349"/>
        <item x="427"/>
        <item x="284"/>
        <item x="180"/>
        <item x="535"/>
        <item x="167"/>
        <item x="255"/>
        <item x="505"/>
        <item x="202"/>
        <item x="577"/>
        <item x="298"/>
        <item x="395"/>
        <item x="445"/>
        <item x="578"/>
        <item x="572"/>
        <item x="270"/>
        <item x="188"/>
        <item x="414"/>
        <item x="222"/>
        <item x="575"/>
        <item x="502"/>
        <item x="296"/>
        <item x="78"/>
        <item x="340"/>
        <item x="218"/>
        <item x="317"/>
        <item x="281"/>
        <item x="90"/>
        <item x="96"/>
        <item x="629"/>
        <item x="422"/>
        <item x="149"/>
        <item x="474"/>
        <item x="500"/>
        <item x="381"/>
        <item x="206"/>
        <item x="16"/>
        <item x="375"/>
        <item x="98"/>
        <item x="516"/>
        <item x="439"/>
        <item x="273"/>
        <item x="247"/>
        <item x="27"/>
        <item x="257"/>
        <item x="591"/>
        <item x="230"/>
        <item x="304"/>
        <item x="392"/>
        <item x="373"/>
        <item x="103"/>
        <item x="127"/>
        <item x="533"/>
        <item x="634"/>
        <item x="77"/>
        <item x="597"/>
        <item x="44"/>
        <item x="425"/>
        <item x="353"/>
        <item x="275"/>
        <item x="527"/>
        <item x="467"/>
        <item x="489"/>
        <item x="89"/>
        <item x="41"/>
        <item x="537"/>
        <item x="496"/>
        <item x="17"/>
        <item x="159"/>
        <item x="241"/>
        <item x="335"/>
        <item x="413"/>
        <item x="359"/>
        <item x="367"/>
        <item x="384"/>
        <item x="607"/>
        <item x="482"/>
        <item x="444"/>
        <item x="563"/>
        <item x="366"/>
        <item x="114"/>
        <item x="495"/>
        <item x="548"/>
        <item x="232"/>
        <item x="6"/>
        <item x="142"/>
        <item x="288"/>
        <item x="561"/>
        <item x="2"/>
        <item x="390"/>
        <item x="379"/>
        <item x="18"/>
        <item x="344"/>
        <item x="250"/>
        <item x="588"/>
        <item x="148"/>
        <item x="33"/>
        <item x="137"/>
        <item x="280"/>
        <item x="437"/>
        <item x="463"/>
        <item x="182"/>
        <item x="553"/>
        <item x="484"/>
        <item x="133"/>
        <item x="609"/>
        <item x="476"/>
        <item x="517"/>
        <item x="99"/>
        <item x="244"/>
        <item x="171"/>
        <item x="112"/>
        <item x="116"/>
        <item x="84"/>
        <item x="179"/>
        <item x="574"/>
        <item x="448"/>
        <item x="521"/>
        <item x="322"/>
        <item x="198"/>
        <item x="568"/>
        <item x="480"/>
        <item x="564"/>
        <item x="603"/>
        <item x="248"/>
        <item x="611"/>
        <item x="69"/>
        <item x="625"/>
        <item x="259"/>
        <item x="397"/>
        <item x="45"/>
        <item x="160"/>
        <item x="29"/>
        <item x="430"/>
        <item x="297"/>
        <item x="279"/>
        <item x="128"/>
        <item x="282"/>
        <item x="1"/>
        <item x="292"/>
        <item x="169"/>
        <item x="312"/>
        <item x="351"/>
        <item x="117"/>
        <item x="233"/>
        <item x="485"/>
        <item x="555"/>
        <item x="557"/>
        <item x="212"/>
        <item x="94"/>
        <item x="265"/>
        <item x="223"/>
        <item x="175"/>
        <item x="327"/>
        <item x="460"/>
        <item x="633"/>
        <item x="48"/>
        <item x="225"/>
        <item x="32"/>
        <item x="418"/>
        <item x="426"/>
        <item x="287"/>
        <item x="64"/>
        <item x="92"/>
        <item x="465"/>
        <item x="339"/>
        <item x="377"/>
        <item x="438"/>
        <item x="15"/>
        <item x="307"/>
        <item x="453"/>
        <item x="138"/>
        <item x="46"/>
        <item x="627"/>
        <item x="387"/>
        <item x="462"/>
        <item x="549"/>
        <item x="478"/>
        <item x="183"/>
        <item x="518"/>
        <item x="554"/>
        <item x="374"/>
        <item x="394"/>
        <item x="172"/>
        <item x="536"/>
        <item x="494"/>
        <item x="378"/>
        <item x="324"/>
        <item x="567"/>
        <item x="310"/>
        <item x="7"/>
        <item x="193"/>
        <item x="111"/>
        <item x="226"/>
        <item x="219"/>
        <item x="540"/>
        <item x="62"/>
        <item x="192"/>
        <item x="487"/>
        <item x="153"/>
        <item x="285"/>
        <item x="294"/>
        <item x="356"/>
        <item x="358"/>
        <item x="178"/>
        <item x="602"/>
        <item x="299"/>
        <item x="355"/>
        <item x="251"/>
        <item x="580"/>
        <item x="336"/>
        <item x="371"/>
        <item x="286"/>
        <item x="632"/>
        <item x="151"/>
        <item x="91"/>
        <item x="618"/>
        <item x="102"/>
        <item x="428"/>
        <item x="184"/>
        <item x="515"/>
        <item x="582"/>
        <item x="382"/>
        <item x="571"/>
        <item x="313"/>
        <item x="407"/>
        <item x="409"/>
        <item x="121"/>
        <item x="323"/>
        <item x="421"/>
        <item x="266"/>
        <item x="23"/>
        <item x="51"/>
        <item x="107"/>
        <item x="65"/>
        <item x="450"/>
        <item x="316"/>
        <item x="614"/>
        <item x="514"/>
        <item x="605"/>
        <item x="534"/>
        <item x="115"/>
        <item x="314"/>
        <item x="86"/>
        <item x="541"/>
        <item x="347"/>
        <item x="217"/>
        <item x="120"/>
        <item x="38"/>
        <item x="262"/>
        <item x="399"/>
        <item x="236"/>
        <item x="403"/>
        <item x="283"/>
        <item x="447"/>
        <item x="333"/>
        <item x="630"/>
        <item x="83"/>
        <item x="416"/>
        <item x="14"/>
        <item x="410"/>
        <item x="565"/>
        <item x="144"/>
        <item x="446"/>
        <item x="328"/>
        <item x="20"/>
        <item x="208"/>
        <item x="520"/>
        <item x="134"/>
        <item x="622"/>
        <item x="370"/>
        <item x="546"/>
        <item x="47"/>
        <item x="75"/>
        <item x="471"/>
        <item x="354"/>
        <item x="433"/>
        <item x="606"/>
        <item x="290"/>
        <item x="213"/>
        <item x="28"/>
        <item x="612"/>
        <item x="108"/>
        <item x="330"/>
        <item x="267"/>
        <item x="306"/>
        <item x="235"/>
        <item x="19"/>
        <item x="5"/>
        <item x="412"/>
        <item x="163"/>
        <item x="405"/>
        <item x="110"/>
        <item x="174"/>
        <item x="372"/>
        <item x="263"/>
        <item x="389"/>
        <item x="30"/>
        <item x="386"/>
        <item x="616"/>
        <item x="581"/>
        <item x="562"/>
        <item x="132"/>
        <item x="55"/>
        <item x="530"/>
        <item x="449"/>
        <item x="194"/>
        <item x="311"/>
        <item x="52"/>
        <item x="441"/>
        <item x="93"/>
        <item x="388"/>
        <item x="315"/>
        <item x="293"/>
        <item x="436"/>
        <item x="168"/>
        <item x="201"/>
        <item x="604"/>
        <item x="468"/>
        <item x="404"/>
        <item x="341"/>
        <item x="376"/>
        <item x="70"/>
        <item x="490"/>
        <item x="22"/>
        <item x="249"/>
        <item x="190"/>
        <item x="200"/>
        <item x="508"/>
        <item x="398"/>
        <item x="406"/>
        <item x="105"/>
        <item x="628"/>
        <item x="220"/>
        <item x="34"/>
        <item x="615"/>
        <item x="145"/>
        <item x="558"/>
        <item x="326"/>
        <item x="457"/>
        <item x="300"/>
        <item x="364"/>
        <item x="584"/>
        <item x="523"/>
        <item x="560"/>
        <item x="352"/>
        <item x="547"/>
        <item x="186"/>
        <item x="369"/>
        <item x="73"/>
        <item x="617"/>
        <item x="195"/>
        <item x="595"/>
        <item x="221"/>
        <item x="443"/>
        <item x="380"/>
        <item x="258"/>
        <item x="415"/>
        <item x="147"/>
        <item x="113"/>
        <item x="231"/>
        <item x="556"/>
        <item x="130"/>
        <item x="274"/>
        <item x="486"/>
        <item x="512"/>
        <item x="122"/>
        <item x="11"/>
        <item x="396"/>
        <item x="58"/>
        <item x="472"/>
        <item x="35"/>
        <item x="550"/>
        <item x="228"/>
        <item x="291"/>
        <item x="25"/>
        <item x="242"/>
        <item x="289"/>
        <item x="155"/>
        <item x="71"/>
        <item x="532"/>
        <item x="498"/>
        <item x="526"/>
        <item x="272"/>
        <item x="305"/>
        <item x="240"/>
        <item x="227"/>
        <item x="331"/>
        <item x="79"/>
        <item x="40"/>
        <item x="21"/>
        <item x="470"/>
        <item x="348"/>
        <item x="432"/>
        <item x="12"/>
        <item x="56"/>
        <item x="332"/>
        <item x="559"/>
        <item x="126"/>
        <item x="131"/>
        <item x="260"/>
        <item x="368"/>
        <item x="31"/>
        <item x="569"/>
        <item x="528"/>
        <item x="0"/>
        <item x="586"/>
        <item x="442"/>
        <item x="146"/>
        <item x="543"/>
        <item x="610"/>
        <item x="400"/>
        <item x="458"/>
        <item x="13"/>
        <item x="576"/>
        <item x="224"/>
        <item x="408"/>
        <item x="570"/>
        <item x="529"/>
        <item x="361"/>
        <item x="626"/>
        <item x="429"/>
        <item x="620"/>
        <item x="401"/>
        <item x="542"/>
        <item x="551"/>
        <item x="199"/>
        <item x="592"/>
        <item x="164"/>
        <item x="109"/>
        <item x="504"/>
        <item x="72"/>
        <item x="243"/>
        <item x="162"/>
        <item x="479"/>
        <item x="363"/>
        <item x="154"/>
        <item x="593"/>
        <item x="135"/>
        <item x="583"/>
        <item x="209"/>
        <item x="24"/>
        <item x="196"/>
        <item x="477"/>
        <item x="466"/>
        <item x="624"/>
        <item x="492"/>
        <item x="362"/>
        <item x="191"/>
        <item x="88"/>
        <item x="37"/>
        <item x="76"/>
        <item x="61"/>
        <item x="256"/>
        <item x="621"/>
        <item x="491"/>
        <item x="66"/>
        <item x="411"/>
        <item x="345"/>
        <item x="210"/>
        <item x="346"/>
        <item x="309"/>
        <item x="585"/>
        <item x="510"/>
        <item x="278"/>
        <item x="329"/>
        <item x="360"/>
        <item x="141"/>
        <item x="173"/>
        <item x="325"/>
        <item x="271"/>
        <item x="261"/>
        <item x="216"/>
        <item x="522"/>
        <item x="434"/>
        <item x="4"/>
        <item x="452"/>
        <item x="481"/>
        <item x="177"/>
        <item x="513"/>
        <item x="197"/>
        <item x="461"/>
        <item x="454"/>
        <item x="600"/>
        <item x="303"/>
        <item x="87"/>
        <item x="519"/>
        <item x="338"/>
        <item x="63"/>
        <item x="488"/>
        <item x="57"/>
        <item x="342"/>
        <item x="139"/>
        <item x="402"/>
        <item x="214"/>
        <item x="579"/>
        <item x="497"/>
        <item x="459"/>
        <item x="440"/>
        <item x="456"/>
        <item x="613"/>
        <item x="264"/>
        <item x="211"/>
        <item x="301"/>
        <item x="350"/>
        <item x="10"/>
        <item x="124"/>
        <item x="365"/>
        <item x="9"/>
        <item x="82"/>
        <item x="85"/>
        <item x="455"/>
        <item x="587"/>
        <item x="100"/>
        <item x="36"/>
        <item x="357"/>
        <item x="393"/>
        <item x="525"/>
        <item x="165"/>
        <item x="383"/>
        <item x="302"/>
        <item x="599"/>
        <item x="417"/>
        <item x="123"/>
        <item t="default"/>
      </items>
    </pivotField>
    <pivotField showAll="0"/>
    <pivotField showAll="0"/>
    <pivotField showAll="0">
      <items count="5">
        <item x="2"/>
        <item x="0"/>
        <item x="1"/>
        <item f="1" x="3"/>
        <item t="default"/>
      </items>
    </pivotField>
    <pivotField dataField="1" numFmtId="4" showAll="0"/>
    <pivotField numFmtId="1" showAll="0"/>
    <pivotField showAll="0">
      <items count="4">
        <item x="1"/>
        <item x="2"/>
        <item x="0"/>
        <item t="default"/>
      </items>
    </pivotField>
    <pivotField axis="axisRow" showAll="0">
      <items count="25">
        <item x="3"/>
        <item x="20"/>
        <item x="18"/>
        <item x="7"/>
        <item x="21"/>
        <item x="12"/>
        <item x="13"/>
        <item x="2"/>
        <item x="14"/>
        <item x="1"/>
        <item x="11"/>
        <item x="6"/>
        <item x="23"/>
        <item x="16"/>
        <item x="10"/>
        <item x="5"/>
        <item x="15"/>
        <item x="19"/>
        <item x="9"/>
        <item x="0"/>
        <item x="22"/>
        <item x="17"/>
        <item x="4"/>
        <item x="8"/>
        <item t="default"/>
      </items>
    </pivotField>
    <pivotField numFmtId="4" showAll="0">
      <items count="1252">
        <item x="0"/>
        <item x="1025"/>
        <item x="602"/>
        <item x="489"/>
        <item x="894"/>
        <item x="3"/>
        <item x="642"/>
        <item x="981"/>
        <item x="470"/>
        <item x="917"/>
        <item x="1041"/>
        <item x="1147"/>
        <item x="86"/>
        <item x="299"/>
        <item x="1094"/>
        <item x="186"/>
        <item x="776"/>
        <item x="892"/>
        <item x="1067"/>
        <item x="624"/>
        <item x="564"/>
        <item x="14"/>
        <item x="697"/>
        <item x="1081"/>
        <item x="1106"/>
        <item x="1177"/>
        <item x="821"/>
        <item x="1061"/>
        <item x="380"/>
        <item x="116"/>
        <item x="982"/>
        <item x="212"/>
        <item x="1226"/>
        <item x="139"/>
        <item x="1104"/>
        <item x="1027"/>
        <item x="1017"/>
        <item x="583"/>
        <item x="806"/>
        <item x="28"/>
        <item x="462"/>
        <item x="461"/>
        <item x="294"/>
        <item x="903"/>
        <item x="658"/>
        <item x="115"/>
        <item x="263"/>
        <item x="985"/>
        <item x="62"/>
        <item x="979"/>
        <item x="346"/>
        <item x="1072"/>
        <item x="79"/>
        <item x="27"/>
        <item x="991"/>
        <item x="562"/>
        <item x="990"/>
        <item x="1204"/>
        <item x="1189"/>
        <item x="875"/>
        <item x="555"/>
        <item x="714"/>
        <item x="136"/>
        <item x="1002"/>
        <item x="783"/>
        <item x="1201"/>
        <item x="323"/>
        <item x="233"/>
        <item x="750"/>
        <item x="1219"/>
        <item x="703"/>
        <item x="754"/>
        <item x="610"/>
        <item x="312"/>
        <item x="663"/>
        <item x="915"/>
        <item x="113"/>
        <item x="118"/>
        <item x="69"/>
        <item x="910"/>
        <item x="342"/>
        <item x="311"/>
        <item x="1026"/>
        <item x="335"/>
        <item x="1069"/>
        <item x="2"/>
        <item x="347"/>
        <item x="760"/>
        <item x="486"/>
        <item x="656"/>
        <item x="1000"/>
        <item x="598"/>
        <item x="178"/>
        <item x="561"/>
        <item x="479"/>
        <item x="366"/>
        <item x="708"/>
        <item x="1052"/>
        <item x="61"/>
        <item x="632"/>
        <item x="963"/>
        <item x="324"/>
        <item x="137"/>
        <item x="51"/>
        <item x="1047"/>
        <item x="802"/>
        <item x="440"/>
        <item x="442"/>
        <item x="456"/>
        <item x="496"/>
        <item x="1200"/>
        <item x="1014"/>
        <item x="376"/>
        <item x="588"/>
        <item x="852"/>
        <item x="1013"/>
        <item x="194"/>
        <item x="667"/>
        <item x="721"/>
        <item x="867"/>
        <item x="336"/>
        <item x="1085"/>
        <item x="1012"/>
        <item x="180"/>
        <item x="322"/>
        <item x="163"/>
        <item x="818"/>
        <item x="669"/>
        <item x="276"/>
        <item x="364"/>
        <item x="690"/>
        <item x="434"/>
        <item x="370"/>
        <item x="363"/>
        <item x="838"/>
        <item x="65"/>
        <item x="1119"/>
        <item x="816"/>
        <item x="259"/>
        <item x="214"/>
        <item x="986"/>
        <item x="1034"/>
        <item x="64"/>
        <item x="824"/>
        <item x="230"/>
        <item x="497"/>
        <item x="209"/>
        <item x="1125"/>
        <item x="1088"/>
        <item x="293"/>
        <item x="960"/>
        <item x="862"/>
        <item x="320"/>
        <item x="586"/>
        <item x="728"/>
        <item x="508"/>
        <item x="247"/>
        <item x="231"/>
        <item x="1092"/>
        <item x="66"/>
        <item x="429"/>
        <item x="1143"/>
        <item x="566"/>
        <item x="886"/>
        <item x="1111"/>
        <item x="955"/>
        <item x="828"/>
        <item x="119"/>
        <item x="107"/>
        <item x="403"/>
        <item x="611"/>
        <item x="1049"/>
        <item x="532"/>
        <item x="943"/>
        <item x="761"/>
        <item x="1151"/>
        <item x="758"/>
        <item x="57"/>
        <item x="318"/>
        <item x="730"/>
        <item x="856"/>
        <item x="1063"/>
        <item x="956"/>
        <item x="848"/>
        <item x="92"/>
        <item x="905"/>
        <item x="501"/>
        <item x="911"/>
        <item x="216"/>
        <item x="1247"/>
        <item x="1129"/>
        <item x="1117"/>
        <item x="609"/>
        <item x="362"/>
        <item x="1016"/>
        <item x="193"/>
        <item x="807"/>
        <item x="270"/>
        <item x="615"/>
        <item x="709"/>
        <item x="670"/>
        <item x="1075"/>
        <item x="1148"/>
        <item x="73"/>
        <item x="423"/>
        <item x="635"/>
        <item x="1180"/>
        <item x="149"/>
        <item x="174"/>
        <item x="851"/>
        <item x="515"/>
        <item x="1054"/>
        <item x="1237"/>
        <item x="438"/>
        <item x="511"/>
        <item x="1232"/>
        <item x="839"/>
        <item x="387"/>
        <item x="654"/>
        <item x="897"/>
        <item x="1230"/>
        <item x="457"/>
        <item x="128"/>
        <item x="695"/>
        <item x="102"/>
        <item x="813"/>
        <item x="1175"/>
        <item x="447"/>
        <item x="941"/>
        <item x="832"/>
        <item x="1171"/>
        <item x="1134"/>
        <item x="896"/>
        <item x="234"/>
        <item x="822"/>
        <item x="265"/>
        <item x="1206"/>
        <item x="267"/>
        <item x="220"/>
        <item x="796"/>
        <item x="677"/>
        <item x="768"/>
        <item x="7"/>
        <item x="797"/>
        <item x="932"/>
        <item x="679"/>
        <item x="1102"/>
        <item x="568"/>
        <item x="798"/>
        <item x="952"/>
        <item x="1039"/>
        <item x="958"/>
        <item x="1055"/>
        <item x="368"/>
        <item x="371"/>
        <item x="1196"/>
        <item x="411"/>
        <item x="52"/>
        <item x="689"/>
        <item x="393"/>
        <item x="597"/>
        <item x="573"/>
        <item x="1191"/>
        <item x="1170"/>
        <item x="558"/>
        <item x="416"/>
        <item x="59"/>
        <item x="863"/>
        <item x="349"/>
        <item x="1113"/>
        <item x="353"/>
        <item x="282"/>
        <item x="348"/>
        <item x="606"/>
        <item x="54"/>
        <item x="190"/>
        <item x="47"/>
        <item x="766"/>
        <item x="732"/>
        <item x="800"/>
        <item x="880"/>
        <item x="899"/>
        <item x="1188"/>
        <item x="946"/>
        <item x="488"/>
        <item x="1185"/>
        <item x="229"/>
        <item x="1202"/>
        <item x="771"/>
        <item x="17"/>
        <item x="518"/>
        <item x="853"/>
        <item x="392"/>
        <item x="4"/>
        <item x="306"/>
        <item x="122"/>
        <item x="391"/>
        <item x="1182"/>
        <item x="108"/>
        <item x="72"/>
        <item x="983"/>
        <item x="46"/>
        <item x="409"/>
        <item x="619"/>
        <item x="751"/>
        <item x="258"/>
        <item x="1165"/>
        <item x="1218"/>
        <item x="1209"/>
        <item x="506"/>
        <item x="329"/>
        <item x="183"/>
        <item x="1068"/>
        <item x="1214"/>
        <item x="310"/>
        <item x="469"/>
        <item x="1010"/>
        <item x="827"/>
        <item x="790"/>
        <item x="379"/>
        <item x="995"/>
        <item x="1142"/>
        <item x="83"/>
        <item x="909"/>
        <item x="333"/>
        <item x="868"/>
        <item x="687"/>
        <item x="621"/>
        <item x="101"/>
        <item x="1050"/>
        <item x="700"/>
        <item x="195"/>
        <item x="1030"/>
        <item x="993"/>
        <item x="78"/>
        <item x="111"/>
        <item x="331"/>
        <item x="384"/>
        <item x="895"/>
        <item x="505"/>
        <item x="601"/>
        <item x="222"/>
        <item x="599"/>
        <item x="33"/>
        <item x="307"/>
        <item x="147"/>
        <item x="337"/>
        <item x="275"/>
        <item x="235"/>
        <item x="845"/>
        <item x="1101"/>
        <item x="75"/>
        <item x="537"/>
        <item x="262"/>
        <item x="179"/>
        <item x="68"/>
        <item x="264"/>
        <item x="1090"/>
        <item x="16"/>
        <item x="26"/>
        <item x="858"/>
        <item x="1131"/>
        <item x="666"/>
        <item x="914"/>
        <item x="303"/>
        <item x="397"/>
        <item x="653"/>
        <item x="755"/>
        <item x="485"/>
        <item x="769"/>
        <item x="556"/>
        <item x="685"/>
        <item x="375"/>
        <item x="1040"/>
        <item x="1159"/>
        <item x="726"/>
        <item x="240"/>
        <item x="6"/>
        <item x="516"/>
        <item x="668"/>
        <item x="284"/>
        <item x="1019"/>
        <item x="142"/>
        <item x="1107"/>
        <item x="1045"/>
        <item x="1023"/>
        <item x="9"/>
        <item x="612"/>
        <item x="227"/>
        <item x="91"/>
        <item x="77"/>
        <item x="552"/>
        <item x="499"/>
        <item x="539"/>
        <item x="948"/>
        <item x="716"/>
        <item x="154"/>
        <item x="228"/>
        <item x="855"/>
        <item x="97"/>
        <item x="794"/>
        <item x="1044"/>
        <item x="830"/>
        <item x="545"/>
        <item x="544"/>
        <item x="795"/>
        <item x="803"/>
        <item x="513"/>
        <item x="953"/>
        <item x="1035"/>
        <item x="887"/>
        <item x="200"/>
        <item x="1130"/>
        <item x="833"/>
        <item x="841"/>
        <item x="112"/>
        <item x="15"/>
        <item x="431"/>
        <item x="676"/>
        <item x="625"/>
        <item x="1031"/>
        <item x="150"/>
        <item x="877"/>
        <item x="1217"/>
        <item x="554"/>
        <item x="978"/>
        <item x="1120"/>
        <item x="1156"/>
        <item x="579"/>
        <item x="747"/>
        <item x="217"/>
        <item x="466"/>
        <item x="63"/>
        <item x="465"/>
        <item x="1190"/>
        <item x="645"/>
        <item x="1109"/>
        <item x="257"/>
        <item x="1146"/>
        <item x="871"/>
        <item x="1167"/>
        <item x="696"/>
        <item x="1241"/>
        <item x="1203"/>
        <item x="126"/>
        <item x="540"/>
        <item x="421"/>
        <item x="1121"/>
        <item x="999"/>
        <item x="359"/>
        <item x="221"/>
        <item x="48"/>
        <item x="711"/>
        <item x="720"/>
        <item x="1114"/>
        <item x="584"/>
        <item x="727"/>
        <item x="1005"/>
        <item x="674"/>
        <item x="957"/>
        <item x="1225"/>
        <item x="398"/>
        <item x="449"/>
        <item x="232"/>
        <item x="723"/>
        <item x="334"/>
        <item x="343"/>
        <item x="355"/>
        <item x="350"/>
        <item x="580"/>
        <item x="260"/>
        <item x="56"/>
        <item x="926"/>
        <item x="250"/>
        <item x="702"/>
        <item x="967"/>
        <item x="762"/>
        <item x="44"/>
        <item x="884"/>
        <item x="475"/>
        <item x="630"/>
        <item x="551"/>
        <item x="778"/>
        <item x="764"/>
        <item x="224"/>
        <item x="344"/>
        <item x="759"/>
        <item x="950"/>
        <item x="395"/>
        <item x="825"/>
        <item x="11"/>
        <item x="902"/>
        <item x="1215"/>
        <item x="772"/>
        <item x="500"/>
        <item x="191"/>
        <item x="146"/>
        <item x="938"/>
        <item x="1132"/>
        <item x="1070"/>
        <item x="734"/>
        <item x="243"/>
        <item x="649"/>
        <item x="969"/>
        <item x="817"/>
        <item x="520"/>
        <item x="1239"/>
        <item x="782"/>
        <item x="1222"/>
        <item x="296"/>
        <item x="1221"/>
        <item x="585"/>
        <item x="425"/>
        <item x="372"/>
        <item x="1152"/>
        <item x="254"/>
        <item x="1093"/>
        <item x="105"/>
        <item x="175"/>
        <item x="519"/>
        <item x="96"/>
        <item x="361"/>
        <item x="124"/>
        <item x="939"/>
        <item x="98"/>
        <item x="165"/>
        <item x="454"/>
        <item x="650"/>
        <item x="437"/>
        <item x="628"/>
        <item x="662"/>
        <item x="706"/>
        <item x="675"/>
        <item x="31"/>
        <item x="315"/>
        <item x="432"/>
        <item x="889"/>
        <item x="166"/>
        <item x="1213"/>
        <item x="463"/>
        <item x="1"/>
        <item x="594"/>
        <item x="58"/>
        <item x="748"/>
        <item x="1100"/>
        <item x="37"/>
        <item x="281"/>
        <item x="301"/>
        <item x="1128"/>
        <item x="604"/>
        <item x="459"/>
        <item x="976"/>
        <item x="954"/>
        <item x="964"/>
        <item x="660"/>
        <item x="291"/>
        <item x="655"/>
        <item x="919"/>
        <item x="354"/>
        <item x="971"/>
        <item x="298"/>
        <item x="156"/>
        <item x="605"/>
        <item x="733"/>
        <item x="577"/>
        <item x="369"/>
        <item x="683"/>
        <item x="215"/>
        <item x="553"/>
        <item x="145"/>
        <item x="644"/>
        <item x="390"/>
        <item x="1154"/>
        <item x="357"/>
        <item x="341"/>
        <item x="575"/>
        <item x="211"/>
        <item x="651"/>
        <item x="527"/>
        <item x="528"/>
        <item x="1174"/>
        <item x="358"/>
        <item x="854"/>
        <item x="1051"/>
        <item x="805"/>
        <item x="164"/>
        <item x="600"/>
        <item x="278"/>
        <item x="131"/>
        <item x="1138"/>
        <item x="439"/>
        <item x="965"/>
        <item x="843"/>
        <item x="407"/>
        <item x="55"/>
        <item x="85"/>
        <item x="399"/>
        <item x="223"/>
        <item x="684"/>
        <item x="643"/>
        <item x="1176"/>
        <item x="483"/>
        <item x="1181"/>
        <item x="529"/>
        <item x="1126"/>
        <item x="1009"/>
        <item x="741"/>
        <item x="330"/>
        <item x="874"/>
        <item x="89"/>
        <item x="1198"/>
        <item x="1208"/>
        <item x="739"/>
        <item x="997"/>
        <item x="724"/>
        <item x="840"/>
        <item x="814"/>
        <item x="1029"/>
        <item x="1186"/>
        <item x="1062"/>
        <item x="517"/>
        <item x="512"/>
        <item x="383"/>
        <item x="321"/>
        <item x="1194"/>
        <item x="850"/>
        <item x="319"/>
        <item x="1007"/>
        <item x="661"/>
        <item x="777"/>
        <item x="879"/>
        <item x="972"/>
        <item x="302"/>
        <item x="542"/>
        <item x="744"/>
        <item x="524"/>
        <item x="1095"/>
        <item x="918"/>
        <item x="820"/>
        <item x="652"/>
        <item x="876"/>
        <item x="535"/>
        <item x="1059"/>
        <item x="640"/>
        <item x="686"/>
        <item x="809"/>
        <item x="464"/>
        <item x="846"/>
        <item x="722"/>
        <item x="182"/>
        <item x="290"/>
        <item x="295"/>
        <item x="305"/>
        <item x="719"/>
        <item x="729"/>
        <item x="1168"/>
        <item x="1057"/>
        <item x="173"/>
        <item x="29"/>
        <item x="578"/>
        <item x="185"/>
        <item x="893"/>
        <item x="365"/>
        <item x="1145"/>
        <item x="752"/>
        <item x="1157"/>
        <item x="34"/>
        <item x="249"/>
        <item x="144"/>
        <item x="189"/>
        <item x="901"/>
        <item x="637"/>
        <item x="582"/>
        <item x="339"/>
        <item x="607"/>
        <item x="973"/>
        <item x="490"/>
        <item x="316"/>
        <item x="401"/>
        <item x="1056"/>
        <item x="266"/>
        <item x="80"/>
        <item x="356"/>
        <item x="717"/>
        <item x="576"/>
        <item x="279"/>
        <item x="49"/>
        <item x="1037"/>
        <item x="405"/>
        <item x="737"/>
        <item x="614"/>
        <item x="196"/>
        <item x="428"/>
        <item x="129"/>
        <item x="888"/>
        <item x="120"/>
        <item x="904"/>
        <item x="634"/>
        <item x="812"/>
        <item x="430"/>
        <item x="446"/>
        <item x="482"/>
        <item x="468"/>
        <item x="50"/>
        <item x="613"/>
        <item x="1097"/>
        <item x="338"/>
        <item x="458"/>
        <item x="949"/>
        <item x="536"/>
        <item x="70"/>
        <item x="114"/>
        <item x="451"/>
        <item x="936"/>
        <item x="502"/>
        <item x="590"/>
        <item x="1115"/>
        <item x="945"/>
        <item x="5"/>
        <item x="620"/>
        <item x="1021"/>
        <item x="140"/>
        <item x="484"/>
        <item x="1248"/>
        <item x="202"/>
        <item x="1212"/>
        <item x="792"/>
        <item x="878"/>
        <item x="962"/>
        <item x="1155"/>
        <item x="944"/>
        <item x="408"/>
        <item x="1211"/>
        <item x="942"/>
        <item x="1233"/>
        <item x="268"/>
        <item x="160"/>
        <item x="823"/>
        <item x="543"/>
        <item x="974"/>
        <item x="1166"/>
        <item x="1020"/>
        <item x="707"/>
        <item x="1195"/>
        <item x="289"/>
        <item x="704"/>
        <item x="36"/>
        <item x="317"/>
        <item x="1223"/>
        <item x="970"/>
        <item x="53"/>
        <item x="1110"/>
        <item x="93"/>
        <item x="638"/>
        <item x="1139"/>
        <item x="87"/>
        <item x="443"/>
        <item x="67"/>
        <item x="1234"/>
        <item x="921"/>
        <item x="192"/>
        <item x="998"/>
        <item x="691"/>
        <item x="1144"/>
        <item x="1140"/>
        <item x="647"/>
        <item x="1011"/>
        <item x="477"/>
        <item x="1079"/>
        <item x="1149"/>
        <item x="204"/>
        <item x="23"/>
        <item x="587"/>
        <item x="1133"/>
        <item x="389"/>
        <item x="412"/>
        <item x="779"/>
        <item x="1178"/>
        <item x="314"/>
        <item x="472"/>
        <item x="132"/>
        <item x="636"/>
        <item x="328"/>
        <item x="1098"/>
        <item x="1243"/>
        <item x="198"/>
        <item x="908"/>
        <item x="480"/>
        <item x="1236"/>
        <item x="857"/>
        <item x="927"/>
        <item x="1003"/>
        <item x="1179"/>
        <item x="445"/>
        <item x="869"/>
        <item x="106"/>
        <item x="32"/>
        <item x="1066"/>
        <item x="507"/>
        <item x="765"/>
        <item x="872"/>
        <item x="35"/>
        <item x="835"/>
        <item x="20"/>
        <item x="623"/>
        <item x="994"/>
        <item x="1073"/>
        <item x="1235"/>
        <item x="388"/>
        <item x="374"/>
        <item x="492"/>
        <item x="1210"/>
        <item x="678"/>
        <item x="1116"/>
        <item x="1053"/>
        <item x="419"/>
        <item x="1250"/>
        <item x="367"/>
        <item x="1096"/>
        <item x="933"/>
        <item x="76"/>
        <item x="837"/>
        <item x="103"/>
        <item x="1162"/>
        <item x="444"/>
        <item x="427"/>
        <item x="402"/>
        <item x="929"/>
        <item x="743"/>
        <item x="648"/>
        <item x="155"/>
        <item x="280"/>
        <item x="819"/>
        <item x="478"/>
        <item x="567"/>
        <item x="1076"/>
        <item x="460"/>
        <item x="1089"/>
        <item x="593"/>
        <item x="1216"/>
        <item x="187"/>
        <item x="565"/>
        <item x="38"/>
        <item x="1245"/>
        <item x="1065"/>
        <item x="167"/>
        <item x="503"/>
        <item x="255"/>
        <item x="476"/>
        <item x="225"/>
        <item x="373"/>
        <item x="274"/>
        <item x="900"/>
        <item x="673"/>
        <item x="1112"/>
        <item x="10"/>
        <item x="780"/>
        <item x="664"/>
        <item x="170"/>
        <item x="922"/>
        <item x="1141"/>
        <item x="199"/>
        <item x="1018"/>
        <item x="1099"/>
        <item x="924"/>
        <item x="253"/>
        <item x="1150"/>
        <item x="725"/>
        <item x="378"/>
        <item x="84"/>
        <item x="735"/>
        <item x="95"/>
        <item x="1229"/>
        <item x="495"/>
        <item x="571"/>
        <item x="522"/>
        <item x="698"/>
        <item x="693"/>
        <item x="671"/>
        <item x="1227"/>
        <item x="885"/>
        <item x="791"/>
        <item x="157"/>
        <item x="996"/>
        <item x="925"/>
        <item x="873"/>
        <item x="1184"/>
        <item x="473"/>
        <item x="767"/>
        <item x="313"/>
        <item x="1108"/>
        <item x="236"/>
        <item x="988"/>
        <item x="595"/>
        <item x="297"/>
        <item x="525"/>
        <item x="672"/>
        <item x="1137"/>
        <item x="1164"/>
        <item x="1192"/>
        <item x="861"/>
        <item x="934"/>
        <item x="1244"/>
        <item x="287"/>
        <item x="248"/>
        <item x="688"/>
        <item x="1074"/>
        <item x="569"/>
        <item x="237"/>
        <item x="272"/>
        <item x="849"/>
        <item x="1103"/>
        <item x="1238"/>
        <item x="1046"/>
        <item x="1127"/>
        <item x="975"/>
        <item x="1249"/>
        <item x="273"/>
        <item x="916"/>
        <item x="533"/>
        <item x="509"/>
        <item x="45"/>
        <item x="731"/>
        <item x="256"/>
        <item x="300"/>
        <item x="123"/>
        <item x="125"/>
        <item x="738"/>
        <item x="626"/>
        <item x="153"/>
        <item x="1187"/>
        <item x="177"/>
        <item x="826"/>
        <item x="736"/>
        <item x="1197"/>
        <item x="90"/>
        <item x="493"/>
        <item x="829"/>
        <item x="325"/>
        <item x="860"/>
        <item x="589"/>
        <item x="557"/>
        <item x="523"/>
        <item x="1022"/>
        <item x="1158"/>
        <item x="40"/>
        <item x="43"/>
        <item x="629"/>
        <item x="785"/>
        <item x="781"/>
        <item x="906"/>
        <item x="327"/>
        <item x="71"/>
        <item x="622"/>
        <item x="745"/>
        <item x="546"/>
        <item x="309"/>
        <item x="657"/>
        <item x="784"/>
        <item x="208"/>
        <item x="1160"/>
        <item x="992"/>
        <item x="206"/>
        <item x="534"/>
        <item x="1124"/>
        <item x="810"/>
        <item x="844"/>
        <item x="530"/>
        <item x="718"/>
        <item x="1024"/>
        <item x="641"/>
        <item x="19"/>
        <item x="801"/>
        <item x="135"/>
        <item x="1006"/>
        <item x="787"/>
        <item x="1199"/>
        <item x="786"/>
        <item x="1086"/>
        <item x="21"/>
        <item x="162"/>
        <item x="504"/>
        <item x="1004"/>
        <item x="288"/>
        <item x="977"/>
        <item x="559"/>
        <item x="203"/>
        <item x="705"/>
        <item x="246"/>
        <item x="1163"/>
        <item x="592"/>
        <item x="94"/>
        <item x="883"/>
        <item x="616"/>
        <item x="1038"/>
        <item x="1205"/>
        <item x="980"/>
        <item x="172"/>
        <item x="646"/>
        <item x="152"/>
        <item x="966"/>
        <item x="436"/>
        <item x="891"/>
        <item x="351"/>
        <item x="920"/>
        <item x="130"/>
        <item x="42"/>
        <item x="210"/>
        <item x="984"/>
        <item x="213"/>
        <item x="935"/>
        <item x="88"/>
        <item x="514"/>
        <item x="1136"/>
        <item x="1207"/>
        <item x="304"/>
        <item x="386"/>
        <item x="808"/>
        <item x="332"/>
        <item x="1173"/>
        <item x="424"/>
        <item x="441"/>
        <item x="219"/>
        <item x="1172"/>
        <item x="510"/>
        <item x="1001"/>
        <item x="1060"/>
        <item x="799"/>
        <item x="1048"/>
        <item x="242"/>
        <item x="531"/>
        <item x="1078"/>
        <item x="340"/>
        <item x="420"/>
        <item x="712"/>
        <item x="987"/>
        <item x="815"/>
        <item x="526"/>
        <item x="1246"/>
        <item x="400"/>
        <item x="710"/>
        <item x="1077"/>
        <item x="148"/>
        <item x="41"/>
        <item x="1193"/>
        <item x="491"/>
        <item x="627"/>
        <item x="345"/>
        <item x="633"/>
        <item x="1118"/>
        <item x="1161"/>
        <item x="749"/>
        <item x="834"/>
        <item x="692"/>
        <item x="907"/>
        <item x="1008"/>
        <item x="740"/>
        <item x="775"/>
        <item x="171"/>
        <item x="74"/>
        <item x="1083"/>
        <item x="1043"/>
        <item x="251"/>
        <item x="283"/>
        <item x="406"/>
        <item x="746"/>
        <item x="184"/>
        <item x="549"/>
        <item x="218"/>
        <item x="176"/>
        <item x="435"/>
        <item x="394"/>
        <item x="928"/>
        <item x="1058"/>
        <item x="773"/>
        <item x="498"/>
        <item x="563"/>
        <item x="271"/>
        <item x="881"/>
        <item x="618"/>
        <item x="961"/>
        <item x="591"/>
        <item x="694"/>
        <item x="968"/>
        <item x="1036"/>
        <item x="937"/>
        <item x="763"/>
        <item x="239"/>
        <item x="521"/>
        <item x="603"/>
        <item x="110"/>
        <item x="81"/>
        <item x="538"/>
        <item x="245"/>
        <item x="455"/>
        <item x="8"/>
        <item x="547"/>
        <item x="639"/>
        <item x="715"/>
        <item x="415"/>
        <item x="713"/>
        <item x="1220"/>
        <item x="414"/>
        <item x="572"/>
        <item x="82"/>
        <item x="422"/>
        <item x="836"/>
        <item x="756"/>
        <item x="24"/>
        <item x="109"/>
        <item x="912"/>
        <item x="1123"/>
        <item x="292"/>
        <item x="1080"/>
        <item x="859"/>
        <item x="1091"/>
        <item x="811"/>
        <item x="951"/>
        <item x="1224"/>
        <item x="940"/>
        <item x="18"/>
        <item x="742"/>
        <item x="1084"/>
        <item x="382"/>
        <item x="617"/>
        <item x="143"/>
        <item x="201"/>
        <item x="923"/>
        <item x="269"/>
        <item x="385"/>
        <item x="570"/>
        <item x="404"/>
        <item x="39"/>
        <item x="226"/>
        <item x="847"/>
        <item x="138"/>
        <item x="1071"/>
        <item x="13"/>
        <item x="1228"/>
        <item x="1033"/>
        <item x="241"/>
        <item x="381"/>
        <item x="1240"/>
        <item x="181"/>
        <item x="574"/>
        <item x="494"/>
        <item x="25"/>
        <item x="1183"/>
        <item x="161"/>
        <item x="947"/>
        <item x="286"/>
        <item x="581"/>
        <item x="205"/>
        <item x="410"/>
        <item x="418"/>
        <item x="804"/>
        <item x="631"/>
        <item x="99"/>
        <item x="1082"/>
        <item x="117"/>
        <item x="188"/>
        <item x="989"/>
        <item x="360"/>
        <item x="197"/>
        <item x="930"/>
        <item x="413"/>
        <item x="1032"/>
        <item x="12"/>
        <item x="467"/>
        <item x="453"/>
        <item x="831"/>
        <item x="1169"/>
        <item x="699"/>
        <item x="866"/>
        <item x="789"/>
        <item x="471"/>
        <item x="433"/>
        <item x="1042"/>
        <item x="377"/>
        <item x="448"/>
        <item x="30"/>
        <item x="864"/>
        <item x="450"/>
        <item x="452"/>
        <item x="474"/>
        <item x="1122"/>
        <item x="959"/>
        <item x="1231"/>
        <item x="774"/>
        <item x="426"/>
        <item x="169"/>
        <item x="560"/>
        <item x="127"/>
        <item x="252"/>
        <item x="168"/>
        <item x="1153"/>
        <item x="680"/>
        <item x="285"/>
        <item x="121"/>
        <item x="1135"/>
        <item x="487"/>
        <item x="277"/>
        <item x="100"/>
        <item x="308"/>
        <item x="104"/>
        <item x="682"/>
        <item x="133"/>
        <item x="481"/>
        <item x="1028"/>
        <item x="1015"/>
        <item x="870"/>
        <item x="158"/>
        <item x="396"/>
        <item x="890"/>
        <item x="608"/>
        <item x="1087"/>
        <item x="865"/>
        <item x="931"/>
        <item x="757"/>
        <item x="261"/>
        <item x="701"/>
        <item x="665"/>
        <item x="22"/>
        <item x="134"/>
        <item x="898"/>
        <item x="548"/>
        <item x="159"/>
        <item x="550"/>
        <item x="1242"/>
        <item x="659"/>
        <item x="60"/>
        <item x="244"/>
        <item x="326"/>
        <item x="238"/>
        <item x="417"/>
        <item x="1064"/>
        <item x="788"/>
        <item x="681"/>
        <item x="1105"/>
        <item x="141"/>
        <item x="151"/>
        <item x="842"/>
        <item x="913"/>
        <item x="352"/>
        <item x="753"/>
        <item x="882"/>
        <item x="541"/>
        <item x="793"/>
        <item x="770"/>
        <item x="596"/>
        <item x="207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Revenue" fld="5" baseField="0" baseItem="0" numFmtId="4"/>
  </dataFields>
  <chartFormats count="2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74D285-C79B-4DFD-BB7B-4C9AF2D3B873}" name="Table3" displayName="Table3" ref="T3:U8" totalsRowShown="0">
  <autoFilter ref="T3:U8" xr:uid="{AA74D285-C79B-4DFD-BB7B-4C9AF2D3B873}"/>
  <tableColumns count="2">
    <tableColumn id="1" xr3:uid="{43577A3D-3D8F-421B-9622-ADD14FF5A26F}" name="Revenue"/>
    <tableColumn id="2" xr3:uid="{B78B9C58-E1FF-47F6-A866-2563FEA348DC}" name="Valu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Date" xr10:uid="{B433D031-9CEC-4AA0-AA45-11B4AE78CA14}" sourceName="OrderDate">
  <pivotTables>
    <pivotTable tabId="3" name="PivotTable12"/>
  </pivotTables>
  <state minimalRefreshVersion="6" lastRefreshVersion="6" pivotCacheId="59145182" filterType="unknown"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Date" xr10:uid="{16406534-D4AC-4A4D-911A-C596A89C7030}" cache="NativeTimeline_OrderDate" caption="OrderDate" level="2" selectionLevel="2" scrollPosition="2023-07-06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333A-BD54-4862-9587-D7354539B0D8}">
  <dimension ref="A3:I44"/>
  <sheetViews>
    <sheetView tabSelected="1" zoomScale="51" workbookViewId="0">
      <selection activeCell="I10" sqref="I10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12" customWidth="1"/>
    <col min="4" max="5" width="10.7265625" bestFit="1" customWidth="1"/>
    <col min="6" max="6" width="23.90625" bestFit="1" customWidth="1"/>
    <col min="7" max="7" width="15.26953125" bestFit="1" customWidth="1"/>
    <col min="8" max="8" width="8.81640625" bestFit="1" customWidth="1"/>
    <col min="9" max="9" width="17.36328125" customWidth="1"/>
    <col min="10" max="10" width="4.36328125" bestFit="1" customWidth="1"/>
    <col min="11" max="11" width="11.453125" customWidth="1"/>
    <col min="12" max="12" width="9.453125" customWidth="1"/>
    <col min="13" max="13" width="7.26953125" customWidth="1"/>
    <col min="14" max="14" width="9.54296875" customWidth="1"/>
    <col min="15" max="15" width="9.08984375" customWidth="1"/>
    <col min="16" max="16" width="11.6328125" customWidth="1"/>
    <col min="17" max="22" width="4.36328125" bestFit="1" customWidth="1"/>
    <col min="23" max="205" width="5.36328125" bestFit="1" customWidth="1"/>
    <col min="206" max="549" width="6.36328125" bestFit="1" customWidth="1"/>
    <col min="550" max="1094" width="7.90625" bestFit="1" customWidth="1"/>
    <col min="1095" max="1257" width="8.90625" bestFit="1" customWidth="1"/>
    <col min="1258" max="1258" width="10.7265625" bestFit="1" customWidth="1"/>
  </cols>
  <sheetData>
    <row r="3" spans="1:9" x14ac:dyDescent="0.35">
      <c r="A3" s="2" t="s">
        <v>1567</v>
      </c>
      <c r="B3" s="2" t="s">
        <v>1565</v>
      </c>
      <c r="H3" s="2" t="s">
        <v>1563</v>
      </c>
      <c r="I3" t="s">
        <v>1567</v>
      </c>
    </row>
    <row r="4" spans="1:9" x14ac:dyDescent="0.35">
      <c r="A4" s="2" t="s">
        <v>1563</v>
      </c>
      <c r="B4" t="s">
        <v>27</v>
      </c>
      <c r="C4" t="s">
        <v>11</v>
      </c>
      <c r="D4" t="s">
        <v>18</v>
      </c>
      <c r="E4" t="s">
        <v>1576</v>
      </c>
      <c r="F4" t="s">
        <v>1564</v>
      </c>
      <c r="H4" s="3" t="s">
        <v>1604</v>
      </c>
      <c r="I4" s="4">
        <v>8127722.2799999956</v>
      </c>
    </row>
    <row r="5" spans="1:9" x14ac:dyDescent="0.35">
      <c r="A5" s="3" t="s">
        <v>1573</v>
      </c>
      <c r="B5" s="4"/>
      <c r="C5" s="4"/>
      <c r="D5" s="4">
        <v>391312.59999999957</v>
      </c>
      <c r="E5" s="4"/>
      <c r="F5" s="4">
        <v>391312.59999999957</v>
      </c>
      <c r="H5" s="3" t="s">
        <v>1605</v>
      </c>
      <c r="I5" s="4">
        <v>5515540.9800000014</v>
      </c>
    </row>
    <row r="6" spans="1:9" x14ac:dyDescent="0.35">
      <c r="A6" s="3" t="s">
        <v>1574</v>
      </c>
      <c r="B6" s="4"/>
      <c r="C6" s="4">
        <v>1392352.1999999995</v>
      </c>
      <c r="D6" s="4">
        <v>255444.04000000004</v>
      </c>
      <c r="E6" s="4"/>
      <c r="F6" s="4">
        <v>1647796.2399999995</v>
      </c>
      <c r="H6" s="3" t="s">
        <v>1564</v>
      </c>
      <c r="I6" s="4">
        <v>13643263.259999998</v>
      </c>
    </row>
    <row r="7" spans="1:9" x14ac:dyDescent="0.35">
      <c r="A7" s="3" t="s">
        <v>1575</v>
      </c>
      <c r="B7" s="4">
        <v>9037248.5999999996</v>
      </c>
      <c r="C7" s="4">
        <v>2411662.8399999989</v>
      </c>
      <c r="D7" s="4">
        <v>155242.98000000004</v>
      </c>
      <c r="E7" s="4"/>
      <c r="F7" s="4">
        <v>11604154.419999998</v>
      </c>
    </row>
    <row r="8" spans="1:9" x14ac:dyDescent="0.35">
      <c r="A8" s="3" t="s">
        <v>1564</v>
      </c>
      <c r="B8" s="4">
        <v>9037248.5999999996</v>
      </c>
      <c r="C8" s="4">
        <v>3804015.0399999982</v>
      </c>
      <c r="D8" s="4">
        <v>801999.61999999965</v>
      </c>
      <c r="E8" s="4"/>
      <c r="F8" s="4">
        <v>13643263.259999998</v>
      </c>
    </row>
    <row r="12" spans="1:9" x14ac:dyDescent="0.35">
      <c r="A12" s="2" t="s">
        <v>1563</v>
      </c>
      <c r="B12" t="s">
        <v>1567</v>
      </c>
      <c r="D12" s="2" t="s">
        <v>1601</v>
      </c>
      <c r="E12" s="2" t="s">
        <v>1565</v>
      </c>
    </row>
    <row r="13" spans="1:9" x14ac:dyDescent="0.35">
      <c r="A13" s="3" t="s">
        <v>1602</v>
      </c>
      <c r="B13" s="4">
        <v>10019224.440000016</v>
      </c>
      <c r="D13" s="2" t="s">
        <v>1563</v>
      </c>
      <c r="E13" t="s">
        <v>1602</v>
      </c>
      <c r="F13" t="s">
        <v>1603</v>
      </c>
      <c r="G13" t="s">
        <v>1564</v>
      </c>
    </row>
    <row r="14" spans="1:9" x14ac:dyDescent="0.35">
      <c r="A14" s="3" t="s">
        <v>1603</v>
      </c>
      <c r="B14" s="4">
        <v>3624038.8200000003</v>
      </c>
      <c r="D14" s="3" t="s">
        <v>1573</v>
      </c>
      <c r="E14">
        <v>186</v>
      </c>
      <c r="F14">
        <v>89</v>
      </c>
      <c r="G14">
        <v>275</v>
      </c>
    </row>
    <row r="15" spans="1:9" x14ac:dyDescent="0.35">
      <c r="A15" s="3" t="s">
        <v>1564</v>
      </c>
      <c r="B15" s="4">
        <v>13643263.260000017</v>
      </c>
      <c r="D15" s="3" t="s">
        <v>1574</v>
      </c>
      <c r="E15">
        <v>245</v>
      </c>
      <c r="F15">
        <v>103</v>
      </c>
      <c r="G15">
        <v>348</v>
      </c>
    </row>
    <row r="16" spans="1:9" x14ac:dyDescent="0.35">
      <c r="D16" s="3" t="s">
        <v>1575</v>
      </c>
      <c r="E16">
        <v>656</v>
      </c>
      <c r="F16">
        <v>246</v>
      </c>
      <c r="G16">
        <v>902</v>
      </c>
    </row>
    <row r="17" spans="1:9" x14ac:dyDescent="0.35">
      <c r="D17" s="3" t="s">
        <v>1564</v>
      </c>
      <c r="E17">
        <v>1087</v>
      </c>
      <c r="F17">
        <v>438</v>
      </c>
      <c r="G17">
        <v>1525</v>
      </c>
    </row>
    <row r="19" spans="1:9" x14ac:dyDescent="0.35">
      <c r="A19" s="2" t="s">
        <v>1563</v>
      </c>
      <c r="B19" t="s">
        <v>1567</v>
      </c>
    </row>
    <row r="20" spans="1:9" x14ac:dyDescent="0.35">
      <c r="A20" s="3" t="s">
        <v>1577</v>
      </c>
      <c r="B20" s="4">
        <v>580446.72999999986</v>
      </c>
    </row>
    <row r="21" spans="1:9" x14ac:dyDescent="0.35">
      <c r="A21" s="3" t="s">
        <v>1578</v>
      </c>
      <c r="B21" s="4">
        <v>506251.48999999993</v>
      </c>
      <c r="D21" s="2" t="s">
        <v>1566</v>
      </c>
      <c r="E21" s="2" t="s">
        <v>1565</v>
      </c>
    </row>
    <row r="22" spans="1:9" x14ac:dyDescent="0.35">
      <c r="A22" s="3" t="s">
        <v>1579</v>
      </c>
      <c r="B22" s="4">
        <v>523589.61</v>
      </c>
      <c r="D22" s="2" t="s">
        <v>1563</v>
      </c>
      <c r="E22" t="s">
        <v>31</v>
      </c>
      <c r="F22" t="s">
        <v>21</v>
      </c>
      <c r="G22" t="s">
        <v>10</v>
      </c>
      <c r="H22" t="s">
        <v>26</v>
      </c>
      <c r="I22" t="s">
        <v>1564</v>
      </c>
    </row>
    <row r="23" spans="1:9" x14ac:dyDescent="0.35">
      <c r="A23" s="3" t="s">
        <v>1580</v>
      </c>
      <c r="B23" s="4">
        <v>421703.06</v>
      </c>
      <c r="D23" s="3" t="s">
        <v>1573</v>
      </c>
      <c r="E23" s="5">
        <v>1343</v>
      </c>
      <c r="F23" s="5">
        <v>1454</v>
      </c>
      <c r="G23" s="5">
        <v>1812</v>
      </c>
      <c r="H23" s="5">
        <v>1642</v>
      </c>
      <c r="I23" s="5">
        <v>6251</v>
      </c>
    </row>
    <row r="24" spans="1:9" x14ac:dyDescent="0.35">
      <c r="A24" s="3" t="s">
        <v>1581</v>
      </c>
      <c r="B24" s="4">
        <v>546820.00999999989</v>
      </c>
      <c r="D24" s="3" t="s">
        <v>1574</v>
      </c>
      <c r="E24" s="5">
        <v>908</v>
      </c>
      <c r="F24" s="5">
        <v>643</v>
      </c>
      <c r="G24" s="5">
        <v>806</v>
      </c>
      <c r="H24" s="5">
        <v>665</v>
      </c>
      <c r="I24" s="5">
        <v>3022</v>
      </c>
    </row>
    <row r="25" spans="1:9" x14ac:dyDescent="0.35">
      <c r="A25" s="3" t="s">
        <v>1582</v>
      </c>
      <c r="B25" s="4">
        <v>605649.98</v>
      </c>
      <c r="D25" s="3" t="s">
        <v>1575</v>
      </c>
      <c r="E25" s="5">
        <v>681</v>
      </c>
      <c r="F25" s="5">
        <v>723</v>
      </c>
      <c r="G25" s="5">
        <v>657</v>
      </c>
      <c r="H25" s="5">
        <v>627</v>
      </c>
      <c r="I25" s="5">
        <v>2688</v>
      </c>
    </row>
    <row r="26" spans="1:9" x14ac:dyDescent="0.35">
      <c r="A26" s="3" t="s">
        <v>1583</v>
      </c>
      <c r="B26" s="4">
        <v>511926.46000000008</v>
      </c>
      <c r="D26" s="3" t="s">
        <v>1564</v>
      </c>
      <c r="E26" s="5">
        <v>2932</v>
      </c>
      <c r="F26" s="5">
        <v>2820</v>
      </c>
      <c r="G26" s="5">
        <v>3275</v>
      </c>
      <c r="H26" s="5">
        <v>2934</v>
      </c>
      <c r="I26" s="5">
        <v>11961</v>
      </c>
    </row>
    <row r="27" spans="1:9" x14ac:dyDescent="0.35">
      <c r="A27" s="3" t="s">
        <v>1584</v>
      </c>
      <c r="B27" s="4">
        <v>457660.81</v>
      </c>
    </row>
    <row r="28" spans="1:9" x14ac:dyDescent="0.35">
      <c r="A28" s="3" t="s">
        <v>1585</v>
      </c>
      <c r="B28" s="4">
        <v>495722.25999999995</v>
      </c>
    </row>
    <row r="29" spans="1:9" x14ac:dyDescent="0.35">
      <c r="A29" s="3" t="s">
        <v>1586</v>
      </c>
      <c r="B29" s="4">
        <v>539724.15</v>
      </c>
    </row>
    <row r="30" spans="1:9" x14ac:dyDescent="0.35">
      <c r="A30" s="3" t="s">
        <v>1587</v>
      </c>
      <c r="B30" s="4">
        <v>475748.64</v>
      </c>
    </row>
    <row r="31" spans="1:9" x14ac:dyDescent="0.35">
      <c r="A31" s="3" t="s">
        <v>1588</v>
      </c>
      <c r="B31" s="4">
        <v>481114.10999999993</v>
      </c>
    </row>
    <row r="32" spans="1:9" x14ac:dyDescent="0.35">
      <c r="A32" s="3" t="s">
        <v>1589</v>
      </c>
      <c r="B32" s="4">
        <v>462414.78</v>
      </c>
    </row>
    <row r="33" spans="1:2" x14ac:dyDescent="0.35">
      <c r="A33" s="3" t="s">
        <v>1590</v>
      </c>
      <c r="B33" s="4">
        <v>742981.47</v>
      </c>
    </row>
    <row r="34" spans="1:2" x14ac:dyDescent="0.35">
      <c r="A34" s="3" t="s">
        <v>1591</v>
      </c>
      <c r="B34" s="4">
        <v>704845.31999999972</v>
      </c>
    </row>
    <row r="35" spans="1:2" x14ac:dyDescent="0.35">
      <c r="A35" s="3" t="s">
        <v>1592</v>
      </c>
      <c r="B35" s="4">
        <v>662612.53999999992</v>
      </c>
    </row>
    <row r="36" spans="1:2" x14ac:dyDescent="0.35">
      <c r="A36" s="3" t="s">
        <v>1593</v>
      </c>
      <c r="B36" s="4">
        <v>615190.08000000019</v>
      </c>
    </row>
    <row r="37" spans="1:2" x14ac:dyDescent="0.35">
      <c r="A37" s="3" t="s">
        <v>1594</v>
      </c>
      <c r="B37" s="4">
        <v>494026.59</v>
      </c>
    </row>
    <row r="38" spans="1:2" x14ac:dyDescent="0.35">
      <c r="A38" s="3" t="s">
        <v>1595</v>
      </c>
      <c r="B38" s="4">
        <v>690526.87000000023</v>
      </c>
    </row>
    <row r="39" spans="1:2" x14ac:dyDescent="0.35">
      <c r="A39" s="3" t="s">
        <v>1596</v>
      </c>
      <c r="B39" s="4">
        <v>609663.32999999973</v>
      </c>
    </row>
    <row r="40" spans="1:2" x14ac:dyDescent="0.35">
      <c r="A40" s="3" t="s">
        <v>1597</v>
      </c>
      <c r="B40" s="4">
        <v>398249.66999999993</v>
      </c>
    </row>
    <row r="41" spans="1:2" x14ac:dyDescent="0.35">
      <c r="A41" s="3" t="s">
        <v>1598</v>
      </c>
      <c r="B41" s="4">
        <v>846139.82999999984</v>
      </c>
    </row>
    <row r="42" spans="1:2" x14ac:dyDescent="0.35">
      <c r="A42" s="3" t="s">
        <v>1599</v>
      </c>
      <c r="B42" s="4">
        <v>586554.05999999994</v>
      </c>
    </row>
    <row r="43" spans="1:2" x14ac:dyDescent="0.35">
      <c r="A43" s="3" t="s">
        <v>1600</v>
      </c>
      <c r="B43" s="4">
        <v>683701.4099999998</v>
      </c>
    </row>
    <row r="44" spans="1:2" x14ac:dyDescent="0.35">
      <c r="A44" s="3" t="s">
        <v>1564</v>
      </c>
      <c r="B44" s="4">
        <v>13643263.26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29B1-C5D4-43FC-9740-7C4AEBC794DF}">
  <dimension ref="T3:AA11"/>
  <sheetViews>
    <sheetView tabSelected="1" zoomScale="75" zoomScaleNormal="100" workbookViewId="0">
      <selection activeCell="I10" sqref="I10"/>
    </sheetView>
  </sheetViews>
  <sheetFormatPr defaultRowHeight="14.5" x14ac:dyDescent="0.35"/>
  <cols>
    <col min="18" max="18" width="11.6328125" customWidth="1"/>
    <col min="19" max="19" width="12.81640625" customWidth="1"/>
    <col min="21" max="21" width="14.1796875" customWidth="1"/>
    <col min="26" max="26" width="10.54296875" customWidth="1"/>
    <col min="27" max="27" width="18.26953125" customWidth="1"/>
    <col min="29" max="29" width="10" customWidth="1"/>
    <col min="30" max="30" width="12.26953125" bestFit="1" customWidth="1"/>
  </cols>
  <sheetData>
    <row r="3" spans="20:27" x14ac:dyDescent="0.35">
      <c r="T3" t="s">
        <v>5</v>
      </c>
      <c r="U3" t="s">
        <v>1611</v>
      </c>
    </row>
    <row r="4" spans="20:27" x14ac:dyDescent="0.35">
      <c r="T4" t="s">
        <v>1606</v>
      </c>
      <c r="U4" s="4">
        <f>SUM(sales_data!F:F)</f>
        <v>13643263.259999998</v>
      </c>
    </row>
    <row r="5" spans="20:27" x14ac:dyDescent="0.35">
      <c r="T5" t="s">
        <v>1607</v>
      </c>
      <c r="U5" s="4">
        <f>AVERAGE(sales_data!F:F)</f>
        <v>8946.4021377049175</v>
      </c>
    </row>
    <row r="6" spans="20:27" x14ac:dyDescent="0.35">
      <c r="T6" t="s">
        <v>1608</v>
      </c>
      <c r="U6" s="6">
        <f>MEDIAN(sales_data!F:F)</f>
        <v>3168.55</v>
      </c>
    </row>
    <row r="7" spans="20:27" x14ac:dyDescent="0.35">
      <c r="T7" t="s">
        <v>1610</v>
      </c>
      <c r="U7" s="4">
        <f>MAX(sales_data!F:F)</f>
        <v>44972.31</v>
      </c>
    </row>
    <row r="8" spans="20:27" x14ac:dyDescent="0.35">
      <c r="T8" t="s">
        <v>1609</v>
      </c>
      <c r="U8" s="4">
        <f>MAX(sales_data!F:F)</f>
        <v>44972.31</v>
      </c>
    </row>
    <row r="10" spans="20:27" x14ac:dyDescent="0.35">
      <c r="AA10" s="4"/>
    </row>
    <row r="11" spans="20:27" x14ac:dyDescent="0.35">
      <c r="AA11" s="4"/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F2F0-F64E-4C5F-8319-3B1DC6D2D675}">
  <dimension ref="A1:M1526"/>
  <sheetViews>
    <sheetView tabSelected="1" topLeftCell="E1" workbookViewId="0">
      <selection activeCell="I10" sqref="I10"/>
    </sheetView>
  </sheetViews>
  <sheetFormatPr defaultRowHeight="14.5" x14ac:dyDescent="0.35"/>
  <cols>
    <col min="1" max="1" width="16.26953125" customWidth="1"/>
    <col min="2" max="2" width="15.90625" style="1" customWidth="1"/>
    <col min="3" max="3" width="18.36328125" customWidth="1"/>
    <col min="5" max="5" width="19.1796875" customWidth="1"/>
    <col min="6" max="6" width="9.81640625" style="4" bestFit="1" customWidth="1"/>
    <col min="7" max="7" width="8.7265625" style="5"/>
    <col min="9" max="9" width="12.7265625" customWidth="1"/>
    <col min="10" max="10" width="9.81640625" style="4" bestFit="1" customWidth="1"/>
    <col min="11" max="11" width="10.26953125" customWidth="1"/>
    <col min="12" max="12" width="17.36328125" customWidth="1"/>
  </cols>
  <sheetData>
    <row r="1" spans="1:13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4" t="s">
        <v>5</v>
      </c>
      <c r="G1" s="5" t="s">
        <v>6</v>
      </c>
      <c r="H1" t="s">
        <v>7</v>
      </c>
      <c r="I1" t="s">
        <v>1568</v>
      </c>
      <c r="J1" s="4" t="s">
        <v>1569</v>
      </c>
      <c r="K1" t="s">
        <v>1570</v>
      </c>
      <c r="L1" t="s">
        <v>1571</v>
      </c>
      <c r="M1" t="s">
        <v>1572</v>
      </c>
    </row>
    <row r="2" spans="1:13" x14ac:dyDescent="0.35">
      <c r="A2" t="s">
        <v>8</v>
      </c>
      <c r="B2" s="1">
        <v>45522</v>
      </c>
      <c r="C2" t="s">
        <v>9</v>
      </c>
      <c r="D2" t="s">
        <v>10</v>
      </c>
      <c r="E2" t="s">
        <v>11</v>
      </c>
      <c r="F2" s="4">
        <v>0</v>
      </c>
      <c r="G2" s="5">
        <v>3</v>
      </c>
      <c r="H2" t="s">
        <v>12</v>
      </c>
      <c r="I2" t="str">
        <f>TEXT(B2, "YYYY-MM")</f>
        <v>2024-08</v>
      </c>
      <c r="J2" s="4">
        <f>IFERROR(F2/G2, 0)</f>
        <v>0</v>
      </c>
      <c r="K2" t="str" cm="1">
        <f t="array" ref="K2">_xlfn.IFS(G2&lt;=5, "Small", G2&lt;=15, "Medium", G2&gt;15, "Large")</f>
        <v>Small</v>
      </c>
      <c r="L2" t="str">
        <f>IF(F2&gt;_xlfn.PERCENTILE.INC($F$2:$F$10000, 0.9), "VIP", "Standard")</f>
        <v>Standard</v>
      </c>
      <c r="M2" t="str">
        <f>IF(WEEKDAY(B2, 2)&gt;5, "Weekend", "Weekday")</f>
        <v>Weekend</v>
      </c>
    </row>
    <row r="3" spans="1:13" x14ac:dyDescent="0.35">
      <c r="A3" t="s">
        <v>13</v>
      </c>
      <c r="B3" s="1">
        <v>45222</v>
      </c>
      <c r="C3" t="s">
        <v>14</v>
      </c>
      <c r="D3" t="s">
        <v>10</v>
      </c>
      <c r="E3" t="s">
        <v>11</v>
      </c>
      <c r="F3" s="4">
        <v>5911.62</v>
      </c>
      <c r="G3" s="5">
        <v>6</v>
      </c>
      <c r="H3" t="s">
        <v>15</v>
      </c>
      <c r="I3" t="str">
        <f t="shared" ref="I3:I66" si="0">TEXT(B3, "YYYY-MM")</f>
        <v>2023-10</v>
      </c>
      <c r="J3" s="4">
        <f t="shared" ref="J3:J66" si="1">IFERROR(F3/G3, 0)</f>
        <v>985.27</v>
      </c>
      <c r="K3" t="str" cm="1">
        <f t="array" ref="K3">_xlfn.IFS(G3&lt;=5, "Small", G3&lt;=15, "Medium", G3&gt;15, "Large")</f>
        <v>Medium</v>
      </c>
      <c r="L3" t="str">
        <f t="shared" ref="L3:L66" si="2">IF(F3&gt;_xlfn.PERCENTILE.INC($F$2:$F$10000, 0.9), "VIP", "Standard")</f>
        <v>Standard</v>
      </c>
      <c r="M3" t="str">
        <f t="shared" ref="M3:M66" si="3">IF(WEEKDAY(B3, 2)&gt;5, "Weekend", "Weekday")</f>
        <v>Weekday</v>
      </c>
    </row>
    <row r="4" spans="1:13" x14ac:dyDescent="0.35">
      <c r="A4" t="s">
        <v>16</v>
      </c>
      <c r="B4" s="1">
        <v>45167</v>
      </c>
      <c r="C4" t="s">
        <v>17</v>
      </c>
      <c r="D4" t="s">
        <v>10</v>
      </c>
      <c r="E4" t="s">
        <v>18</v>
      </c>
      <c r="F4" s="4">
        <v>899.44</v>
      </c>
      <c r="G4" s="5">
        <v>20</v>
      </c>
      <c r="H4" t="s">
        <v>15</v>
      </c>
      <c r="I4" t="str">
        <f t="shared" si="0"/>
        <v>2023-08</v>
      </c>
      <c r="J4" s="4">
        <f t="shared" si="1"/>
        <v>44.972000000000001</v>
      </c>
      <c r="K4" t="str" cm="1">
        <f t="array" ref="K4">_xlfn.IFS(G4&lt;=5, "Small", G4&lt;=15, "Medium", G4&gt;15, "Large")</f>
        <v>Large</v>
      </c>
      <c r="L4" t="str">
        <f t="shared" si="2"/>
        <v>Standard</v>
      </c>
      <c r="M4" t="str">
        <f t="shared" si="3"/>
        <v>Weekday</v>
      </c>
    </row>
    <row r="5" spans="1:13" x14ac:dyDescent="0.35">
      <c r="A5" t="s">
        <v>19</v>
      </c>
      <c r="B5" s="1">
        <v>44934</v>
      </c>
      <c r="C5" t="s">
        <v>20</v>
      </c>
      <c r="D5" t="s">
        <v>21</v>
      </c>
      <c r="E5" t="s">
        <v>18</v>
      </c>
      <c r="F5" s="4">
        <v>74.819999999999993</v>
      </c>
      <c r="G5" s="5">
        <v>21</v>
      </c>
      <c r="H5" t="s">
        <v>15</v>
      </c>
      <c r="I5" t="str">
        <f t="shared" si="0"/>
        <v>2023-01</v>
      </c>
      <c r="J5" s="4">
        <f t="shared" si="1"/>
        <v>3.5628571428571427</v>
      </c>
      <c r="K5" t="str" cm="1">
        <f t="array" ref="K5">_xlfn.IFS(G5&lt;=5, "Small", G5&lt;=15, "Medium", G5&gt;15, "Large")</f>
        <v>Large</v>
      </c>
      <c r="L5" t="str">
        <f t="shared" si="2"/>
        <v>Standard</v>
      </c>
      <c r="M5" t="str">
        <f t="shared" si="3"/>
        <v>Weekend</v>
      </c>
    </row>
    <row r="6" spans="1:13" x14ac:dyDescent="0.35">
      <c r="A6" t="s">
        <v>22</v>
      </c>
      <c r="B6" s="1">
        <v>45600</v>
      </c>
      <c r="C6" t="s">
        <v>23</v>
      </c>
      <c r="D6" t="s">
        <v>21</v>
      </c>
      <c r="E6" t="s">
        <v>18</v>
      </c>
      <c r="F6" s="4">
        <v>1110.9100000000001</v>
      </c>
      <c r="G6" s="5">
        <v>7</v>
      </c>
      <c r="H6" t="s">
        <v>15</v>
      </c>
      <c r="I6" t="str">
        <f t="shared" si="0"/>
        <v>2024-11</v>
      </c>
      <c r="J6" s="4">
        <f t="shared" si="1"/>
        <v>158.70142857142858</v>
      </c>
      <c r="K6" t="str" cm="1">
        <f t="array" ref="K6">_xlfn.IFS(G6&lt;=5, "Small", G6&lt;=15, "Medium", G6&gt;15, "Large")</f>
        <v>Medium</v>
      </c>
      <c r="L6" t="str">
        <f t="shared" si="2"/>
        <v>Standard</v>
      </c>
      <c r="M6" t="str">
        <f t="shared" si="3"/>
        <v>Weekday</v>
      </c>
    </row>
    <row r="7" spans="1:13" x14ac:dyDescent="0.35">
      <c r="A7" t="s">
        <v>24</v>
      </c>
      <c r="B7" s="1">
        <v>45392</v>
      </c>
      <c r="C7" t="s">
        <v>25</v>
      </c>
      <c r="D7" t="s">
        <v>26</v>
      </c>
      <c r="E7" t="s">
        <v>27</v>
      </c>
      <c r="F7" s="4">
        <v>0</v>
      </c>
      <c r="G7" s="5">
        <v>1</v>
      </c>
      <c r="H7" t="s">
        <v>28</v>
      </c>
      <c r="I7" t="str">
        <f t="shared" si="0"/>
        <v>2024-04</v>
      </c>
      <c r="J7" s="4">
        <f t="shared" si="1"/>
        <v>0</v>
      </c>
      <c r="K7" t="str" cm="1">
        <f t="array" ref="K7">_xlfn.IFS(G7&lt;=5, "Small", G7&lt;=15, "Medium", G7&gt;15, "Large")</f>
        <v>Small</v>
      </c>
      <c r="L7" t="str">
        <f t="shared" si="2"/>
        <v>Standard</v>
      </c>
      <c r="M7" t="str">
        <f t="shared" si="3"/>
        <v>Weekday</v>
      </c>
    </row>
    <row r="8" spans="1:13" x14ac:dyDescent="0.35">
      <c r="A8" t="s">
        <v>29</v>
      </c>
      <c r="B8" s="1">
        <v>45160</v>
      </c>
      <c r="C8" t="s">
        <v>30</v>
      </c>
      <c r="D8" t="s">
        <v>31</v>
      </c>
      <c r="E8" t="s">
        <v>11</v>
      </c>
      <c r="F8" s="4">
        <v>15696.99</v>
      </c>
      <c r="G8" s="5">
        <v>7</v>
      </c>
      <c r="H8" t="s">
        <v>15</v>
      </c>
      <c r="I8" t="str">
        <f t="shared" si="0"/>
        <v>2023-08</v>
      </c>
      <c r="J8" s="4">
        <f t="shared" si="1"/>
        <v>2242.4271428571428</v>
      </c>
      <c r="K8" t="str" cm="1">
        <f t="array" ref="K8">_xlfn.IFS(G8&lt;=5, "Small", G8&lt;=15, "Medium", G8&gt;15, "Large")</f>
        <v>Medium</v>
      </c>
      <c r="L8" t="str">
        <f t="shared" si="2"/>
        <v>Standard</v>
      </c>
      <c r="M8" t="str">
        <f t="shared" si="3"/>
        <v>Weekday</v>
      </c>
    </row>
    <row r="9" spans="1:13" x14ac:dyDescent="0.35">
      <c r="A9" t="s">
        <v>32</v>
      </c>
      <c r="B9" s="1">
        <v>45279</v>
      </c>
      <c r="C9" t="s">
        <v>33</v>
      </c>
      <c r="D9" t="s">
        <v>10</v>
      </c>
      <c r="E9" t="s">
        <v>18</v>
      </c>
      <c r="F9" s="4">
        <v>3453.15</v>
      </c>
      <c r="G9" s="5">
        <v>13</v>
      </c>
      <c r="H9" t="s">
        <v>15</v>
      </c>
      <c r="I9" t="str">
        <f t="shared" si="0"/>
        <v>2023-12</v>
      </c>
      <c r="J9" s="4">
        <f t="shared" si="1"/>
        <v>265.62692307692311</v>
      </c>
      <c r="K9" t="str" cm="1">
        <f t="array" ref="K9">_xlfn.IFS(G9&lt;=5, "Small", G9&lt;=15, "Medium", G9&gt;15, "Large")</f>
        <v>Medium</v>
      </c>
      <c r="L9" t="str">
        <f t="shared" si="2"/>
        <v>Standard</v>
      </c>
      <c r="M9" t="str">
        <f t="shared" si="3"/>
        <v>Weekday</v>
      </c>
    </row>
    <row r="10" spans="1:13" x14ac:dyDescent="0.35">
      <c r="A10" t="s">
        <v>34</v>
      </c>
      <c r="B10" s="1">
        <v>45041</v>
      </c>
      <c r="C10" t="s">
        <v>35</v>
      </c>
      <c r="D10" t="s">
        <v>31</v>
      </c>
      <c r="E10" t="s">
        <v>18</v>
      </c>
      <c r="F10" s="4">
        <v>2599.44</v>
      </c>
      <c r="G10" s="5">
        <v>22</v>
      </c>
      <c r="H10" t="s">
        <v>15</v>
      </c>
      <c r="I10" t="str">
        <f t="shared" si="0"/>
        <v>2023-04</v>
      </c>
      <c r="J10" s="4">
        <f t="shared" si="1"/>
        <v>118.15636363636364</v>
      </c>
      <c r="K10" t="str" cm="1">
        <f t="array" ref="K10">_xlfn.IFS(G10&lt;=5, "Small", G10&lt;=15, "Medium", G10&gt;15, "Large")</f>
        <v>Large</v>
      </c>
      <c r="L10" t="str">
        <f t="shared" si="2"/>
        <v>Standard</v>
      </c>
      <c r="M10" t="str">
        <f t="shared" si="3"/>
        <v>Weekday</v>
      </c>
    </row>
    <row r="11" spans="1:13" x14ac:dyDescent="0.35">
      <c r="A11" t="s">
        <v>36</v>
      </c>
      <c r="B11" s="1">
        <v>45637</v>
      </c>
      <c r="C11" t="s">
        <v>37</v>
      </c>
      <c r="D11" t="s">
        <v>21</v>
      </c>
      <c r="E11" t="s">
        <v>27</v>
      </c>
      <c r="F11" s="4">
        <v>41424.92</v>
      </c>
      <c r="G11" s="5">
        <v>4</v>
      </c>
      <c r="H11" t="s">
        <v>15</v>
      </c>
      <c r="I11" t="str">
        <f t="shared" si="0"/>
        <v>2024-12</v>
      </c>
      <c r="J11" s="4">
        <f t="shared" si="1"/>
        <v>10356.23</v>
      </c>
      <c r="K11" t="str" cm="1">
        <f t="array" ref="K11">_xlfn.IFS(G11&lt;=5, "Small", G11&lt;=15, "Medium", G11&gt;15, "Large")</f>
        <v>Small</v>
      </c>
      <c r="L11" t="str">
        <f t="shared" si="2"/>
        <v>VIP</v>
      </c>
      <c r="M11" t="str">
        <f t="shared" si="3"/>
        <v>Weekday</v>
      </c>
    </row>
    <row r="12" spans="1:13" x14ac:dyDescent="0.35">
      <c r="A12" t="s">
        <v>38</v>
      </c>
      <c r="B12" s="1">
        <v>45632</v>
      </c>
      <c r="C12" t="s">
        <v>33</v>
      </c>
      <c r="D12" t="s">
        <v>10</v>
      </c>
      <c r="E12" t="s">
        <v>11</v>
      </c>
      <c r="F12" s="4">
        <v>1178.82</v>
      </c>
      <c r="G12" s="5">
        <v>4</v>
      </c>
      <c r="H12" t="s">
        <v>15</v>
      </c>
      <c r="I12" t="str">
        <f t="shared" si="0"/>
        <v>2024-12</v>
      </c>
      <c r="J12" s="4">
        <f t="shared" si="1"/>
        <v>294.70499999999998</v>
      </c>
      <c r="K12" t="str" cm="1">
        <f t="array" ref="K12">_xlfn.IFS(G12&lt;=5, "Small", G12&lt;=15, "Medium", G12&gt;15, "Large")</f>
        <v>Small</v>
      </c>
      <c r="L12" t="str">
        <f t="shared" si="2"/>
        <v>Standard</v>
      </c>
      <c r="M12" t="str">
        <f t="shared" si="3"/>
        <v>Weekday</v>
      </c>
    </row>
    <row r="13" spans="1:13" x14ac:dyDescent="0.35">
      <c r="A13" t="s">
        <v>39</v>
      </c>
      <c r="B13" s="1">
        <v>45484</v>
      </c>
      <c r="C13" t="s">
        <v>40</v>
      </c>
      <c r="D13" t="s">
        <v>26</v>
      </c>
      <c r="E13" t="s">
        <v>27</v>
      </c>
      <c r="F13" s="4">
        <v>11740.03</v>
      </c>
      <c r="G13" s="5">
        <v>3</v>
      </c>
      <c r="H13" t="s">
        <v>15</v>
      </c>
      <c r="I13" t="str">
        <f t="shared" si="0"/>
        <v>2024-07</v>
      </c>
      <c r="J13" s="4">
        <f t="shared" si="1"/>
        <v>3913.3433333333337</v>
      </c>
      <c r="K13" t="str" cm="1">
        <f t="array" ref="K13">_xlfn.IFS(G13&lt;=5, "Small", G13&lt;=15, "Medium", G13&gt;15, "Large")</f>
        <v>Small</v>
      </c>
      <c r="L13" t="str">
        <f t="shared" si="2"/>
        <v>Standard</v>
      </c>
      <c r="M13" t="str">
        <f t="shared" si="3"/>
        <v>Weekday</v>
      </c>
    </row>
    <row r="14" spans="1:13" x14ac:dyDescent="0.35">
      <c r="A14" t="s">
        <v>41</v>
      </c>
      <c r="B14" s="1">
        <v>45511</v>
      </c>
      <c r="C14" t="s">
        <v>42</v>
      </c>
      <c r="D14" t="s">
        <v>10</v>
      </c>
      <c r="E14" t="s">
        <v>18</v>
      </c>
      <c r="F14" s="4">
        <v>3440.5</v>
      </c>
      <c r="G14" s="5">
        <v>5</v>
      </c>
      <c r="H14" t="s">
        <v>15</v>
      </c>
      <c r="I14" t="str">
        <f t="shared" si="0"/>
        <v>2024-08</v>
      </c>
      <c r="J14" s="4">
        <f t="shared" si="1"/>
        <v>688.1</v>
      </c>
      <c r="K14" t="str" cm="1">
        <f t="array" ref="K14">_xlfn.IFS(G14&lt;=5, "Small", G14&lt;=15, "Medium", G14&gt;15, "Large")</f>
        <v>Small</v>
      </c>
      <c r="L14" t="str">
        <f t="shared" si="2"/>
        <v>Standard</v>
      </c>
      <c r="M14" t="str">
        <f t="shared" si="3"/>
        <v>Weekday</v>
      </c>
    </row>
    <row r="15" spans="1:13" x14ac:dyDescent="0.35">
      <c r="A15" t="s">
        <v>43</v>
      </c>
      <c r="B15" s="1">
        <v>45533</v>
      </c>
      <c r="C15" t="s">
        <v>20</v>
      </c>
      <c r="D15" t="s">
        <v>21</v>
      </c>
      <c r="E15" t="s">
        <v>27</v>
      </c>
      <c r="F15" s="4">
        <v>29209.53</v>
      </c>
      <c r="G15" s="5">
        <v>2</v>
      </c>
      <c r="H15" t="s">
        <v>15</v>
      </c>
      <c r="I15" t="str">
        <f t="shared" si="0"/>
        <v>2024-08</v>
      </c>
      <c r="J15" s="4">
        <f t="shared" si="1"/>
        <v>14604.764999999999</v>
      </c>
      <c r="K15" t="str" cm="1">
        <f t="array" ref="K15">_xlfn.IFS(G15&lt;=5, "Small", G15&lt;=15, "Medium", G15&gt;15, "Large")</f>
        <v>Small</v>
      </c>
      <c r="L15" t="str">
        <f t="shared" si="2"/>
        <v>VIP</v>
      </c>
      <c r="M15" t="str">
        <f t="shared" si="3"/>
        <v>Weekday</v>
      </c>
    </row>
    <row r="16" spans="1:13" x14ac:dyDescent="0.35">
      <c r="A16" t="s">
        <v>44</v>
      </c>
      <c r="B16" s="1">
        <v>45359</v>
      </c>
      <c r="C16" t="s">
        <v>45</v>
      </c>
      <c r="D16" t="s">
        <v>21</v>
      </c>
      <c r="E16" t="s">
        <v>27</v>
      </c>
      <c r="F16" s="4">
        <v>37997.99</v>
      </c>
      <c r="G16" s="5">
        <v>3</v>
      </c>
      <c r="H16" t="s">
        <v>15</v>
      </c>
      <c r="I16" t="str">
        <f t="shared" si="0"/>
        <v>2024-03</v>
      </c>
      <c r="J16" s="4">
        <f t="shared" si="1"/>
        <v>12665.996666666666</v>
      </c>
      <c r="K16" t="str" cm="1">
        <f t="array" ref="K16">_xlfn.IFS(G16&lt;=5, "Small", G16&lt;=15, "Medium", G16&gt;15, "Large")</f>
        <v>Small</v>
      </c>
      <c r="L16" t="str">
        <f t="shared" si="2"/>
        <v>VIP</v>
      </c>
      <c r="M16" t="str">
        <f t="shared" si="3"/>
        <v>Weekday</v>
      </c>
    </row>
    <row r="17" spans="1:13" x14ac:dyDescent="0.35">
      <c r="A17" t="s">
        <v>46</v>
      </c>
      <c r="B17" s="1">
        <v>45256</v>
      </c>
      <c r="C17" t="s">
        <v>9</v>
      </c>
      <c r="D17" t="s">
        <v>10</v>
      </c>
      <c r="E17" t="s">
        <v>18</v>
      </c>
      <c r="F17" s="4">
        <v>0</v>
      </c>
      <c r="G17" s="5">
        <v>30</v>
      </c>
      <c r="H17" t="s">
        <v>28</v>
      </c>
      <c r="I17" t="str">
        <f t="shared" si="0"/>
        <v>2023-11</v>
      </c>
      <c r="J17" s="4">
        <f t="shared" si="1"/>
        <v>0</v>
      </c>
      <c r="K17" t="str" cm="1">
        <f t="array" ref="K17">_xlfn.IFS(G17&lt;=5, "Small", G17&lt;=15, "Medium", G17&gt;15, "Large")</f>
        <v>Large</v>
      </c>
      <c r="L17" t="str">
        <f t="shared" si="2"/>
        <v>Standard</v>
      </c>
      <c r="M17" t="str">
        <f t="shared" si="3"/>
        <v>Weekend</v>
      </c>
    </row>
    <row r="18" spans="1:13" x14ac:dyDescent="0.35">
      <c r="A18" t="s">
        <v>47</v>
      </c>
      <c r="B18" s="1">
        <v>45098</v>
      </c>
      <c r="C18" t="s">
        <v>48</v>
      </c>
      <c r="D18" t="s">
        <v>31</v>
      </c>
      <c r="E18" t="s">
        <v>18</v>
      </c>
      <c r="F18" s="4">
        <v>275.88</v>
      </c>
      <c r="G18" s="5">
        <v>22</v>
      </c>
      <c r="H18" t="s">
        <v>15</v>
      </c>
      <c r="I18" t="str">
        <f t="shared" si="0"/>
        <v>2023-06</v>
      </c>
      <c r="J18" s="4">
        <f t="shared" si="1"/>
        <v>12.54</v>
      </c>
      <c r="K18" t="str" cm="1">
        <f t="array" ref="K18">_xlfn.IFS(G18&lt;=5, "Small", G18&lt;=15, "Medium", G18&gt;15, "Large")</f>
        <v>Large</v>
      </c>
      <c r="L18" t="str">
        <f t="shared" si="2"/>
        <v>Standard</v>
      </c>
      <c r="M18" t="str">
        <f t="shared" si="3"/>
        <v>Weekday</v>
      </c>
    </row>
    <row r="19" spans="1:13" x14ac:dyDescent="0.35">
      <c r="A19" t="s">
        <v>49</v>
      </c>
      <c r="B19" s="1">
        <v>45137</v>
      </c>
      <c r="C19" t="s">
        <v>50</v>
      </c>
      <c r="D19" t="s">
        <v>26</v>
      </c>
      <c r="E19" t="s">
        <v>18</v>
      </c>
      <c r="F19" s="4">
        <v>2343.5300000000002</v>
      </c>
      <c r="G19" s="5">
        <v>6</v>
      </c>
      <c r="H19" t="s">
        <v>15</v>
      </c>
      <c r="I19" t="str">
        <f t="shared" si="0"/>
        <v>2023-07</v>
      </c>
      <c r="J19" s="4">
        <f t="shared" si="1"/>
        <v>390.58833333333337</v>
      </c>
      <c r="K19" t="str" cm="1">
        <f t="array" ref="K19">_xlfn.IFS(G19&lt;=5, "Small", G19&lt;=15, "Medium", G19&gt;15, "Large")</f>
        <v>Medium</v>
      </c>
      <c r="L19" t="str">
        <f t="shared" si="2"/>
        <v>Standard</v>
      </c>
      <c r="M19" t="str">
        <f t="shared" si="3"/>
        <v>Weekend</v>
      </c>
    </row>
    <row r="20" spans="1:13" x14ac:dyDescent="0.35">
      <c r="A20" t="s">
        <v>51</v>
      </c>
      <c r="B20" s="1">
        <v>45170</v>
      </c>
      <c r="C20" t="s">
        <v>45</v>
      </c>
      <c r="D20" t="s">
        <v>21</v>
      </c>
      <c r="E20" t="s">
        <v>18</v>
      </c>
      <c r="F20" s="4">
        <v>3012.52</v>
      </c>
      <c r="G20" s="5">
        <v>14</v>
      </c>
      <c r="H20" t="s">
        <v>15</v>
      </c>
      <c r="I20" t="str">
        <f t="shared" si="0"/>
        <v>2023-09</v>
      </c>
      <c r="J20" s="4">
        <f t="shared" si="1"/>
        <v>215.18</v>
      </c>
      <c r="K20" t="str" cm="1">
        <f t="array" ref="K20">_xlfn.IFS(G20&lt;=5, "Small", G20&lt;=15, "Medium", G20&gt;15, "Large")</f>
        <v>Medium</v>
      </c>
      <c r="L20" t="str">
        <f t="shared" si="2"/>
        <v>Standard</v>
      </c>
      <c r="M20" t="str">
        <f t="shared" si="3"/>
        <v>Weekday</v>
      </c>
    </row>
    <row r="21" spans="1:13" x14ac:dyDescent="0.35">
      <c r="A21" t="s">
        <v>52</v>
      </c>
      <c r="B21" s="1">
        <v>45391</v>
      </c>
      <c r="C21" t="s">
        <v>53</v>
      </c>
      <c r="D21" t="s">
        <v>31</v>
      </c>
      <c r="E21" t="s">
        <v>18</v>
      </c>
      <c r="F21" s="4">
        <v>1708.91</v>
      </c>
      <c r="G21" s="5">
        <v>11</v>
      </c>
      <c r="H21" t="s">
        <v>15</v>
      </c>
      <c r="I21" t="str">
        <f t="shared" si="0"/>
        <v>2024-04</v>
      </c>
      <c r="J21" s="4">
        <f t="shared" si="1"/>
        <v>155.35545454545456</v>
      </c>
      <c r="K21" t="str" cm="1">
        <f t="array" ref="K21">_xlfn.IFS(G21&lt;=5, "Small", G21&lt;=15, "Medium", G21&gt;15, "Large")</f>
        <v>Medium</v>
      </c>
      <c r="L21" t="str">
        <f t="shared" si="2"/>
        <v>Standard</v>
      </c>
      <c r="M21" t="str">
        <f t="shared" si="3"/>
        <v>Weekday</v>
      </c>
    </row>
    <row r="22" spans="1:13" x14ac:dyDescent="0.35">
      <c r="A22" t="s">
        <v>54</v>
      </c>
      <c r="B22" s="1">
        <v>45366</v>
      </c>
      <c r="C22" t="s">
        <v>55</v>
      </c>
      <c r="D22" t="s">
        <v>21</v>
      </c>
      <c r="E22" t="s">
        <v>11</v>
      </c>
      <c r="F22" s="4">
        <v>0</v>
      </c>
      <c r="G22" s="5">
        <v>0</v>
      </c>
      <c r="H22" t="s">
        <v>15</v>
      </c>
      <c r="I22" t="str">
        <f t="shared" si="0"/>
        <v>2024-03</v>
      </c>
      <c r="J22" s="4">
        <f t="shared" si="1"/>
        <v>0</v>
      </c>
      <c r="K22" t="str" cm="1">
        <f t="array" ref="K22">_xlfn.IFS(G22&lt;=5, "Small", G22&lt;=15, "Medium", G22&gt;15, "Large")</f>
        <v>Small</v>
      </c>
      <c r="L22" t="str">
        <f t="shared" si="2"/>
        <v>Standard</v>
      </c>
      <c r="M22" t="str">
        <f t="shared" si="3"/>
        <v>Weekday</v>
      </c>
    </row>
    <row r="23" spans="1:13" x14ac:dyDescent="0.35">
      <c r="A23" t="s">
        <v>56</v>
      </c>
      <c r="B23" s="1">
        <v>45507</v>
      </c>
      <c r="C23" t="s">
        <v>9</v>
      </c>
      <c r="D23" t="s">
        <v>10</v>
      </c>
      <c r="E23" t="s">
        <v>27</v>
      </c>
      <c r="F23" s="4">
        <v>0</v>
      </c>
      <c r="G23" s="5">
        <v>1</v>
      </c>
      <c r="H23" t="s">
        <v>28</v>
      </c>
      <c r="I23" t="str">
        <f t="shared" si="0"/>
        <v>2024-08</v>
      </c>
      <c r="J23" s="4">
        <f t="shared" si="1"/>
        <v>0</v>
      </c>
      <c r="K23" t="str" cm="1">
        <f t="array" ref="K23">_xlfn.IFS(G23&lt;=5, "Small", G23&lt;=15, "Medium", G23&gt;15, "Large")</f>
        <v>Small</v>
      </c>
      <c r="L23" t="str">
        <f t="shared" si="2"/>
        <v>Standard</v>
      </c>
      <c r="M23" t="str">
        <f t="shared" si="3"/>
        <v>Weekend</v>
      </c>
    </row>
    <row r="24" spans="1:13" x14ac:dyDescent="0.35">
      <c r="A24" t="s">
        <v>57</v>
      </c>
      <c r="B24" s="1">
        <v>45433</v>
      </c>
      <c r="C24" t="s">
        <v>58</v>
      </c>
      <c r="D24" t="s">
        <v>31</v>
      </c>
      <c r="E24" t="s">
        <v>11</v>
      </c>
      <c r="F24" s="4">
        <v>11594.47</v>
      </c>
      <c r="G24" s="5">
        <v>1</v>
      </c>
      <c r="H24" t="s">
        <v>15</v>
      </c>
      <c r="I24" t="str">
        <f t="shared" si="0"/>
        <v>2024-05</v>
      </c>
      <c r="J24" s="4">
        <f t="shared" si="1"/>
        <v>11594.47</v>
      </c>
      <c r="K24" t="str" cm="1">
        <f t="array" ref="K24">_xlfn.IFS(G24&lt;=5, "Small", G24&lt;=15, "Medium", G24&gt;15, "Large")</f>
        <v>Small</v>
      </c>
      <c r="L24" t="str">
        <f t="shared" si="2"/>
        <v>Standard</v>
      </c>
      <c r="M24" t="str">
        <f t="shared" si="3"/>
        <v>Weekday</v>
      </c>
    </row>
    <row r="25" spans="1:13" x14ac:dyDescent="0.35">
      <c r="A25" t="s">
        <v>59</v>
      </c>
      <c r="B25" s="1">
        <v>45330</v>
      </c>
      <c r="C25" t="s">
        <v>60</v>
      </c>
      <c r="D25" t="s">
        <v>21</v>
      </c>
      <c r="E25" t="s">
        <v>18</v>
      </c>
      <c r="F25" s="4">
        <v>0</v>
      </c>
      <c r="G25" s="5">
        <v>2</v>
      </c>
      <c r="H25" t="s">
        <v>28</v>
      </c>
      <c r="I25" t="str">
        <f t="shared" si="0"/>
        <v>2024-02</v>
      </c>
      <c r="J25" s="4">
        <f t="shared" si="1"/>
        <v>0</v>
      </c>
      <c r="K25" t="str" cm="1">
        <f t="array" ref="K25">_xlfn.IFS(G25&lt;=5, "Small", G25&lt;=15, "Medium", G25&gt;15, "Large")</f>
        <v>Small</v>
      </c>
      <c r="L25" t="str">
        <f t="shared" si="2"/>
        <v>Standard</v>
      </c>
      <c r="M25" t="str">
        <f t="shared" si="3"/>
        <v>Weekday</v>
      </c>
    </row>
    <row r="26" spans="1:13" x14ac:dyDescent="0.35">
      <c r="A26" t="s">
        <v>61</v>
      </c>
      <c r="B26" s="1">
        <v>45566</v>
      </c>
      <c r="C26" t="s">
        <v>62</v>
      </c>
      <c r="D26" t="s">
        <v>10</v>
      </c>
      <c r="E26" t="s">
        <v>27</v>
      </c>
      <c r="F26" s="4">
        <v>6405.5</v>
      </c>
      <c r="G26" s="5">
        <v>1</v>
      </c>
      <c r="H26" t="s">
        <v>15</v>
      </c>
      <c r="I26" t="str">
        <f t="shared" si="0"/>
        <v>2024-10</v>
      </c>
      <c r="J26" s="4">
        <f t="shared" si="1"/>
        <v>6405.5</v>
      </c>
      <c r="K26" t="str" cm="1">
        <f t="array" ref="K26">_xlfn.IFS(G26&lt;=5, "Small", G26&lt;=15, "Medium", G26&gt;15, "Large")</f>
        <v>Small</v>
      </c>
      <c r="L26" t="str">
        <f t="shared" si="2"/>
        <v>Standard</v>
      </c>
      <c r="M26" t="str">
        <f t="shared" si="3"/>
        <v>Weekday</v>
      </c>
    </row>
    <row r="27" spans="1:13" x14ac:dyDescent="0.35">
      <c r="A27" t="s">
        <v>63</v>
      </c>
      <c r="B27" s="1">
        <v>45492</v>
      </c>
      <c r="C27" t="s">
        <v>64</v>
      </c>
      <c r="D27" t="s">
        <v>10</v>
      </c>
      <c r="E27" t="s">
        <v>11</v>
      </c>
      <c r="F27" s="4">
        <v>6329.67</v>
      </c>
      <c r="G27" s="5">
        <v>2</v>
      </c>
      <c r="H27" t="s">
        <v>15</v>
      </c>
      <c r="I27" t="str">
        <f t="shared" si="0"/>
        <v>2024-07</v>
      </c>
      <c r="J27" s="4">
        <f t="shared" si="1"/>
        <v>3164.835</v>
      </c>
      <c r="K27" t="str" cm="1">
        <f t="array" ref="K27">_xlfn.IFS(G27&lt;=5, "Small", G27&lt;=15, "Medium", G27&gt;15, "Large")</f>
        <v>Small</v>
      </c>
      <c r="L27" t="str">
        <f t="shared" si="2"/>
        <v>Standard</v>
      </c>
      <c r="M27" t="str">
        <f t="shared" si="3"/>
        <v>Weekday</v>
      </c>
    </row>
    <row r="28" spans="1:13" x14ac:dyDescent="0.35">
      <c r="A28" t="s">
        <v>65</v>
      </c>
      <c r="B28" s="1">
        <v>45015</v>
      </c>
      <c r="C28" t="s">
        <v>30</v>
      </c>
      <c r="D28" t="s">
        <v>31</v>
      </c>
      <c r="E28" t="s">
        <v>27</v>
      </c>
      <c r="F28" s="4">
        <v>26859.17</v>
      </c>
      <c r="G28" s="5">
        <v>4</v>
      </c>
      <c r="H28" t="s">
        <v>15</v>
      </c>
      <c r="I28" t="str">
        <f t="shared" si="0"/>
        <v>2023-03</v>
      </c>
      <c r="J28" s="4">
        <f t="shared" si="1"/>
        <v>6714.7924999999996</v>
      </c>
      <c r="K28" t="str" cm="1">
        <f t="array" ref="K28">_xlfn.IFS(G28&lt;=5, "Small", G28&lt;=15, "Medium", G28&gt;15, "Large")</f>
        <v>Small</v>
      </c>
      <c r="L28" t="str">
        <f t="shared" si="2"/>
        <v>Standard</v>
      </c>
      <c r="M28" t="str">
        <f t="shared" si="3"/>
        <v>Weekday</v>
      </c>
    </row>
    <row r="29" spans="1:13" x14ac:dyDescent="0.35">
      <c r="A29" t="s">
        <v>66</v>
      </c>
      <c r="B29" s="1">
        <v>45106</v>
      </c>
      <c r="C29" t="s">
        <v>37</v>
      </c>
      <c r="D29" t="s">
        <v>21</v>
      </c>
      <c r="E29" t="s">
        <v>27</v>
      </c>
      <c r="F29" s="4">
        <v>23504.85</v>
      </c>
      <c r="G29" s="5">
        <v>1</v>
      </c>
      <c r="H29" t="s">
        <v>15</v>
      </c>
      <c r="I29" t="str">
        <f t="shared" si="0"/>
        <v>2023-06</v>
      </c>
      <c r="J29" s="4">
        <f t="shared" si="1"/>
        <v>23504.85</v>
      </c>
      <c r="K29" t="str" cm="1">
        <f t="array" ref="K29">_xlfn.IFS(G29&lt;=5, "Small", G29&lt;=15, "Medium", G29&gt;15, "Large")</f>
        <v>Small</v>
      </c>
      <c r="L29" t="str">
        <f t="shared" si="2"/>
        <v>Standard</v>
      </c>
      <c r="M29" t="str">
        <f t="shared" si="3"/>
        <v>Weekday</v>
      </c>
    </row>
    <row r="30" spans="1:13" x14ac:dyDescent="0.35">
      <c r="A30" t="s">
        <v>67</v>
      </c>
      <c r="B30" s="1">
        <v>45384</v>
      </c>
      <c r="C30" t="s">
        <v>33</v>
      </c>
      <c r="D30" t="s">
        <v>10</v>
      </c>
      <c r="E30" t="s">
        <v>11</v>
      </c>
      <c r="F30" s="4">
        <v>8508.41</v>
      </c>
      <c r="G30" s="5">
        <v>3</v>
      </c>
      <c r="H30" t="s">
        <v>15</v>
      </c>
      <c r="I30" t="str">
        <f t="shared" si="0"/>
        <v>2024-04</v>
      </c>
      <c r="J30" s="4">
        <f t="shared" si="1"/>
        <v>2836.1366666666668</v>
      </c>
      <c r="K30" t="str" cm="1">
        <f t="array" ref="K30">_xlfn.IFS(G30&lt;=5, "Small", G30&lt;=15, "Medium", G30&gt;15, "Large")</f>
        <v>Small</v>
      </c>
      <c r="L30" t="str">
        <f t="shared" si="2"/>
        <v>Standard</v>
      </c>
      <c r="M30" t="str">
        <f t="shared" si="3"/>
        <v>Weekday</v>
      </c>
    </row>
    <row r="31" spans="1:13" x14ac:dyDescent="0.35">
      <c r="A31" t="s">
        <v>68</v>
      </c>
      <c r="B31" s="1">
        <v>45216</v>
      </c>
      <c r="C31" t="s">
        <v>69</v>
      </c>
      <c r="D31" t="s">
        <v>31</v>
      </c>
      <c r="E31" t="s">
        <v>27</v>
      </c>
      <c r="F31" s="4">
        <v>0</v>
      </c>
      <c r="G31" s="5">
        <v>4</v>
      </c>
      <c r="H31" t="s">
        <v>28</v>
      </c>
      <c r="I31" t="str">
        <f t="shared" si="0"/>
        <v>2023-10</v>
      </c>
      <c r="J31" s="4">
        <f t="shared" si="1"/>
        <v>0</v>
      </c>
      <c r="K31" t="str" cm="1">
        <f t="array" ref="K31">_xlfn.IFS(G31&lt;=5, "Small", G31&lt;=15, "Medium", G31&gt;15, "Large")</f>
        <v>Small</v>
      </c>
      <c r="L31" t="str">
        <f t="shared" si="2"/>
        <v>Standard</v>
      </c>
      <c r="M31" t="str">
        <f t="shared" si="3"/>
        <v>Weekday</v>
      </c>
    </row>
    <row r="32" spans="1:13" x14ac:dyDescent="0.35">
      <c r="A32" t="s">
        <v>70</v>
      </c>
      <c r="B32" s="1">
        <v>45106</v>
      </c>
      <c r="C32" t="s">
        <v>40</v>
      </c>
      <c r="D32" t="s">
        <v>26</v>
      </c>
      <c r="E32" t="s">
        <v>27</v>
      </c>
      <c r="F32" s="4">
        <v>43775.23</v>
      </c>
      <c r="G32" s="5">
        <v>4</v>
      </c>
      <c r="H32" t="s">
        <v>15</v>
      </c>
      <c r="I32" t="str">
        <f t="shared" si="0"/>
        <v>2023-06</v>
      </c>
      <c r="J32" s="4">
        <f t="shared" si="1"/>
        <v>10943.807500000001</v>
      </c>
      <c r="K32" t="str" cm="1">
        <f t="array" ref="K32">_xlfn.IFS(G32&lt;=5, "Small", G32&lt;=15, "Medium", G32&gt;15, "Large")</f>
        <v>Small</v>
      </c>
      <c r="L32" t="str">
        <f t="shared" si="2"/>
        <v>VIP</v>
      </c>
      <c r="M32" t="str">
        <f t="shared" si="3"/>
        <v>Weekday</v>
      </c>
    </row>
    <row r="33" spans="1:13" x14ac:dyDescent="0.35">
      <c r="A33" t="s">
        <v>71</v>
      </c>
      <c r="B33" s="1">
        <v>45402</v>
      </c>
      <c r="C33" t="s">
        <v>72</v>
      </c>
      <c r="D33" t="s">
        <v>26</v>
      </c>
      <c r="E33" t="s">
        <v>27</v>
      </c>
      <c r="F33" s="4">
        <v>39437.01</v>
      </c>
      <c r="G33" s="5">
        <v>3</v>
      </c>
      <c r="H33" t="s">
        <v>15</v>
      </c>
      <c r="I33" t="str">
        <f t="shared" si="0"/>
        <v>2024-04</v>
      </c>
      <c r="J33" s="4">
        <f t="shared" si="1"/>
        <v>13145.67</v>
      </c>
      <c r="K33" t="str" cm="1">
        <f t="array" ref="K33">_xlfn.IFS(G33&lt;=5, "Small", G33&lt;=15, "Medium", G33&gt;15, "Large")</f>
        <v>Small</v>
      </c>
      <c r="L33" t="str">
        <f t="shared" si="2"/>
        <v>VIP</v>
      </c>
      <c r="M33" t="str">
        <f t="shared" si="3"/>
        <v>Weekend</v>
      </c>
    </row>
    <row r="34" spans="1:13" x14ac:dyDescent="0.35">
      <c r="A34" t="s">
        <v>73</v>
      </c>
      <c r="B34" s="1">
        <v>45519</v>
      </c>
      <c r="C34" t="s">
        <v>74</v>
      </c>
      <c r="D34" t="s">
        <v>31</v>
      </c>
      <c r="E34" t="s">
        <v>18</v>
      </c>
      <c r="F34" s="4">
        <v>0</v>
      </c>
      <c r="G34" s="5">
        <v>26</v>
      </c>
      <c r="H34" t="s">
        <v>28</v>
      </c>
      <c r="I34" t="str">
        <f t="shared" si="0"/>
        <v>2024-08</v>
      </c>
      <c r="J34" s="4">
        <f t="shared" si="1"/>
        <v>0</v>
      </c>
      <c r="K34" t="str" cm="1">
        <f t="array" ref="K34">_xlfn.IFS(G34&lt;=5, "Small", G34&lt;=15, "Medium", G34&gt;15, "Large")</f>
        <v>Large</v>
      </c>
      <c r="L34" t="str">
        <f t="shared" si="2"/>
        <v>Standard</v>
      </c>
      <c r="M34" t="str">
        <f t="shared" si="3"/>
        <v>Weekday</v>
      </c>
    </row>
    <row r="35" spans="1:13" x14ac:dyDescent="0.35">
      <c r="A35" t="s">
        <v>75</v>
      </c>
      <c r="B35" s="1">
        <v>45244</v>
      </c>
      <c r="C35" t="s">
        <v>45</v>
      </c>
      <c r="D35" t="s">
        <v>21</v>
      </c>
      <c r="E35" t="s">
        <v>18</v>
      </c>
      <c r="F35" s="4">
        <v>0</v>
      </c>
      <c r="G35" s="5">
        <v>2</v>
      </c>
      <c r="H35" t="s">
        <v>12</v>
      </c>
      <c r="I35" t="str">
        <f t="shared" si="0"/>
        <v>2023-11</v>
      </c>
      <c r="J35" s="4">
        <f t="shared" si="1"/>
        <v>0</v>
      </c>
      <c r="K35" t="str" cm="1">
        <f t="array" ref="K35">_xlfn.IFS(G35&lt;=5, "Small", G35&lt;=15, "Medium", G35&gt;15, "Large")</f>
        <v>Small</v>
      </c>
      <c r="L35" t="str">
        <f t="shared" si="2"/>
        <v>Standard</v>
      </c>
      <c r="M35" t="str">
        <f t="shared" si="3"/>
        <v>Weekday</v>
      </c>
    </row>
    <row r="36" spans="1:13" x14ac:dyDescent="0.35">
      <c r="A36" t="s">
        <v>76</v>
      </c>
      <c r="B36" s="1">
        <v>45216</v>
      </c>
      <c r="C36" t="s">
        <v>50</v>
      </c>
      <c r="D36" t="s">
        <v>26</v>
      </c>
      <c r="E36" t="s">
        <v>18</v>
      </c>
      <c r="F36" s="4">
        <v>3496.21</v>
      </c>
      <c r="G36" s="5">
        <v>16</v>
      </c>
      <c r="H36" t="s">
        <v>15</v>
      </c>
      <c r="I36" t="str">
        <f t="shared" si="0"/>
        <v>2023-10</v>
      </c>
      <c r="J36" s="4">
        <f t="shared" si="1"/>
        <v>218.513125</v>
      </c>
      <c r="K36" t="str" cm="1">
        <f t="array" ref="K36">_xlfn.IFS(G36&lt;=5, "Small", G36&lt;=15, "Medium", G36&gt;15, "Large")</f>
        <v>Large</v>
      </c>
      <c r="L36" t="str">
        <f t="shared" si="2"/>
        <v>Standard</v>
      </c>
      <c r="M36" t="str">
        <f t="shared" si="3"/>
        <v>Weekday</v>
      </c>
    </row>
    <row r="37" spans="1:13" x14ac:dyDescent="0.35">
      <c r="A37" t="s">
        <v>77</v>
      </c>
      <c r="B37" s="1">
        <v>45176</v>
      </c>
      <c r="C37" t="s">
        <v>78</v>
      </c>
      <c r="D37" t="s">
        <v>31</v>
      </c>
      <c r="E37" t="s">
        <v>18</v>
      </c>
      <c r="F37" s="4">
        <v>605.9</v>
      </c>
      <c r="G37" s="5">
        <v>21</v>
      </c>
      <c r="H37" t="s">
        <v>15</v>
      </c>
      <c r="I37" t="str">
        <f t="shared" si="0"/>
        <v>2023-09</v>
      </c>
      <c r="J37" s="4">
        <f t="shared" si="1"/>
        <v>28.852380952380951</v>
      </c>
      <c r="K37" t="str" cm="1">
        <f t="array" ref="K37">_xlfn.IFS(G37&lt;=5, "Small", G37&lt;=15, "Medium", G37&gt;15, "Large")</f>
        <v>Large</v>
      </c>
      <c r="L37" t="str">
        <f t="shared" si="2"/>
        <v>Standard</v>
      </c>
      <c r="M37" t="str">
        <f t="shared" si="3"/>
        <v>Weekday</v>
      </c>
    </row>
    <row r="38" spans="1:13" x14ac:dyDescent="0.35">
      <c r="A38" t="s">
        <v>79</v>
      </c>
      <c r="B38" s="1">
        <v>45444</v>
      </c>
      <c r="C38" t="s">
        <v>35</v>
      </c>
      <c r="D38" t="s">
        <v>31</v>
      </c>
      <c r="E38" t="s">
        <v>18</v>
      </c>
      <c r="F38" s="4">
        <v>444.73</v>
      </c>
      <c r="G38" s="5">
        <v>21</v>
      </c>
      <c r="H38" t="s">
        <v>15</v>
      </c>
      <c r="I38" t="str">
        <f t="shared" si="0"/>
        <v>2024-06</v>
      </c>
      <c r="J38" s="4">
        <f t="shared" si="1"/>
        <v>21.17761904761905</v>
      </c>
      <c r="K38" t="str" cm="1">
        <f t="array" ref="K38">_xlfn.IFS(G38&lt;=5, "Small", G38&lt;=15, "Medium", G38&gt;15, "Large")</f>
        <v>Large</v>
      </c>
      <c r="L38" t="str">
        <f t="shared" si="2"/>
        <v>Standard</v>
      </c>
      <c r="M38" t="str">
        <f t="shared" si="3"/>
        <v>Weekend</v>
      </c>
    </row>
    <row r="39" spans="1:13" x14ac:dyDescent="0.35">
      <c r="A39" t="s">
        <v>80</v>
      </c>
      <c r="B39" s="1">
        <v>45488</v>
      </c>
      <c r="C39" t="s">
        <v>17</v>
      </c>
      <c r="D39" t="s">
        <v>10</v>
      </c>
      <c r="E39" t="s">
        <v>11</v>
      </c>
      <c r="F39" s="4">
        <v>0</v>
      </c>
      <c r="G39" s="5">
        <v>1</v>
      </c>
      <c r="H39" t="s">
        <v>28</v>
      </c>
      <c r="I39" t="str">
        <f t="shared" si="0"/>
        <v>2024-07</v>
      </c>
      <c r="J39" s="4">
        <f t="shared" si="1"/>
        <v>0</v>
      </c>
      <c r="K39" t="str" cm="1">
        <f t="array" ref="K39">_xlfn.IFS(G39&lt;=5, "Small", G39&lt;=15, "Medium", G39&gt;15, "Large")</f>
        <v>Small</v>
      </c>
      <c r="L39" t="str">
        <f t="shared" si="2"/>
        <v>Standard</v>
      </c>
      <c r="M39" t="str">
        <f t="shared" si="3"/>
        <v>Weekday</v>
      </c>
    </row>
    <row r="40" spans="1:13" x14ac:dyDescent="0.35">
      <c r="A40" t="s">
        <v>81</v>
      </c>
      <c r="B40" s="1">
        <v>45646</v>
      </c>
      <c r="C40" t="s">
        <v>82</v>
      </c>
      <c r="D40" t="s">
        <v>10</v>
      </c>
      <c r="E40" t="s">
        <v>11</v>
      </c>
      <c r="F40" s="4">
        <v>12898.39</v>
      </c>
      <c r="G40" s="5">
        <v>7</v>
      </c>
      <c r="H40" t="s">
        <v>15</v>
      </c>
      <c r="I40" t="str">
        <f t="shared" si="0"/>
        <v>2024-12</v>
      </c>
      <c r="J40" s="4">
        <f t="shared" si="1"/>
        <v>1842.6271428571429</v>
      </c>
      <c r="K40" t="str" cm="1">
        <f t="array" ref="K40">_xlfn.IFS(G40&lt;=5, "Small", G40&lt;=15, "Medium", G40&gt;15, "Large")</f>
        <v>Medium</v>
      </c>
      <c r="L40" t="str">
        <f t="shared" si="2"/>
        <v>Standard</v>
      </c>
      <c r="M40" t="str">
        <f t="shared" si="3"/>
        <v>Weekday</v>
      </c>
    </row>
    <row r="41" spans="1:13" x14ac:dyDescent="0.35">
      <c r="A41" t="s">
        <v>83</v>
      </c>
      <c r="B41" s="1">
        <v>45575</v>
      </c>
      <c r="C41" t="s">
        <v>84</v>
      </c>
      <c r="D41" t="s">
        <v>26</v>
      </c>
      <c r="E41" t="s">
        <v>18</v>
      </c>
      <c r="F41" s="4">
        <v>0</v>
      </c>
      <c r="G41" s="5">
        <v>7</v>
      </c>
      <c r="H41" t="s">
        <v>12</v>
      </c>
      <c r="I41" t="str">
        <f t="shared" si="0"/>
        <v>2024-10</v>
      </c>
      <c r="J41" s="4">
        <f t="shared" si="1"/>
        <v>0</v>
      </c>
      <c r="K41" t="str" cm="1">
        <f t="array" ref="K41">_xlfn.IFS(G41&lt;=5, "Small", G41&lt;=15, "Medium", G41&gt;15, "Large")</f>
        <v>Medium</v>
      </c>
      <c r="L41" t="str">
        <f t="shared" si="2"/>
        <v>Standard</v>
      </c>
      <c r="M41" t="str">
        <f t="shared" si="3"/>
        <v>Weekday</v>
      </c>
    </row>
    <row r="42" spans="1:13" x14ac:dyDescent="0.35">
      <c r="A42" t="s">
        <v>85</v>
      </c>
      <c r="B42" s="1">
        <v>45347</v>
      </c>
      <c r="C42" t="s">
        <v>69</v>
      </c>
      <c r="D42" t="s">
        <v>31</v>
      </c>
      <c r="E42" t="s">
        <v>11</v>
      </c>
      <c r="F42" s="4">
        <v>15665.23</v>
      </c>
      <c r="G42" s="5">
        <v>1</v>
      </c>
      <c r="H42" t="s">
        <v>15</v>
      </c>
      <c r="I42" t="str">
        <f t="shared" si="0"/>
        <v>2024-02</v>
      </c>
      <c r="J42" s="4">
        <f t="shared" si="1"/>
        <v>15665.23</v>
      </c>
      <c r="K42" t="str" cm="1">
        <f t="array" ref="K42">_xlfn.IFS(G42&lt;=5, "Small", G42&lt;=15, "Medium", G42&gt;15, "Large")</f>
        <v>Small</v>
      </c>
      <c r="L42" t="str">
        <f t="shared" si="2"/>
        <v>Standard</v>
      </c>
      <c r="M42" t="str">
        <f t="shared" si="3"/>
        <v>Weekend</v>
      </c>
    </row>
    <row r="43" spans="1:13" x14ac:dyDescent="0.35">
      <c r="A43" t="s">
        <v>86</v>
      </c>
      <c r="B43" s="1">
        <v>44951</v>
      </c>
      <c r="C43" t="s">
        <v>42</v>
      </c>
      <c r="D43" t="s">
        <v>10</v>
      </c>
      <c r="E43" t="s">
        <v>11</v>
      </c>
      <c r="F43" s="4">
        <v>1911.14</v>
      </c>
      <c r="G43" s="5">
        <v>2</v>
      </c>
      <c r="H43" t="s">
        <v>15</v>
      </c>
      <c r="I43" t="str">
        <f t="shared" si="0"/>
        <v>2023-01</v>
      </c>
      <c r="J43" s="4">
        <f t="shared" si="1"/>
        <v>955.57</v>
      </c>
      <c r="K43" t="str" cm="1">
        <f t="array" ref="K43">_xlfn.IFS(G43&lt;=5, "Small", G43&lt;=15, "Medium", G43&gt;15, "Large")</f>
        <v>Small</v>
      </c>
      <c r="L43" t="str">
        <f t="shared" si="2"/>
        <v>Standard</v>
      </c>
      <c r="M43" t="str">
        <f t="shared" si="3"/>
        <v>Weekday</v>
      </c>
    </row>
    <row r="44" spans="1:13" x14ac:dyDescent="0.35">
      <c r="A44" t="s">
        <v>87</v>
      </c>
      <c r="B44" s="1">
        <v>45506</v>
      </c>
      <c r="C44" t="s">
        <v>9</v>
      </c>
      <c r="D44" t="s">
        <v>10</v>
      </c>
      <c r="E44" t="s">
        <v>11</v>
      </c>
      <c r="F44" s="4">
        <v>6116.56</v>
      </c>
      <c r="G44" s="5">
        <v>2</v>
      </c>
      <c r="H44" t="s">
        <v>15</v>
      </c>
      <c r="I44" t="str">
        <f t="shared" si="0"/>
        <v>2024-08</v>
      </c>
      <c r="J44" s="4">
        <f t="shared" si="1"/>
        <v>3058.28</v>
      </c>
      <c r="K44" t="str" cm="1">
        <f t="array" ref="K44">_xlfn.IFS(G44&lt;=5, "Small", G44&lt;=15, "Medium", G44&gt;15, "Large")</f>
        <v>Small</v>
      </c>
      <c r="L44" t="str">
        <f t="shared" si="2"/>
        <v>Standard</v>
      </c>
      <c r="M44" t="str">
        <f t="shared" si="3"/>
        <v>Weekday</v>
      </c>
    </row>
    <row r="45" spans="1:13" x14ac:dyDescent="0.35">
      <c r="A45" t="s">
        <v>88</v>
      </c>
      <c r="B45" s="1">
        <v>45133</v>
      </c>
      <c r="C45" t="s">
        <v>89</v>
      </c>
      <c r="D45" t="s">
        <v>21</v>
      </c>
      <c r="E45" t="s">
        <v>11</v>
      </c>
      <c r="F45" s="4">
        <v>1432.27</v>
      </c>
      <c r="G45" s="5">
        <v>7</v>
      </c>
      <c r="H45" t="s">
        <v>15</v>
      </c>
      <c r="I45" t="str">
        <f t="shared" si="0"/>
        <v>2023-07</v>
      </c>
      <c r="J45" s="4">
        <f t="shared" si="1"/>
        <v>204.60999999999999</v>
      </c>
      <c r="K45" t="str" cm="1">
        <f t="array" ref="K45">_xlfn.IFS(G45&lt;=5, "Small", G45&lt;=15, "Medium", G45&gt;15, "Large")</f>
        <v>Medium</v>
      </c>
      <c r="L45" t="str">
        <f t="shared" si="2"/>
        <v>Standard</v>
      </c>
      <c r="M45" t="str">
        <f t="shared" si="3"/>
        <v>Weekday</v>
      </c>
    </row>
    <row r="46" spans="1:13" x14ac:dyDescent="0.35">
      <c r="A46" t="s">
        <v>90</v>
      </c>
      <c r="B46" s="1">
        <v>44961</v>
      </c>
      <c r="C46" t="s">
        <v>91</v>
      </c>
      <c r="D46" t="s">
        <v>26</v>
      </c>
      <c r="E46" t="s">
        <v>11</v>
      </c>
      <c r="F46" s="4">
        <v>5657.61</v>
      </c>
      <c r="G46" s="5">
        <v>3</v>
      </c>
      <c r="H46" t="s">
        <v>15</v>
      </c>
      <c r="I46" t="str">
        <f t="shared" si="0"/>
        <v>2023-02</v>
      </c>
      <c r="J46" s="4">
        <f t="shared" si="1"/>
        <v>1885.87</v>
      </c>
      <c r="K46" t="str" cm="1">
        <f t="array" ref="K46">_xlfn.IFS(G46&lt;=5, "Small", G46&lt;=15, "Medium", G46&gt;15, "Large")</f>
        <v>Small</v>
      </c>
      <c r="L46" t="str">
        <f t="shared" si="2"/>
        <v>Standard</v>
      </c>
      <c r="M46" t="str">
        <f t="shared" si="3"/>
        <v>Weekend</v>
      </c>
    </row>
    <row r="47" spans="1:13" x14ac:dyDescent="0.35">
      <c r="A47" t="s">
        <v>92</v>
      </c>
      <c r="B47" s="1">
        <v>44951</v>
      </c>
      <c r="C47" t="s">
        <v>60</v>
      </c>
      <c r="D47" t="s">
        <v>21</v>
      </c>
      <c r="E47" t="s">
        <v>11</v>
      </c>
      <c r="F47" s="4">
        <v>15599.05</v>
      </c>
      <c r="G47" s="5">
        <v>5</v>
      </c>
      <c r="H47" t="s">
        <v>15</v>
      </c>
      <c r="I47" t="str">
        <f t="shared" si="0"/>
        <v>2023-01</v>
      </c>
      <c r="J47" s="4">
        <f t="shared" si="1"/>
        <v>3119.81</v>
      </c>
      <c r="K47" t="str" cm="1">
        <f t="array" ref="K47">_xlfn.IFS(G47&lt;=5, "Small", G47&lt;=15, "Medium", G47&gt;15, "Large")</f>
        <v>Small</v>
      </c>
      <c r="L47" t="str">
        <f t="shared" si="2"/>
        <v>Standard</v>
      </c>
      <c r="M47" t="str">
        <f t="shared" si="3"/>
        <v>Weekday</v>
      </c>
    </row>
    <row r="48" spans="1:13" x14ac:dyDescent="0.35">
      <c r="A48" t="s">
        <v>93</v>
      </c>
      <c r="B48" s="1">
        <v>44950</v>
      </c>
      <c r="C48" t="s">
        <v>20</v>
      </c>
      <c r="D48" t="s">
        <v>21</v>
      </c>
      <c r="E48" t="s">
        <v>27</v>
      </c>
      <c r="F48" s="4">
        <v>7593.15</v>
      </c>
      <c r="G48" s="5">
        <v>3</v>
      </c>
      <c r="H48" t="s">
        <v>15</v>
      </c>
      <c r="I48" t="str">
        <f t="shared" si="0"/>
        <v>2023-01</v>
      </c>
      <c r="J48" s="4">
        <f t="shared" si="1"/>
        <v>2531.0499999999997</v>
      </c>
      <c r="K48" t="str" cm="1">
        <f t="array" ref="K48">_xlfn.IFS(G48&lt;=5, "Small", G48&lt;=15, "Medium", G48&gt;15, "Large")</f>
        <v>Small</v>
      </c>
      <c r="L48" t="str">
        <f t="shared" si="2"/>
        <v>Standard</v>
      </c>
      <c r="M48" t="str">
        <f t="shared" si="3"/>
        <v>Weekday</v>
      </c>
    </row>
    <row r="49" spans="1:13" x14ac:dyDescent="0.35">
      <c r="A49" t="s">
        <v>94</v>
      </c>
      <c r="B49" s="1">
        <v>45121</v>
      </c>
      <c r="C49" t="s">
        <v>9</v>
      </c>
      <c r="D49" t="s">
        <v>10</v>
      </c>
      <c r="E49" t="s">
        <v>18</v>
      </c>
      <c r="F49" s="4">
        <v>0</v>
      </c>
      <c r="G49" s="5">
        <v>10</v>
      </c>
      <c r="H49" t="s">
        <v>12</v>
      </c>
      <c r="I49" t="str">
        <f t="shared" si="0"/>
        <v>2023-07</v>
      </c>
      <c r="J49" s="4">
        <f t="shared" si="1"/>
        <v>0</v>
      </c>
      <c r="K49" t="str" cm="1">
        <f t="array" ref="K49">_xlfn.IFS(G49&lt;=5, "Small", G49&lt;=15, "Medium", G49&gt;15, "Large")</f>
        <v>Medium</v>
      </c>
      <c r="L49" t="str">
        <f t="shared" si="2"/>
        <v>Standard</v>
      </c>
      <c r="M49" t="str">
        <f t="shared" si="3"/>
        <v>Weekday</v>
      </c>
    </row>
    <row r="50" spans="1:13" x14ac:dyDescent="0.35">
      <c r="A50" t="s">
        <v>95</v>
      </c>
      <c r="B50" s="1">
        <v>45213</v>
      </c>
      <c r="C50" t="s">
        <v>64</v>
      </c>
      <c r="D50" t="s">
        <v>10</v>
      </c>
      <c r="E50" t="s">
        <v>18</v>
      </c>
      <c r="F50" s="4">
        <v>3120.21</v>
      </c>
      <c r="G50" s="5">
        <v>3</v>
      </c>
      <c r="H50" t="s">
        <v>15</v>
      </c>
      <c r="I50" t="str">
        <f t="shared" si="0"/>
        <v>2023-10</v>
      </c>
      <c r="J50" s="4">
        <f t="shared" si="1"/>
        <v>1040.07</v>
      </c>
      <c r="K50" t="str" cm="1">
        <f t="array" ref="K50">_xlfn.IFS(G50&lt;=5, "Small", G50&lt;=15, "Medium", G50&gt;15, "Large")</f>
        <v>Small</v>
      </c>
      <c r="L50" t="str">
        <f t="shared" si="2"/>
        <v>Standard</v>
      </c>
      <c r="M50" t="str">
        <f t="shared" si="3"/>
        <v>Weekend</v>
      </c>
    </row>
    <row r="51" spans="1:13" x14ac:dyDescent="0.35">
      <c r="A51" t="s">
        <v>96</v>
      </c>
      <c r="B51" s="1">
        <v>45260</v>
      </c>
      <c r="C51" t="s">
        <v>97</v>
      </c>
      <c r="D51" t="s">
        <v>21</v>
      </c>
      <c r="E51" t="s">
        <v>11</v>
      </c>
      <c r="F51" s="4">
        <v>7382.92</v>
      </c>
      <c r="G51" s="5">
        <v>2</v>
      </c>
      <c r="H51" t="s">
        <v>15</v>
      </c>
      <c r="I51" t="str">
        <f t="shared" si="0"/>
        <v>2023-11</v>
      </c>
      <c r="J51" s="4">
        <f t="shared" si="1"/>
        <v>3691.46</v>
      </c>
      <c r="K51" t="str" cm="1">
        <f t="array" ref="K51">_xlfn.IFS(G51&lt;=5, "Small", G51&lt;=15, "Medium", G51&gt;15, "Large")</f>
        <v>Small</v>
      </c>
      <c r="L51" t="str">
        <f t="shared" si="2"/>
        <v>Standard</v>
      </c>
      <c r="M51" t="str">
        <f t="shared" si="3"/>
        <v>Weekday</v>
      </c>
    </row>
    <row r="52" spans="1:13" x14ac:dyDescent="0.35">
      <c r="A52" t="s">
        <v>98</v>
      </c>
      <c r="B52" s="1">
        <v>45374</v>
      </c>
      <c r="C52" t="s">
        <v>33</v>
      </c>
      <c r="D52" t="s">
        <v>10</v>
      </c>
      <c r="E52" t="s">
        <v>27</v>
      </c>
      <c r="F52" s="4">
        <v>36898.28</v>
      </c>
      <c r="G52" s="5">
        <v>3</v>
      </c>
      <c r="H52" t="s">
        <v>15</v>
      </c>
      <c r="I52" t="str">
        <f t="shared" si="0"/>
        <v>2024-03</v>
      </c>
      <c r="J52" s="4">
        <f t="shared" si="1"/>
        <v>12299.426666666666</v>
      </c>
      <c r="K52" t="str" cm="1">
        <f t="array" ref="K52">_xlfn.IFS(G52&lt;=5, "Small", G52&lt;=15, "Medium", G52&gt;15, "Large")</f>
        <v>Small</v>
      </c>
      <c r="L52" t="str">
        <f t="shared" si="2"/>
        <v>VIP</v>
      </c>
      <c r="M52" t="str">
        <f t="shared" si="3"/>
        <v>Weekend</v>
      </c>
    </row>
    <row r="53" spans="1:13" x14ac:dyDescent="0.35">
      <c r="A53" t="s">
        <v>99</v>
      </c>
      <c r="B53" s="1">
        <v>45242</v>
      </c>
      <c r="C53" t="s">
        <v>89</v>
      </c>
      <c r="D53" t="s">
        <v>21</v>
      </c>
      <c r="E53" t="s">
        <v>11</v>
      </c>
      <c r="F53" s="4">
        <v>0</v>
      </c>
      <c r="G53" s="5">
        <v>2</v>
      </c>
      <c r="H53" t="s">
        <v>12</v>
      </c>
      <c r="I53" t="str">
        <f t="shared" si="0"/>
        <v>2023-11</v>
      </c>
      <c r="J53" s="4">
        <f t="shared" si="1"/>
        <v>0</v>
      </c>
      <c r="K53" t="str" cm="1">
        <f t="array" ref="K53">_xlfn.IFS(G53&lt;=5, "Small", G53&lt;=15, "Medium", G53&gt;15, "Large")</f>
        <v>Small</v>
      </c>
      <c r="L53" t="str">
        <f t="shared" si="2"/>
        <v>Standard</v>
      </c>
      <c r="M53" t="str">
        <f t="shared" si="3"/>
        <v>Weekend</v>
      </c>
    </row>
    <row r="54" spans="1:13" x14ac:dyDescent="0.35">
      <c r="A54" t="s">
        <v>100</v>
      </c>
      <c r="B54" s="1">
        <v>45008</v>
      </c>
      <c r="C54" t="s">
        <v>74</v>
      </c>
      <c r="D54" t="s">
        <v>31</v>
      </c>
      <c r="E54" t="s">
        <v>11</v>
      </c>
      <c r="F54" s="4">
        <v>0</v>
      </c>
      <c r="G54" s="5">
        <v>5</v>
      </c>
      <c r="H54" t="s">
        <v>28</v>
      </c>
      <c r="I54" t="str">
        <f t="shared" si="0"/>
        <v>2023-03</v>
      </c>
      <c r="J54" s="4">
        <f t="shared" si="1"/>
        <v>0</v>
      </c>
      <c r="K54" t="str" cm="1">
        <f t="array" ref="K54">_xlfn.IFS(G54&lt;=5, "Small", G54&lt;=15, "Medium", G54&gt;15, "Large")</f>
        <v>Small</v>
      </c>
      <c r="L54" t="str">
        <f t="shared" si="2"/>
        <v>Standard</v>
      </c>
      <c r="M54" t="str">
        <f t="shared" si="3"/>
        <v>Weekday</v>
      </c>
    </row>
    <row r="55" spans="1:13" x14ac:dyDescent="0.35">
      <c r="A55" t="s">
        <v>101</v>
      </c>
      <c r="B55" s="1">
        <v>45053</v>
      </c>
      <c r="C55" t="s">
        <v>33</v>
      </c>
      <c r="D55" t="s">
        <v>10</v>
      </c>
      <c r="E55" t="s">
        <v>11</v>
      </c>
      <c r="F55" s="4">
        <v>11523.08</v>
      </c>
      <c r="G55" s="5">
        <v>2</v>
      </c>
      <c r="H55" t="s">
        <v>15</v>
      </c>
      <c r="I55" t="str">
        <f t="shared" si="0"/>
        <v>2023-05</v>
      </c>
      <c r="J55" s="4">
        <f t="shared" si="1"/>
        <v>5761.54</v>
      </c>
      <c r="K55" t="str" cm="1">
        <f t="array" ref="K55">_xlfn.IFS(G55&lt;=5, "Small", G55&lt;=15, "Medium", G55&gt;15, "Large")</f>
        <v>Small</v>
      </c>
      <c r="L55" t="str">
        <f t="shared" si="2"/>
        <v>Standard</v>
      </c>
      <c r="M55" t="str">
        <f t="shared" si="3"/>
        <v>Weekend</v>
      </c>
    </row>
    <row r="56" spans="1:13" x14ac:dyDescent="0.35">
      <c r="A56" t="s">
        <v>102</v>
      </c>
      <c r="B56" s="1">
        <v>45331</v>
      </c>
      <c r="C56" t="s">
        <v>25</v>
      </c>
      <c r="D56" t="s">
        <v>26</v>
      </c>
      <c r="E56" t="s">
        <v>27</v>
      </c>
      <c r="F56" s="4">
        <v>16444.29</v>
      </c>
      <c r="G56" s="5">
        <v>2</v>
      </c>
      <c r="H56" t="s">
        <v>15</v>
      </c>
      <c r="I56" t="str">
        <f t="shared" si="0"/>
        <v>2024-02</v>
      </c>
      <c r="J56" s="4">
        <f t="shared" si="1"/>
        <v>8222.1450000000004</v>
      </c>
      <c r="K56" t="str" cm="1">
        <f t="array" ref="K56">_xlfn.IFS(G56&lt;=5, "Small", G56&lt;=15, "Medium", G56&gt;15, "Large")</f>
        <v>Small</v>
      </c>
      <c r="L56" t="str">
        <f t="shared" si="2"/>
        <v>Standard</v>
      </c>
      <c r="M56" t="str">
        <f t="shared" si="3"/>
        <v>Weekday</v>
      </c>
    </row>
    <row r="57" spans="1:13" x14ac:dyDescent="0.35">
      <c r="A57" t="s">
        <v>103</v>
      </c>
      <c r="B57" s="1">
        <v>45413</v>
      </c>
      <c r="C57" t="s">
        <v>35</v>
      </c>
      <c r="D57" t="s">
        <v>31</v>
      </c>
      <c r="E57" t="s">
        <v>27</v>
      </c>
      <c r="F57" s="4">
        <v>0</v>
      </c>
      <c r="G57" s="5">
        <v>4</v>
      </c>
      <c r="H57" t="s">
        <v>12</v>
      </c>
      <c r="I57" t="str">
        <f t="shared" si="0"/>
        <v>2024-05</v>
      </c>
      <c r="J57" s="4">
        <f t="shared" si="1"/>
        <v>0</v>
      </c>
      <c r="K57" t="str" cm="1">
        <f t="array" ref="K57">_xlfn.IFS(G57&lt;=5, "Small", G57&lt;=15, "Medium", G57&gt;15, "Large")</f>
        <v>Small</v>
      </c>
      <c r="L57" t="str">
        <f t="shared" si="2"/>
        <v>Standard</v>
      </c>
      <c r="M57" t="str">
        <f t="shared" si="3"/>
        <v>Weekday</v>
      </c>
    </row>
    <row r="58" spans="1:13" x14ac:dyDescent="0.35">
      <c r="A58" t="s">
        <v>104</v>
      </c>
      <c r="B58" s="1">
        <v>44996</v>
      </c>
      <c r="C58" t="s">
        <v>78</v>
      </c>
      <c r="D58" t="s">
        <v>31</v>
      </c>
      <c r="E58" t="s">
        <v>27</v>
      </c>
      <c r="F58" s="4">
        <v>0</v>
      </c>
      <c r="G58" s="5">
        <v>3</v>
      </c>
      <c r="H58" t="s">
        <v>28</v>
      </c>
      <c r="I58" t="str">
        <f t="shared" si="0"/>
        <v>2023-03</v>
      </c>
      <c r="J58" s="4">
        <f t="shared" si="1"/>
        <v>0</v>
      </c>
      <c r="K58" t="str" cm="1">
        <f t="array" ref="K58">_xlfn.IFS(G58&lt;=5, "Small", G58&lt;=15, "Medium", G58&gt;15, "Large")</f>
        <v>Small</v>
      </c>
      <c r="L58" t="str">
        <f t="shared" si="2"/>
        <v>Standard</v>
      </c>
      <c r="M58" t="str">
        <f t="shared" si="3"/>
        <v>Weekend</v>
      </c>
    </row>
    <row r="59" spans="1:13" x14ac:dyDescent="0.35">
      <c r="A59" t="s">
        <v>105</v>
      </c>
      <c r="B59" s="1">
        <v>44993</v>
      </c>
      <c r="C59" t="s">
        <v>60</v>
      </c>
      <c r="D59" t="s">
        <v>21</v>
      </c>
      <c r="E59" t="s">
        <v>11</v>
      </c>
      <c r="F59" s="4">
        <v>14624.59</v>
      </c>
      <c r="G59" s="5">
        <v>2</v>
      </c>
      <c r="H59" t="s">
        <v>15</v>
      </c>
      <c r="I59" t="str">
        <f t="shared" si="0"/>
        <v>2023-03</v>
      </c>
      <c r="J59" s="4">
        <f t="shared" si="1"/>
        <v>7312.2950000000001</v>
      </c>
      <c r="K59" t="str" cm="1">
        <f t="array" ref="K59">_xlfn.IFS(G59&lt;=5, "Small", G59&lt;=15, "Medium", G59&gt;15, "Large")</f>
        <v>Small</v>
      </c>
      <c r="L59" t="str">
        <f t="shared" si="2"/>
        <v>Standard</v>
      </c>
      <c r="M59" t="str">
        <f t="shared" si="3"/>
        <v>Weekday</v>
      </c>
    </row>
    <row r="60" spans="1:13" x14ac:dyDescent="0.35">
      <c r="A60" t="s">
        <v>106</v>
      </c>
      <c r="B60" s="1">
        <v>45408</v>
      </c>
      <c r="C60" t="s">
        <v>58</v>
      </c>
      <c r="D60" t="s">
        <v>31</v>
      </c>
      <c r="E60" t="s">
        <v>27</v>
      </c>
      <c r="F60" s="4">
        <v>23195.48</v>
      </c>
      <c r="G60" s="5">
        <v>4</v>
      </c>
      <c r="H60" t="s">
        <v>15</v>
      </c>
      <c r="I60" t="str">
        <f t="shared" si="0"/>
        <v>2024-04</v>
      </c>
      <c r="J60" s="4">
        <f t="shared" si="1"/>
        <v>5798.87</v>
      </c>
      <c r="K60" t="str" cm="1">
        <f t="array" ref="K60">_xlfn.IFS(G60&lt;=5, "Small", G60&lt;=15, "Medium", G60&gt;15, "Large")</f>
        <v>Small</v>
      </c>
      <c r="L60" t="str">
        <f t="shared" si="2"/>
        <v>Standard</v>
      </c>
      <c r="M60" t="str">
        <f t="shared" si="3"/>
        <v>Weekday</v>
      </c>
    </row>
    <row r="61" spans="1:13" x14ac:dyDescent="0.35">
      <c r="A61" t="s">
        <v>107</v>
      </c>
      <c r="B61" s="1">
        <v>45512</v>
      </c>
      <c r="C61" t="s">
        <v>42</v>
      </c>
      <c r="D61" t="s">
        <v>10</v>
      </c>
      <c r="E61" t="s">
        <v>11</v>
      </c>
      <c r="F61" s="4">
        <v>3300.18</v>
      </c>
      <c r="G61" s="5">
        <v>5</v>
      </c>
      <c r="H61" t="s">
        <v>15</v>
      </c>
      <c r="I61" t="str">
        <f t="shared" si="0"/>
        <v>2024-08</v>
      </c>
      <c r="J61" s="4">
        <f t="shared" si="1"/>
        <v>660.03599999999994</v>
      </c>
      <c r="K61" t="str" cm="1">
        <f t="array" ref="K61">_xlfn.IFS(G61&lt;=5, "Small", G61&lt;=15, "Medium", G61&gt;15, "Large")</f>
        <v>Small</v>
      </c>
      <c r="L61" t="str">
        <f t="shared" si="2"/>
        <v>Standard</v>
      </c>
      <c r="M61" t="str">
        <f t="shared" si="3"/>
        <v>Weekday</v>
      </c>
    </row>
    <row r="62" spans="1:13" x14ac:dyDescent="0.35">
      <c r="A62" t="s">
        <v>108</v>
      </c>
      <c r="B62" s="1">
        <v>45616</v>
      </c>
      <c r="C62" t="s">
        <v>84</v>
      </c>
      <c r="D62" t="s">
        <v>26</v>
      </c>
      <c r="E62" t="s">
        <v>27</v>
      </c>
      <c r="F62" s="4">
        <v>0</v>
      </c>
      <c r="G62" s="5">
        <v>3</v>
      </c>
      <c r="H62" t="s">
        <v>28</v>
      </c>
      <c r="I62" t="str">
        <f t="shared" si="0"/>
        <v>2024-11</v>
      </c>
      <c r="J62" s="4">
        <f t="shared" si="1"/>
        <v>0</v>
      </c>
      <c r="K62" t="str" cm="1">
        <f t="array" ref="K62">_xlfn.IFS(G62&lt;=5, "Small", G62&lt;=15, "Medium", G62&gt;15, "Large")</f>
        <v>Small</v>
      </c>
      <c r="L62" t="str">
        <f t="shared" si="2"/>
        <v>Standard</v>
      </c>
      <c r="M62" t="str">
        <f t="shared" si="3"/>
        <v>Weekday</v>
      </c>
    </row>
    <row r="63" spans="1:13" x14ac:dyDescent="0.35">
      <c r="A63" t="s">
        <v>109</v>
      </c>
      <c r="B63" s="1">
        <v>45486</v>
      </c>
      <c r="C63" t="s">
        <v>33</v>
      </c>
      <c r="D63" t="s">
        <v>10</v>
      </c>
      <c r="E63" t="s">
        <v>27</v>
      </c>
      <c r="F63" s="4">
        <v>5149.68</v>
      </c>
      <c r="G63" s="5">
        <v>1</v>
      </c>
      <c r="H63" t="s">
        <v>15</v>
      </c>
      <c r="I63" t="str">
        <f t="shared" si="0"/>
        <v>2024-07</v>
      </c>
      <c r="J63" s="4">
        <f t="shared" si="1"/>
        <v>5149.68</v>
      </c>
      <c r="K63" t="str" cm="1">
        <f t="array" ref="K63">_xlfn.IFS(G63&lt;=5, "Small", G63&lt;=15, "Medium", G63&gt;15, "Large")</f>
        <v>Small</v>
      </c>
      <c r="L63" t="str">
        <f t="shared" si="2"/>
        <v>Standard</v>
      </c>
      <c r="M63" t="str">
        <f t="shared" si="3"/>
        <v>Weekend</v>
      </c>
    </row>
    <row r="64" spans="1:13" x14ac:dyDescent="0.35">
      <c r="A64" t="s">
        <v>110</v>
      </c>
      <c r="B64" s="1">
        <v>44949</v>
      </c>
      <c r="C64" t="s">
        <v>111</v>
      </c>
      <c r="D64" t="s">
        <v>31</v>
      </c>
      <c r="E64" t="s">
        <v>18</v>
      </c>
      <c r="F64" s="4">
        <v>2274.12</v>
      </c>
      <c r="G64" s="5">
        <v>14</v>
      </c>
      <c r="H64" t="s">
        <v>15</v>
      </c>
      <c r="I64" t="str">
        <f t="shared" si="0"/>
        <v>2023-01</v>
      </c>
      <c r="J64" s="4">
        <f t="shared" si="1"/>
        <v>162.43714285714285</v>
      </c>
      <c r="K64" t="str" cm="1">
        <f t="array" ref="K64">_xlfn.IFS(G64&lt;=5, "Small", G64&lt;=15, "Medium", G64&gt;15, "Large")</f>
        <v>Medium</v>
      </c>
      <c r="L64" t="str">
        <f t="shared" si="2"/>
        <v>Standard</v>
      </c>
      <c r="M64" t="str">
        <f t="shared" si="3"/>
        <v>Weekday</v>
      </c>
    </row>
    <row r="65" spans="1:13" x14ac:dyDescent="0.35">
      <c r="A65" t="s">
        <v>112</v>
      </c>
      <c r="B65" s="1">
        <v>44937</v>
      </c>
      <c r="C65" t="s">
        <v>30</v>
      </c>
      <c r="D65" t="s">
        <v>31</v>
      </c>
      <c r="E65" t="s">
        <v>18</v>
      </c>
      <c r="F65" s="4">
        <v>2626.64</v>
      </c>
      <c r="G65" s="5">
        <v>18</v>
      </c>
      <c r="H65" t="s">
        <v>15</v>
      </c>
      <c r="I65" t="str">
        <f t="shared" si="0"/>
        <v>2023-01</v>
      </c>
      <c r="J65" s="4">
        <f t="shared" si="1"/>
        <v>145.92444444444445</v>
      </c>
      <c r="K65" t="str" cm="1">
        <f t="array" ref="K65">_xlfn.IFS(G65&lt;=5, "Small", G65&lt;=15, "Medium", G65&gt;15, "Large")</f>
        <v>Large</v>
      </c>
      <c r="L65" t="str">
        <f t="shared" si="2"/>
        <v>Standard</v>
      </c>
      <c r="M65" t="str">
        <f t="shared" si="3"/>
        <v>Weekday</v>
      </c>
    </row>
    <row r="66" spans="1:13" x14ac:dyDescent="0.35">
      <c r="A66" t="s">
        <v>113</v>
      </c>
      <c r="B66" s="1">
        <v>45577</v>
      </c>
      <c r="C66" t="s">
        <v>48</v>
      </c>
      <c r="D66" t="s">
        <v>31</v>
      </c>
      <c r="E66" t="s">
        <v>18</v>
      </c>
      <c r="F66" s="4">
        <v>3260.9</v>
      </c>
      <c r="G66" s="5">
        <v>6</v>
      </c>
      <c r="H66" t="s">
        <v>15</v>
      </c>
      <c r="I66" t="str">
        <f t="shared" si="0"/>
        <v>2024-10</v>
      </c>
      <c r="J66" s="4">
        <f t="shared" si="1"/>
        <v>543.48333333333335</v>
      </c>
      <c r="K66" t="str" cm="1">
        <f t="array" ref="K66">_xlfn.IFS(G66&lt;=5, "Small", G66&lt;=15, "Medium", G66&gt;15, "Large")</f>
        <v>Medium</v>
      </c>
      <c r="L66" t="str">
        <f t="shared" si="2"/>
        <v>Standard</v>
      </c>
      <c r="M66" t="str">
        <f t="shared" si="3"/>
        <v>Weekend</v>
      </c>
    </row>
    <row r="67" spans="1:13" x14ac:dyDescent="0.35">
      <c r="A67" t="s">
        <v>114</v>
      </c>
      <c r="B67" s="1">
        <v>45287</v>
      </c>
      <c r="C67" t="s">
        <v>115</v>
      </c>
      <c r="D67" t="s">
        <v>31</v>
      </c>
      <c r="E67" t="s">
        <v>11</v>
      </c>
      <c r="F67" s="4">
        <v>14084.9</v>
      </c>
      <c r="G67" s="5">
        <v>7</v>
      </c>
      <c r="H67" t="s">
        <v>15</v>
      </c>
      <c r="I67" t="str">
        <f t="shared" ref="I67:I130" si="4">TEXT(B67, "YYYY-MM")</f>
        <v>2023-12</v>
      </c>
      <c r="J67" s="4">
        <f t="shared" ref="J67:J130" si="5">IFERROR(F67/G67, 0)</f>
        <v>2012.1285714285714</v>
      </c>
      <c r="K67" t="str" cm="1">
        <f t="array" ref="K67">_xlfn.IFS(G67&lt;=5, "Small", G67&lt;=15, "Medium", G67&gt;15, "Large")</f>
        <v>Medium</v>
      </c>
      <c r="L67" t="str">
        <f t="shared" ref="L67:L130" si="6">IF(F67&gt;_xlfn.PERCENTILE.INC($F$2:$F$10000, 0.9), "VIP", "Standard")</f>
        <v>Standard</v>
      </c>
      <c r="M67" t="str">
        <f t="shared" ref="M67:M130" si="7">IF(WEEKDAY(B67, 2)&gt;5, "Weekend", "Weekday")</f>
        <v>Weekday</v>
      </c>
    </row>
    <row r="68" spans="1:13" x14ac:dyDescent="0.35">
      <c r="A68" t="s">
        <v>116</v>
      </c>
      <c r="B68" s="1">
        <v>45614</v>
      </c>
      <c r="C68" t="s">
        <v>60</v>
      </c>
      <c r="D68" t="s">
        <v>21</v>
      </c>
      <c r="E68" t="s">
        <v>27</v>
      </c>
      <c r="F68" s="4">
        <v>8626.86</v>
      </c>
      <c r="G68" s="5">
        <v>4</v>
      </c>
      <c r="H68" t="s">
        <v>15</v>
      </c>
      <c r="I68" t="str">
        <f t="shared" si="4"/>
        <v>2024-11</v>
      </c>
      <c r="J68" s="4">
        <f t="shared" si="5"/>
        <v>2156.7150000000001</v>
      </c>
      <c r="K68" t="str" cm="1">
        <f t="array" ref="K68">_xlfn.IFS(G68&lt;=5, "Small", G68&lt;=15, "Medium", G68&gt;15, "Large")</f>
        <v>Small</v>
      </c>
      <c r="L68" t="str">
        <f t="shared" si="6"/>
        <v>Standard</v>
      </c>
      <c r="M68" t="str">
        <f t="shared" si="7"/>
        <v>Weekday</v>
      </c>
    </row>
    <row r="69" spans="1:13" x14ac:dyDescent="0.35">
      <c r="A69" t="s">
        <v>117</v>
      </c>
      <c r="B69" s="1">
        <v>45248</v>
      </c>
      <c r="C69" t="s">
        <v>69</v>
      </c>
      <c r="D69" t="s">
        <v>31</v>
      </c>
      <c r="E69" t="s">
        <v>18</v>
      </c>
      <c r="F69" s="4">
        <v>0</v>
      </c>
      <c r="G69" s="5">
        <v>5</v>
      </c>
      <c r="H69" t="s">
        <v>28</v>
      </c>
      <c r="I69" t="str">
        <f t="shared" si="4"/>
        <v>2023-11</v>
      </c>
      <c r="J69" s="4">
        <f t="shared" si="5"/>
        <v>0</v>
      </c>
      <c r="K69" t="str" cm="1">
        <f t="array" ref="K69">_xlfn.IFS(G69&lt;=5, "Small", G69&lt;=15, "Medium", G69&gt;15, "Large")</f>
        <v>Small</v>
      </c>
      <c r="L69" t="str">
        <f t="shared" si="6"/>
        <v>Standard</v>
      </c>
      <c r="M69" t="str">
        <f t="shared" si="7"/>
        <v>Weekend</v>
      </c>
    </row>
    <row r="70" spans="1:13" x14ac:dyDescent="0.35">
      <c r="A70" t="s">
        <v>118</v>
      </c>
      <c r="B70" s="1">
        <v>45632</v>
      </c>
      <c r="C70" t="s">
        <v>35</v>
      </c>
      <c r="D70" t="s">
        <v>31</v>
      </c>
      <c r="E70" t="s">
        <v>18</v>
      </c>
      <c r="F70" s="4">
        <v>1040.8</v>
      </c>
      <c r="G70" s="5">
        <v>20</v>
      </c>
      <c r="H70" t="s">
        <v>15</v>
      </c>
      <c r="I70" t="str">
        <f t="shared" si="4"/>
        <v>2024-12</v>
      </c>
      <c r="J70" s="4">
        <f t="shared" si="5"/>
        <v>52.04</v>
      </c>
      <c r="K70" t="str" cm="1">
        <f t="array" ref="K70">_xlfn.IFS(G70&lt;=5, "Small", G70&lt;=15, "Medium", G70&gt;15, "Large")</f>
        <v>Large</v>
      </c>
      <c r="L70" t="str">
        <f t="shared" si="6"/>
        <v>Standard</v>
      </c>
      <c r="M70" t="str">
        <f t="shared" si="7"/>
        <v>Weekday</v>
      </c>
    </row>
    <row r="71" spans="1:13" x14ac:dyDescent="0.35">
      <c r="A71" t="s">
        <v>119</v>
      </c>
      <c r="B71" s="1">
        <v>45333</v>
      </c>
      <c r="C71" t="s">
        <v>82</v>
      </c>
      <c r="D71" t="s">
        <v>10</v>
      </c>
      <c r="E71" t="s">
        <v>18</v>
      </c>
      <c r="F71" s="4">
        <v>3498.03</v>
      </c>
      <c r="G71" s="5">
        <v>27</v>
      </c>
      <c r="H71" t="s">
        <v>15</v>
      </c>
      <c r="I71" t="str">
        <f t="shared" si="4"/>
        <v>2024-02</v>
      </c>
      <c r="J71" s="4">
        <f t="shared" si="5"/>
        <v>129.55666666666667</v>
      </c>
      <c r="K71" t="str" cm="1">
        <f t="array" ref="K71">_xlfn.IFS(G71&lt;=5, "Small", G71&lt;=15, "Medium", G71&gt;15, "Large")</f>
        <v>Large</v>
      </c>
      <c r="L71" t="str">
        <f t="shared" si="6"/>
        <v>Standard</v>
      </c>
      <c r="M71" t="str">
        <f t="shared" si="7"/>
        <v>Weekend</v>
      </c>
    </row>
    <row r="72" spans="1:13" x14ac:dyDescent="0.35">
      <c r="A72" t="s">
        <v>120</v>
      </c>
      <c r="B72" s="1">
        <v>45581</v>
      </c>
      <c r="C72" t="s">
        <v>91</v>
      </c>
      <c r="D72" t="s">
        <v>31</v>
      </c>
      <c r="E72" t="s">
        <v>27</v>
      </c>
      <c r="F72" s="4">
        <v>0</v>
      </c>
      <c r="G72" s="5">
        <v>1</v>
      </c>
      <c r="H72" t="s">
        <v>28</v>
      </c>
      <c r="I72" t="str">
        <f t="shared" si="4"/>
        <v>2024-10</v>
      </c>
      <c r="J72" s="4">
        <f t="shared" si="5"/>
        <v>0</v>
      </c>
      <c r="K72" t="str" cm="1">
        <f t="array" ref="K72">_xlfn.IFS(G72&lt;=5, "Small", G72&lt;=15, "Medium", G72&gt;15, "Large")</f>
        <v>Small</v>
      </c>
      <c r="L72" t="str">
        <f t="shared" si="6"/>
        <v>Standard</v>
      </c>
      <c r="M72" t="str">
        <f t="shared" si="7"/>
        <v>Weekday</v>
      </c>
    </row>
    <row r="73" spans="1:13" x14ac:dyDescent="0.35">
      <c r="A73" t="s">
        <v>121</v>
      </c>
      <c r="B73" s="1">
        <v>44943</v>
      </c>
      <c r="C73" t="s">
        <v>25</v>
      </c>
      <c r="D73" t="s">
        <v>26</v>
      </c>
      <c r="E73" t="s">
        <v>27</v>
      </c>
      <c r="F73" s="4">
        <v>0</v>
      </c>
      <c r="G73" s="5">
        <v>1</v>
      </c>
      <c r="H73" t="s">
        <v>28</v>
      </c>
      <c r="I73" t="str">
        <f t="shared" si="4"/>
        <v>2023-01</v>
      </c>
      <c r="J73" s="4">
        <f t="shared" si="5"/>
        <v>0</v>
      </c>
      <c r="K73" t="str" cm="1">
        <f t="array" ref="K73">_xlfn.IFS(G73&lt;=5, "Small", G73&lt;=15, "Medium", G73&gt;15, "Large")</f>
        <v>Small</v>
      </c>
      <c r="L73" t="str">
        <f t="shared" si="6"/>
        <v>Standard</v>
      </c>
      <c r="M73" t="str">
        <f t="shared" si="7"/>
        <v>Weekday</v>
      </c>
    </row>
    <row r="74" spans="1:13" x14ac:dyDescent="0.35">
      <c r="A74" t="s">
        <v>122</v>
      </c>
      <c r="B74" s="1">
        <v>45023</v>
      </c>
      <c r="C74" t="s">
        <v>82</v>
      </c>
      <c r="D74" t="s">
        <v>10</v>
      </c>
      <c r="E74" t="s">
        <v>11</v>
      </c>
      <c r="F74" s="4">
        <v>17999.189999999999</v>
      </c>
      <c r="G74" s="5">
        <v>7</v>
      </c>
      <c r="H74" t="s">
        <v>15</v>
      </c>
      <c r="I74" t="str">
        <f t="shared" si="4"/>
        <v>2023-04</v>
      </c>
      <c r="J74" s="4">
        <f t="shared" si="5"/>
        <v>2571.312857142857</v>
      </c>
      <c r="K74" t="str" cm="1">
        <f t="array" ref="K74">_xlfn.IFS(G74&lt;=5, "Small", G74&lt;=15, "Medium", G74&gt;15, "Large")</f>
        <v>Medium</v>
      </c>
      <c r="L74" t="str">
        <f t="shared" si="6"/>
        <v>Standard</v>
      </c>
      <c r="M74" t="str">
        <f t="shared" si="7"/>
        <v>Weekday</v>
      </c>
    </row>
    <row r="75" spans="1:13" x14ac:dyDescent="0.35">
      <c r="A75" t="s">
        <v>123</v>
      </c>
      <c r="B75" s="1">
        <v>45137</v>
      </c>
      <c r="C75" t="s">
        <v>111</v>
      </c>
      <c r="D75" t="s">
        <v>31</v>
      </c>
      <c r="E75" t="s">
        <v>18</v>
      </c>
      <c r="F75" s="4">
        <v>291.43</v>
      </c>
      <c r="G75" s="5">
        <v>2</v>
      </c>
      <c r="H75" t="s">
        <v>15</v>
      </c>
      <c r="I75" t="str">
        <f t="shared" si="4"/>
        <v>2023-07</v>
      </c>
      <c r="J75" s="4">
        <f t="shared" si="5"/>
        <v>145.715</v>
      </c>
      <c r="K75" t="str" cm="1">
        <f t="array" ref="K75">_xlfn.IFS(G75&lt;=5, "Small", G75&lt;=15, "Medium", G75&gt;15, "Large")</f>
        <v>Small</v>
      </c>
      <c r="L75" t="str">
        <f t="shared" si="6"/>
        <v>Standard</v>
      </c>
      <c r="M75" t="str">
        <f t="shared" si="7"/>
        <v>Weekend</v>
      </c>
    </row>
    <row r="76" spans="1:13" x14ac:dyDescent="0.35">
      <c r="A76" t="s">
        <v>124</v>
      </c>
      <c r="B76" s="1">
        <v>45209</v>
      </c>
      <c r="C76" t="s">
        <v>60</v>
      </c>
      <c r="D76" t="s">
        <v>21</v>
      </c>
      <c r="E76" t="s">
        <v>18</v>
      </c>
      <c r="F76" s="4">
        <v>2690.94</v>
      </c>
      <c r="G76" s="5">
        <v>2</v>
      </c>
      <c r="H76" t="s">
        <v>15</v>
      </c>
      <c r="I76" t="str">
        <f t="shared" si="4"/>
        <v>2023-10</v>
      </c>
      <c r="J76" s="4">
        <f t="shared" si="5"/>
        <v>1345.47</v>
      </c>
      <c r="K76" t="str" cm="1">
        <f t="array" ref="K76">_xlfn.IFS(G76&lt;=5, "Small", G76&lt;=15, "Medium", G76&gt;15, "Large")</f>
        <v>Small</v>
      </c>
      <c r="L76" t="str">
        <f t="shared" si="6"/>
        <v>Standard</v>
      </c>
      <c r="M76" t="str">
        <f t="shared" si="7"/>
        <v>Weekday</v>
      </c>
    </row>
    <row r="77" spans="1:13" x14ac:dyDescent="0.35">
      <c r="A77" t="s">
        <v>125</v>
      </c>
      <c r="B77" s="1">
        <v>45431</v>
      </c>
      <c r="C77" t="s">
        <v>126</v>
      </c>
      <c r="D77" t="s">
        <v>21</v>
      </c>
      <c r="E77" t="s">
        <v>18</v>
      </c>
      <c r="F77" s="4">
        <v>2539.38</v>
      </c>
      <c r="G77" s="5">
        <v>4</v>
      </c>
      <c r="H77" t="s">
        <v>15</v>
      </c>
      <c r="I77" t="str">
        <f t="shared" si="4"/>
        <v>2024-05</v>
      </c>
      <c r="J77" s="4">
        <f t="shared" si="5"/>
        <v>634.84500000000003</v>
      </c>
      <c r="K77" t="str" cm="1">
        <f t="array" ref="K77">_xlfn.IFS(G77&lt;=5, "Small", G77&lt;=15, "Medium", G77&gt;15, "Large")</f>
        <v>Small</v>
      </c>
      <c r="L77" t="str">
        <f t="shared" si="6"/>
        <v>Standard</v>
      </c>
      <c r="M77" t="str">
        <f t="shared" si="7"/>
        <v>Weekend</v>
      </c>
    </row>
    <row r="78" spans="1:13" x14ac:dyDescent="0.35">
      <c r="A78" t="s">
        <v>127</v>
      </c>
      <c r="B78" s="1">
        <v>45496</v>
      </c>
      <c r="C78" t="s">
        <v>72</v>
      </c>
      <c r="D78" t="s">
        <v>26</v>
      </c>
      <c r="E78" t="s">
        <v>18</v>
      </c>
      <c r="F78" s="4">
        <v>1987.81</v>
      </c>
      <c r="G78" s="5">
        <v>22</v>
      </c>
      <c r="H78" t="s">
        <v>15</v>
      </c>
      <c r="I78" t="str">
        <f t="shared" si="4"/>
        <v>2024-07</v>
      </c>
      <c r="J78" s="4">
        <f t="shared" si="5"/>
        <v>90.355000000000004</v>
      </c>
      <c r="K78" t="str" cm="1">
        <f t="array" ref="K78">_xlfn.IFS(G78&lt;=5, "Small", G78&lt;=15, "Medium", G78&gt;15, "Large")</f>
        <v>Large</v>
      </c>
      <c r="L78" t="str">
        <f t="shared" si="6"/>
        <v>Standard</v>
      </c>
      <c r="M78" t="str">
        <f t="shared" si="7"/>
        <v>Weekday</v>
      </c>
    </row>
    <row r="79" spans="1:13" x14ac:dyDescent="0.35">
      <c r="A79" t="s">
        <v>128</v>
      </c>
      <c r="B79" s="1">
        <v>45553</v>
      </c>
      <c r="C79" t="s">
        <v>74</v>
      </c>
      <c r="D79" t="s">
        <v>31</v>
      </c>
      <c r="E79" t="s">
        <v>18</v>
      </c>
      <c r="F79" s="4">
        <v>2999.76</v>
      </c>
      <c r="G79" s="5">
        <v>3</v>
      </c>
      <c r="H79" t="s">
        <v>15</v>
      </c>
      <c r="I79" t="str">
        <f t="shared" si="4"/>
        <v>2024-09</v>
      </c>
      <c r="J79" s="4">
        <f t="shared" si="5"/>
        <v>999.92000000000007</v>
      </c>
      <c r="K79" t="str" cm="1">
        <f t="array" ref="K79">_xlfn.IFS(G79&lt;=5, "Small", G79&lt;=15, "Medium", G79&gt;15, "Large")</f>
        <v>Small</v>
      </c>
      <c r="L79" t="str">
        <f t="shared" si="6"/>
        <v>Standard</v>
      </c>
      <c r="M79" t="str">
        <f t="shared" si="7"/>
        <v>Weekday</v>
      </c>
    </row>
    <row r="80" spans="1:13" x14ac:dyDescent="0.35">
      <c r="A80" t="s">
        <v>129</v>
      </c>
      <c r="B80" s="1">
        <v>45463</v>
      </c>
      <c r="C80" t="s">
        <v>37</v>
      </c>
      <c r="D80" t="s">
        <v>21</v>
      </c>
      <c r="E80" t="s">
        <v>18</v>
      </c>
      <c r="F80" s="4">
        <v>2214.9899999999998</v>
      </c>
      <c r="G80" s="5">
        <v>16</v>
      </c>
      <c r="H80" t="s">
        <v>15</v>
      </c>
      <c r="I80" t="str">
        <f t="shared" si="4"/>
        <v>2024-06</v>
      </c>
      <c r="J80" s="4">
        <f t="shared" si="5"/>
        <v>138.43687499999999</v>
      </c>
      <c r="K80" t="str" cm="1">
        <f t="array" ref="K80">_xlfn.IFS(G80&lt;=5, "Small", G80&lt;=15, "Medium", G80&gt;15, "Large")</f>
        <v>Large</v>
      </c>
      <c r="L80" t="str">
        <f t="shared" si="6"/>
        <v>Standard</v>
      </c>
      <c r="M80" t="str">
        <f t="shared" si="7"/>
        <v>Weekday</v>
      </c>
    </row>
    <row r="81" spans="1:13" x14ac:dyDescent="0.35">
      <c r="A81" t="s">
        <v>130</v>
      </c>
      <c r="B81" s="1">
        <v>44989</v>
      </c>
      <c r="C81" t="s">
        <v>55</v>
      </c>
      <c r="D81" t="s">
        <v>10</v>
      </c>
      <c r="E81" t="s">
        <v>27</v>
      </c>
      <c r="F81" s="4">
        <v>30207.24</v>
      </c>
      <c r="G81" s="5">
        <v>1</v>
      </c>
      <c r="H81" t="s">
        <v>15</v>
      </c>
      <c r="I81" t="str">
        <f t="shared" si="4"/>
        <v>2023-03</v>
      </c>
      <c r="J81" s="4">
        <f t="shared" si="5"/>
        <v>30207.24</v>
      </c>
      <c r="K81" t="str" cm="1">
        <f t="array" ref="K81">_xlfn.IFS(G81&lt;=5, "Small", G81&lt;=15, "Medium", G81&gt;15, "Large")</f>
        <v>Small</v>
      </c>
      <c r="L81" t="str">
        <f t="shared" si="6"/>
        <v>VIP</v>
      </c>
      <c r="M81" t="str">
        <f t="shared" si="7"/>
        <v>Weekend</v>
      </c>
    </row>
    <row r="82" spans="1:13" x14ac:dyDescent="0.35">
      <c r="A82" t="s">
        <v>131</v>
      </c>
      <c r="B82" s="1">
        <v>45213</v>
      </c>
      <c r="C82" t="s">
        <v>33</v>
      </c>
      <c r="D82" t="s">
        <v>10</v>
      </c>
      <c r="E82" t="s">
        <v>18</v>
      </c>
      <c r="F82" s="4">
        <v>1475.05</v>
      </c>
      <c r="G82" s="5">
        <v>29</v>
      </c>
      <c r="H82" t="s">
        <v>15</v>
      </c>
      <c r="I82" t="str">
        <f t="shared" si="4"/>
        <v>2023-10</v>
      </c>
      <c r="J82" s="4">
        <f t="shared" si="5"/>
        <v>50.863793103448273</v>
      </c>
      <c r="K82" t="str" cm="1">
        <f t="array" ref="K82">_xlfn.IFS(G82&lt;=5, "Small", G82&lt;=15, "Medium", G82&gt;15, "Large")</f>
        <v>Large</v>
      </c>
      <c r="L82" t="str">
        <f t="shared" si="6"/>
        <v>Standard</v>
      </c>
      <c r="M82" t="str">
        <f t="shared" si="7"/>
        <v>Weekend</v>
      </c>
    </row>
    <row r="83" spans="1:13" x14ac:dyDescent="0.35">
      <c r="A83" t="s">
        <v>132</v>
      </c>
      <c r="B83" s="1">
        <v>45375</v>
      </c>
      <c r="C83" t="s">
        <v>23</v>
      </c>
      <c r="D83" t="s">
        <v>21</v>
      </c>
      <c r="E83" t="s">
        <v>18</v>
      </c>
      <c r="F83" s="4">
        <v>156.33000000000001</v>
      </c>
      <c r="G83" s="5">
        <v>6</v>
      </c>
      <c r="H83" t="s">
        <v>15</v>
      </c>
      <c r="I83" t="str">
        <f t="shared" si="4"/>
        <v>2024-03</v>
      </c>
      <c r="J83" s="4">
        <f t="shared" si="5"/>
        <v>26.055000000000003</v>
      </c>
      <c r="K83" t="str" cm="1">
        <f t="array" ref="K83">_xlfn.IFS(G83&lt;=5, "Small", G83&lt;=15, "Medium", G83&gt;15, "Large")</f>
        <v>Medium</v>
      </c>
      <c r="L83" t="str">
        <f t="shared" si="6"/>
        <v>Standard</v>
      </c>
      <c r="M83" t="str">
        <f t="shared" si="7"/>
        <v>Weekend</v>
      </c>
    </row>
    <row r="84" spans="1:13" x14ac:dyDescent="0.35">
      <c r="A84" t="s">
        <v>133</v>
      </c>
      <c r="B84" s="1">
        <v>45576</v>
      </c>
      <c r="C84" t="s">
        <v>40</v>
      </c>
      <c r="D84" t="s">
        <v>26</v>
      </c>
      <c r="E84" t="s">
        <v>27</v>
      </c>
      <c r="F84" s="4">
        <v>956.72</v>
      </c>
      <c r="G84" s="5">
        <v>2</v>
      </c>
      <c r="H84" t="s">
        <v>15</v>
      </c>
      <c r="I84" t="str">
        <f t="shared" si="4"/>
        <v>2024-10</v>
      </c>
      <c r="J84" s="4">
        <f t="shared" si="5"/>
        <v>478.36</v>
      </c>
      <c r="K84" t="str" cm="1">
        <f t="array" ref="K84">_xlfn.IFS(G84&lt;=5, "Small", G84&lt;=15, "Medium", G84&gt;15, "Large")</f>
        <v>Small</v>
      </c>
      <c r="L84" t="str">
        <f t="shared" si="6"/>
        <v>Standard</v>
      </c>
      <c r="M84" t="str">
        <f t="shared" si="7"/>
        <v>Weekday</v>
      </c>
    </row>
    <row r="85" spans="1:13" x14ac:dyDescent="0.35">
      <c r="A85" t="s">
        <v>134</v>
      </c>
      <c r="B85" s="1">
        <v>45119</v>
      </c>
      <c r="C85" t="s">
        <v>62</v>
      </c>
      <c r="D85" t="s">
        <v>10</v>
      </c>
      <c r="E85" t="s">
        <v>18</v>
      </c>
      <c r="F85" s="4">
        <v>550.78</v>
      </c>
      <c r="G85" s="5">
        <v>8</v>
      </c>
      <c r="H85" t="s">
        <v>15</v>
      </c>
      <c r="I85" t="str">
        <f t="shared" si="4"/>
        <v>2023-07</v>
      </c>
      <c r="J85" s="4">
        <f t="shared" si="5"/>
        <v>68.847499999999997</v>
      </c>
      <c r="K85" t="str" cm="1">
        <f t="array" ref="K85">_xlfn.IFS(G85&lt;=5, "Small", G85&lt;=15, "Medium", G85&gt;15, "Large")</f>
        <v>Medium</v>
      </c>
      <c r="L85" t="str">
        <f t="shared" si="6"/>
        <v>Standard</v>
      </c>
      <c r="M85" t="str">
        <f t="shared" si="7"/>
        <v>Weekday</v>
      </c>
    </row>
    <row r="86" spans="1:13" x14ac:dyDescent="0.35">
      <c r="A86" t="s">
        <v>135</v>
      </c>
      <c r="B86" s="1">
        <v>45083</v>
      </c>
      <c r="C86" t="s">
        <v>40</v>
      </c>
      <c r="D86" t="s">
        <v>26</v>
      </c>
      <c r="E86" t="s">
        <v>18</v>
      </c>
      <c r="F86" s="4">
        <v>1186.03</v>
      </c>
      <c r="G86" s="5">
        <v>18</v>
      </c>
      <c r="H86" t="s">
        <v>15</v>
      </c>
      <c r="I86" t="str">
        <f t="shared" si="4"/>
        <v>2023-06</v>
      </c>
      <c r="J86" s="4">
        <f t="shared" si="5"/>
        <v>65.890555555555551</v>
      </c>
      <c r="K86" t="str" cm="1">
        <f t="array" ref="K86">_xlfn.IFS(G86&lt;=5, "Small", G86&lt;=15, "Medium", G86&gt;15, "Large")</f>
        <v>Large</v>
      </c>
      <c r="L86" t="str">
        <f t="shared" si="6"/>
        <v>Standard</v>
      </c>
      <c r="M86" t="str">
        <f t="shared" si="7"/>
        <v>Weekday</v>
      </c>
    </row>
    <row r="87" spans="1:13" x14ac:dyDescent="0.35">
      <c r="A87" t="s">
        <v>136</v>
      </c>
      <c r="B87" s="1">
        <v>45505</v>
      </c>
      <c r="C87" t="s">
        <v>74</v>
      </c>
      <c r="D87" t="s">
        <v>31</v>
      </c>
      <c r="E87" t="s">
        <v>18</v>
      </c>
      <c r="F87" s="4">
        <v>1888.72</v>
      </c>
      <c r="G87" s="5">
        <v>24</v>
      </c>
      <c r="H87" t="s">
        <v>15</v>
      </c>
      <c r="I87" t="str">
        <f t="shared" si="4"/>
        <v>2024-08</v>
      </c>
      <c r="J87" s="4">
        <f t="shared" si="5"/>
        <v>78.696666666666673</v>
      </c>
      <c r="K87" t="str" cm="1">
        <f t="array" ref="K87">_xlfn.IFS(G87&lt;=5, "Small", G87&lt;=15, "Medium", G87&gt;15, "Large")</f>
        <v>Large</v>
      </c>
      <c r="L87" t="str">
        <f t="shared" si="6"/>
        <v>Standard</v>
      </c>
      <c r="M87" t="str">
        <f t="shared" si="7"/>
        <v>Weekday</v>
      </c>
    </row>
    <row r="88" spans="1:13" x14ac:dyDescent="0.35">
      <c r="A88" t="s">
        <v>137</v>
      </c>
      <c r="B88" s="1">
        <v>44974</v>
      </c>
      <c r="C88" t="s">
        <v>30</v>
      </c>
      <c r="D88" t="s">
        <v>31</v>
      </c>
      <c r="E88" t="s">
        <v>18</v>
      </c>
      <c r="F88" s="4">
        <v>2622.16</v>
      </c>
      <c r="G88" s="5">
        <v>1</v>
      </c>
      <c r="H88" t="s">
        <v>15</v>
      </c>
      <c r="I88" t="str">
        <f t="shared" si="4"/>
        <v>2023-02</v>
      </c>
      <c r="J88" s="4">
        <f t="shared" si="5"/>
        <v>2622.16</v>
      </c>
      <c r="K88" t="str" cm="1">
        <f t="array" ref="K88">_xlfn.IFS(G88&lt;=5, "Small", G88&lt;=15, "Medium", G88&gt;15, "Large")</f>
        <v>Small</v>
      </c>
      <c r="L88" t="str">
        <f t="shared" si="6"/>
        <v>Standard</v>
      </c>
      <c r="M88" t="str">
        <f t="shared" si="7"/>
        <v>Weekday</v>
      </c>
    </row>
    <row r="89" spans="1:13" x14ac:dyDescent="0.35">
      <c r="A89" t="s">
        <v>138</v>
      </c>
      <c r="B89" s="1">
        <v>45003</v>
      </c>
      <c r="C89" t="s">
        <v>74</v>
      </c>
      <c r="D89" t="s">
        <v>26</v>
      </c>
      <c r="E89" t="s">
        <v>18</v>
      </c>
      <c r="F89" s="4">
        <v>2098.65</v>
      </c>
      <c r="G89" s="5">
        <v>10</v>
      </c>
      <c r="H89" t="s">
        <v>15</v>
      </c>
      <c r="I89" t="str">
        <f t="shared" si="4"/>
        <v>2023-03</v>
      </c>
      <c r="J89" s="4">
        <f t="shared" si="5"/>
        <v>209.86500000000001</v>
      </c>
      <c r="K89" t="str" cm="1">
        <f t="array" ref="K89">_xlfn.IFS(G89&lt;=5, "Small", G89&lt;=15, "Medium", G89&gt;15, "Large")</f>
        <v>Medium</v>
      </c>
      <c r="L89" t="str">
        <f t="shared" si="6"/>
        <v>Standard</v>
      </c>
      <c r="M89" t="str">
        <f t="shared" si="7"/>
        <v>Weekend</v>
      </c>
    </row>
    <row r="90" spans="1:13" x14ac:dyDescent="0.35">
      <c r="A90" t="s">
        <v>139</v>
      </c>
      <c r="B90" s="1">
        <v>45639</v>
      </c>
      <c r="C90" t="s">
        <v>35</v>
      </c>
      <c r="D90" t="s">
        <v>31</v>
      </c>
      <c r="E90" t="s">
        <v>18</v>
      </c>
      <c r="F90" s="4">
        <v>670.3</v>
      </c>
      <c r="G90" s="5">
        <v>17</v>
      </c>
      <c r="H90" t="s">
        <v>15</v>
      </c>
      <c r="I90" t="str">
        <f t="shared" si="4"/>
        <v>2024-12</v>
      </c>
      <c r="J90" s="4">
        <f t="shared" si="5"/>
        <v>39.429411764705883</v>
      </c>
      <c r="K90" t="str" cm="1">
        <f t="array" ref="K90">_xlfn.IFS(G90&lt;=5, "Small", G90&lt;=15, "Medium", G90&gt;15, "Large")</f>
        <v>Large</v>
      </c>
      <c r="L90" t="str">
        <f t="shared" si="6"/>
        <v>Standard</v>
      </c>
      <c r="M90" t="str">
        <f t="shared" si="7"/>
        <v>Weekday</v>
      </c>
    </row>
    <row r="91" spans="1:13" x14ac:dyDescent="0.35">
      <c r="A91" t="s">
        <v>140</v>
      </c>
      <c r="B91" s="1">
        <v>45356</v>
      </c>
      <c r="C91" t="s">
        <v>60</v>
      </c>
      <c r="D91" t="s">
        <v>21</v>
      </c>
      <c r="E91" t="s">
        <v>11</v>
      </c>
      <c r="F91" s="4">
        <v>4372.12</v>
      </c>
      <c r="G91" s="5">
        <v>2</v>
      </c>
      <c r="H91" t="s">
        <v>15</v>
      </c>
      <c r="I91" t="str">
        <f t="shared" si="4"/>
        <v>2024-03</v>
      </c>
      <c r="J91" s="4">
        <f t="shared" si="5"/>
        <v>2186.06</v>
      </c>
      <c r="K91" t="str" cm="1">
        <f t="array" ref="K91">_xlfn.IFS(G91&lt;=5, "Small", G91&lt;=15, "Medium", G91&gt;15, "Large")</f>
        <v>Small</v>
      </c>
      <c r="L91" t="str">
        <f t="shared" si="6"/>
        <v>Standard</v>
      </c>
      <c r="M91" t="str">
        <f t="shared" si="7"/>
        <v>Weekday</v>
      </c>
    </row>
    <row r="92" spans="1:13" x14ac:dyDescent="0.35">
      <c r="A92" t="s">
        <v>141</v>
      </c>
      <c r="B92" s="1">
        <v>45616</v>
      </c>
      <c r="C92" t="s">
        <v>25</v>
      </c>
      <c r="D92" t="s">
        <v>26</v>
      </c>
      <c r="E92" t="s">
        <v>11</v>
      </c>
      <c r="F92" s="4">
        <v>0</v>
      </c>
      <c r="G92" s="5">
        <v>3</v>
      </c>
      <c r="H92" t="s">
        <v>28</v>
      </c>
      <c r="I92" t="str">
        <f t="shared" si="4"/>
        <v>2024-11</v>
      </c>
      <c r="J92" s="4">
        <f t="shared" si="5"/>
        <v>0</v>
      </c>
      <c r="K92" t="str" cm="1">
        <f t="array" ref="K92">_xlfn.IFS(G92&lt;=5, "Small", G92&lt;=15, "Medium", G92&gt;15, "Large")</f>
        <v>Small</v>
      </c>
      <c r="L92" t="str">
        <f t="shared" si="6"/>
        <v>Standard</v>
      </c>
      <c r="M92" t="str">
        <f t="shared" si="7"/>
        <v>Weekday</v>
      </c>
    </row>
    <row r="93" spans="1:13" x14ac:dyDescent="0.35">
      <c r="A93" t="s">
        <v>142</v>
      </c>
      <c r="B93" s="1">
        <v>45195</v>
      </c>
      <c r="C93" t="s">
        <v>30</v>
      </c>
      <c r="D93" t="s">
        <v>10</v>
      </c>
      <c r="E93" t="s">
        <v>11</v>
      </c>
      <c r="F93" s="4">
        <v>11891.18</v>
      </c>
      <c r="G93" s="5">
        <v>2</v>
      </c>
      <c r="H93" t="s">
        <v>15</v>
      </c>
      <c r="I93" t="str">
        <f t="shared" si="4"/>
        <v>2023-09</v>
      </c>
      <c r="J93" s="4">
        <f t="shared" si="5"/>
        <v>5945.59</v>
      </c>
      <c r="K93" t="str" cm="1">
        <f t="array" ref="K93">_xlfn.IFS(G93&lt;=5, "Small", G93&lt;=15, "Medium", G93&gt;15, "Large")</f>
        <v>Small</v>
      </c>
      <c r="L93" t="str">
        <f t="shared" si="6"/>
        <v>Standard</v>
      </c>
      <c r="M93" t="str">
        <f t="shared" si="7"/>
        <v>Weekday</v>
      </c>
    </row>
    <row r="94" spans="1:13" x14ac:dyDescent="0.35">
      <c r="A94" t="s">
        <v>143</v>
      </c>
      <c r="B94" s="1">
        <v>45640</v>
      </c>
      <c r="C94" t="s">
        <v>23</v>
      </c>
      <c r="D94" t="s">
        <v>21</v>
      </c>
      <c r="E94" t="s">
        <v>27</v>
      </c>
      <c r="F94" s="4">
        <v>0</v>
      </c>
      <c r="G94" s="5">
        <v>1</v>
      </c>
      <c r="H94" t="s">
        <v>12</v>
      </c>
      <c r="I94" t="str">
        <f t="shared" si="4"/>
        <v>2024-12</v>
      </c>
      <c r="J94" s="4">
        <f t="shared" si="5"/>
        <v>0</v>
      </c>
      <c r="K94" t="str" cm="1">
        <f t="array" ref="K94">_xlfn.IFS(G94&lt;=5, "Small", G94&lt;=15, "Medium", G94&gt;15, "Large")</f>
        <v>Small</v>
      </c>
      <c r="L94" t="str">
        <f t="shared" si="6"/>
        <v>Standard</v>
      </c>
      <c r="M94" t="str">
        <f t="shared" si="7"/>
        <v>Weekend</v>
      </c>
    </row>
    <row r="95" spans="1:13" x14ac:dyDescent="0.35">
      <c r="A95" t="s">
        <v>144</v>
      </c>
      <c r="B95" s="1">
        <v>45342</v>
      </c>
      <c r="C95" t="s">
        <v>62</v>
      </c>
      <c r="D95" t="s">
        <v>10</v>
      </c>
      <c r="E95" t="s">
        <v>18</v>
      </c>
      <c r="F95" s="4">
        <v>2752.99</v>
      </c>
      <c r="G95" s="5">
        <v>17</v>
      </c>
      <c r="H95" t="s">
        <v>15</v>
      </c>
      <c r="I95" t="str">
        <f t="shared" si="4"/>
        <v>2024-02</v>
      </c>
      <c r="J95" s="4">
        <f t="shared" si="5"/>
        <v>161.94058823529411</v>
      </c>
      <c r="K95" t="str" cm="1">
        <f t="array" ref="K95">_xlfn.IFS(G95&lt;=5, "Small", G95&lt;=15, "Medium", G95&gt;15, "Large")</f>
        <v>Large</v>
      </c>
      <c r="L95" t="str">
        <f t="shared" si="6"/>
        <v>Standard</v>
      </c>
      <c r="M95" t="str">
        <f t="shared" si="7"/>
        <v>Weekday</v>
      </c>
    </row>
    <row r="96" spans="1:13" x14ac:dyDescent="0.35">
      <c r="A96" t="s">
        <v>145</v>
      </c>
      <c r="B96" s="1">
        <v>45374</v>
      </c>
      <c r="C96" t="s">
        <v>126</v>
      </c>
      <c r="D96" t="s">
        <v>21</v>
      </c>
      <c r="E96" t="s">
        <v>18</v>
      </c>
      <c r="F96" s="4">
        <v>2830.5</v>
      </c>
      <c r="G96" s="5">
        <v>28</v>
      </c>
      <c r="H96" t="s">
        <v>15</v>
      </c>
      <c r="I96" t="str">
        <f t="shared" si="4"/>
        <v>2024-03</v>
      </c>
      <c r="J96" s="4">
        <f t="shared" si="5"/>
        <v>101.08928571428571</v>
      </c>
      <c r="K96" t="str" cm="1">
        <f t="array" ref="K96">_xlfn.IFS(G96&lt;=5, "Small", G96&lt;=15, "Medium", G96&gt;15, "Large")</f>
        <v>Large</v>
      </c>
      <c r="L96" t="str">
        <f t="shared" si="6"/>
        <v>Standard</v>
      </c>
      <c r="M96" t="str">
        <f t="shared" si="7"/>
        <v>Weekend</v>
      </c>
    </row>
    <row r="97" spans="1:13" x14ac:dyDescent="0.35">
      <c r="A97" t="s">
        <v>146</v>
      </c>
      <c r="B97" s="1">
        <v>45486</v>
      </c>
      <c r="C97" t="s">
        <v>20</v>
      </c>
      <c r="D97" t="s">
        <v>21</v>
      </c>
      <c r="E97" t="s">
        <v>27</v>
      </c>
      <c r="F97" s="4">
        <v>25912.21</v>
      </c>
      <c r="G97" s="5">
        <v>3</v>
      </c>
      <c r="H97" t="s">
        <v>15</v>
      </c>
      <c r="I97" t="str">
        <f t="shared" si="4"/>
        <v>2024-07</v>
      </c>
      <c r="J97" s="4">
        <f t="shared" si="5"/>
        <v>8637.4033333333336</v>
      </c>
      <c r="K97" t="str" cm="1">
        <f t="array" ref="K97">_xlfn.IFS(G97&lt;=5, "Small", G97&lt;=15, "Medium", G97&gt;15, "Large")</f>
        <v>Small</v>
      </c>
      <c r="L97" t="str">
        <f t="shared" si="6"/>
        <v>Standard</v>
      </c>
      <c r="M97" t="str">
        <f t="shared" si="7"/>
        <v>Weekend</v>
      </c>
    </row>
    <row r="98" spans="1:13" x14ac:dyDescent="0.35">
      <c r="A98" t="s">
        <v>147</v>
      </c>
      <c r="B98" s="1">
        <v>45611</v>
      </c>
      <c r="C98" t="s">
        <v>62</v>
      </c>
      <c r="D98" t="s">
        <v>10</v>
      </c>
      <c r="E98" t="s">
        <v>18</v>
      </c>
      <c r="F98" s="4">
        <v>1867.46</v>
      </c>
      <c r="G98" s="5">
        <v>9</v>
      </c>
      <c r="H98" t="s">
        <v>15</v>
      </c>
      <c r="I98" t="str">
        <f t="shared" si="4"/>
        <v>2024-11</v>
      </c>
      <c r="J98" s="4">
        <f t="shared" si="5"/>
        <v>207.49555555555557</v>
      </c>
      <c r="K98" t="str" cm="1">
        <f t="array" ref="K98">_xlfn.IFS(G98&lt;=5, "Small", G98&lt;=15, "Medium", G98&gt;15, "Large")</f>
        <v>Medium</v>
      </c>
      <c r="L98" t="str">
        <f t="shared" si="6"/>
        <v>Standard</v>
      </c>
      <c r="M98" t="str">
        <f t="shared" si="7"/>
        <v>Weekday</v>
      </c>
    </row>
    <row r="99" spans="1:13" x14ac:dyDescent="0.35">
      <c r="A99" t="s">
        <v>148</v>
      </c>
      <c r="B99" s="1">
        <v>45574</v>
      </c>
      <c r="C99" t="s">
        <v>97</v>
      </c>
      <c r="D99" t="s">
        <v>21</v>
      </c>
      <c r="E99" t="s">
        <v>27</v>
      </c>
      <c r="F99" s="4">
        <v>0</v>
      </c>
      <c r="G99" s="5">
        <v>1</v>
      </c>
      <c r="H99" t="s">
        <v>28</v>
      </c>
      <c r="I99" t="str">
        <f t="shared" si="4"/>
        <v>2024-10</v>
      </c>
      <c r="J99" s="4">
        <f t="shared" si="5"/>
        <v>0</v>
      </c>
      <c r="K99" t="str" cm="1">
        <f t="array" ref="K99">_xlfn.IFS(G99&lt;=5, "Small", G99&lt;=15, "Medium", G99&gt;15, "Large")</f>
        <v>Small</v>
      </c>
      <c r="L99" t="str">
        <f t="shared" si="6"/>
        <v>Standard</v>
      </c>
      <c r="M99" t="str">
        <f t="shared" si="7"/>
        <v>Weekday</v>
      </c>
    </row>
    <row r="100" spans="1:13" x14ac:dyDescent="0.35">
      <c r="A100" t="s">
        <v>149</v>
      </c>
      <c r="B100" s="1">
        <v>45131</v>
      </c>
      <c r="C100" t="s">
        <v>84</v>
      </c>
      <c r="D100" t="s">
        <v>26</v>
      </c>
      <c r="E100" t="s">
        <v>11</v>
      </c>
      <c r="F100" s="4">
        <v>13696.2</v>
      </c>
      <c r="G100" s="5">
        <v>4</v>
      </c>
      <c r="H100" t="s">
        <v>15</v>
      </c>
      <c r="I100" t="str">
        <f t="shared" si="4"/>
        <v>2023-07</v>
      </c>
      <c r="J100" s="4">
        <f t="shared" si="5"/>
        <v>3424.05</v>
      </c>
      <c r="K100" t="str" cm="1">
        <f t="array" ref="K100">_xlfn.IFS(G100&lt;=5, "Small", G100&lt;=15, "Medium", G100&gt;15, "Large")</f>
        <v>Small</v>
      </c>
      <c r="L100" t="str">
        <f t="shared" si="6"/>
        <v>Standard</v>
      </c>
      <c r="M100" t="str">
        <f t="shared" si="7"/>
        <v>Weekday</v>
      </c>
    </row>
    <row r="101" spans="1:13" x14ac:dyDescent="0.35">
      <c r="A101" t="s">
        <v>150</v>
      </c>
      <c r="B101" s="1">
        <v>45088</v>
      </c>
      <c r="C101" t="s">
        <v>50</v>
      </c>
      <c r="D101" t="s">
        <v>26</v>
      </c>
      <c r="E101" t="s">
        <v>18</v>
      </c>
      <c r="F101" s="4">
        <v>2131.39</v>
      </c>
      <c r="G101" s="5">
        <v>7</v>
      </c>
      <c r="H101" t="s">
        <v>15</v>
      </c>
      <c r="I101" t="str">
        <f t="shared" si="4"/>
        <v>2023-06</v>
      </c>
      <c r="J101" s="4">
        <f t="shared" si="5"/>
        <v>304.4842857142857</v>
      </c>
      <c r="K101" t="str" cm="1">
        <f t="array" ref="K101">_xlfn.IFS(G101&lt;=5, "Small", G101&lt;=15, "Medium", G101&gt;15, "Large")</f>
        <v>Medium</v>
      </c>
      <c r="L101" t="str">
        <f t="shared" si="6"/>
        <v>Standard</v>
      </c>
      <c r="M101" t="str">
        <f t="shared" si="7"/>
        <v>Weekend</v>
      </c>
    </row>
    <row r="102" spans="1:13" x14ac:dyDescent="0.35">
      <c r="A102" t="s">
        <v>151</v>
      </c>
      <c r="B102" s="1">
        <v>45309</v>
      </c>
      <c r="C102" t="s">
        <v>60</v>
      </c>
      <c r="D102" t="s">
        <v>21</v>
      </c>
      <c r="E102" t="s">
        <v>18</v>
      </c>
      <c r="F102" s="4">
        <v>1558.02</v>
      </c>
      <c r="G102" s="5">
        <v>8</v>
      </c>
      <c r="H102" t="s">
        <v>15</v>
      </c>
      <c r="I102" t="str">
        <f t="shared" si="4"/>
        <v>2024-01</v>
      </c>
      <c r="J102" s="4">
        <f t="shared" si="5"/>
        <v>194.7525</v>
      </c>
      <c r="K102" t="str" cm="1">
        <f t="array" ref="K102">_xlfn.IFS(G102&lt;=5, "Small", G102&lt;=15, "Medium", G102&gt;15, "Large")</f>
        <v>Medium</v>
      </c>
      <c r="L102" t="str">
        <f t="shared" si="6"/>
        <v>Standard</v>
      </c>
      <c r="M102" t="str">
        <f t="shared" si="7"/>
        <v>Weekday</v>
      </c>
    </row>
    <row r="103" spans="1:13" x14ac:dyDescent="0.35">
      <c r="A103" t="s">
        <v>152</v>
      </c>
      <c r="B103" s="1">
        <v>45505</v>
      </c>
      <c r="C103" t="s">
        <v>14</v>
      </c>
      <c r="D103" t="s">
        <v>10</v>
      </c>
      <c r="E103" t="s">
        <v>18</v>
      </c>
      <c r="F103" s="4">
        <v>795.03</v>
      </c>
      <c r="G103" s="5">
        <v>28</v>
      </c>
      <c r="H103" t="s">
        <v>15</v>
      </c>
      <c r="I103" t="str">
        <f t="shared" si="4"/>
        <v>2024-08</v>
      </c>
      <c r="J103" s="4">
        <f t="shared" si="5"/>
        <v>28.393928571428571</v>
      </c>
      <c r="K103" t="str" cm="1">
        <f t="array" ref="K103">_xlfn.IFS(G103&lt;=5, "Small", G103&lt;=15, "Medium", G103&gt;15, "Large")</f>
        <v>Large</v>
      </c>
      <c r="L103" t="str">
        <f t="shared" si="6"/>
        <v>Standard</v>
      </c>
      <c r="M103" t="str">
        <f t="shared" si="7"/>
        <v>Weekday</v>
      </c>
    </row>
    <row r="104" spans="1:13" x14ac:dyDescent="0.35">
      <c r="A104" t="s">
        <v>153</v>
      </c>
      <c r="B104" s="1">
        <v>45249</v>
      </c>
      <c r="C104" t="s">
        <v>14</v>
      </c>
      <c r="D104" t="s">
        <v>10</v>
      </c>
      <c r="E104" t="s">
        <v>11</v>
      </c>
      <c r="F104" s="4">
        <v>15958.89</v>
      </c>
      <c r="G104" s="5">
        <v>8</v>
      </c>
      <c r="H104" t="s">
        <v>15</v>
      </c>
      <c r="I104" t="str">
        <f t="shared" si="4"/>
        <v>2023-11</v>
      </c>
      <c r="J104" s="4">
        <f t="shared" si="5"/>
        <v>1994.8612499999999</v>
      </c>
      <c r="K104" t="str" cm="1">
        <f t="array" ref="K104">_xlfn.IFS(G104&lt;=5, "Small", G104&lt;=15, "Medium", G104&gt;15, "Large")</f>
        <v>Medium</v>
      </c>
      <c r="L104" t="str">
        <f t="shared" si="6"/>
        <v>Standard</v>
      </c>
      <c r="M104" t="str">
        <f t="shared" si="7"/>
        <v>Weekend</v>
      </c>
    </row>
    <row r="105" spans="1:13" x14ac:dyDescent="0.35">
      <c r="A105" t="s">
        <v>154</v>
      </c>
      <c r="B105" s="1">
        <v>45413</v>
      </c>
      <c r="C105" t="s">
        <v>42</v>
      </c>
      <c r="D105" t="s">
        <v>10</v>
      </c>
      <c r="E105" t="s">
        <v>27</v>
      </c>
      <c r="F105" s="4">
        <v>0</v>
      </c>
      <c r="G105" s="5">
        <v>5</v>
      </c>
      <c r="H105" t="s">
        <v>12</v>
      </c>
      <c r="I105" t="str">
        <f t="shared" si="4"/>
        <v>2024-05</v>
      </c>
      <c r="J105" s="4">
        <f t="shared" si="5"/>
        <v>0</v>
      </c>
      <c r="K105" t="str" cm="1">
        <f t="array" ref="K105">_xlfn.IFS(G105&lt;=5, "Small", G105&lt;=15, "Medium", G105&gt;15, "Large")</f>
        <v>Small</v>
      </c>
      <c r="L105" t="str">
        <f t="shared" si="6"/>
        <v>Standard</v>
      </c>
      <c r="M105" t="str">
        <f t="shared" si="7"/>
        <v>Weekday</v>
      </c>
    </row>
    <row r="106" spans="1:13" x14ac:dyDescent="0.35">
      <c r="A106" t="s">
        <v>155</v>
      </c>
      <c r="B106" s="1">
        <v>45417</v>
      </c>
      <c r="C106" t="s">
        <v>30</v>
      </c>
      <c r="D106" t="s">
        <v>31</v>
      </c>
      <c r="E106" t="s">
        <v>27</v>
      </c>
      <c r="F106" s="4">
        <v>0</v>
      </c>
      <c r="G106" s="5">
        <v>1</v>
      </c>
      <c r="H106" t="s">
        <v>28</v>
      </c>
      <c r="I106" t="str">
        <f t="shared" si="4"/>
        <v>2024-05</v>
      </c>
      <c r="J106" s="4">
        <f t="shared" si="5"/>
        <v>0</v>
      </c>
      <c r="K106" t="str" cm="1">
        <f t="array" ref="K106">_xlfn.IFS(G106&lt;=5, "Small", G106&lt;=15, "Medium", G106&gt;15, "Large")</f>
        <v>Small</v>
      </c>
      <c r="L106" t="str">
        <f t="shared" si="6"/>
        <v>Standard</v>
      </c>
      <c r="M106" t="str">
        <f t="shared" si="7"/>
        <v>Weekend</v>
      </c>
    </row>
    <row r="107" spans="1:13" x14ac:dyDescent="0.35">
      <c r="A107" t="s">
        <v>156</v>
      </c>
      <c r="B107" s="1">
        <v>45233</v>
      </c>
      <c r="C107" t="s">
        <v>20</v>
      </c>
      <c r="D107" t="s">
        <v>21</v>
      </c>
      <c r="E107" t="s">
        <v>11</v>
      </c>
      <c r="F107" s="4">
        <v>10126.64</v>
      </c>
      <c r="G107" s="5">
        <v>1</v>
      </c>
      <c r="H107" t="s">
        <v>15</v>
      </c>
      <c r="I107" t="str">
        <f t="shared" si="4"/>
        <v>2023-11</v>
      </c>
      <c r="J107" s="4">
        <f t="shared" si="5"/>
        <v>10126.64</v>
      </c>
      <c r="K107" t="str" cm="1">
        <f t="array" ref="K107">_xlfn.IFS(G107&lt;=5, "Small", G107&lt;=15, "Medium", G107&gt;15, "Large")</f>
        <v>Small</v>
      </c>
      <c r="L107" t="str">
        <f t="shared" si="6"/>
        <v>Standard</v>
      </c>
      <c r="M107" t="str">
        <f t="shared" si="7"/>
        <v>Weekday</v>
      </c>
    </row>
    <row r="108" spans="1:13" x14ac:dyDescent="0.35">
      <c r="A108" t="s">
        <v>157</v>
      </c>
      <c r="B108" s="1">
        <v>44991</v>
      </c>
      <c r="C108" t="s">
        <v>91</v>
      </c>
      <c r="D108" t="s">
        <v>26</v>
      </c>
      <c r="E108" t="s">
        <v>11</v>
      </c>
      <c r="F108" s="4">
        <v>10862.28</v>
      </c>
      <c r="G108" s="5">
        <v>1</v>
      </c>
      <c r="H108" t="s">
        <v>15</v>
      </c>
      <c r="I108" t="str">
        <f t="shared" si="4"/>
        <v>2023-03</v>
      </c>
      <c r="J108" s="4">
        <f t="shared" si="5"/>
        <v>10862.28</v>
      </c>
      <c r="K108" t="str" cm="1">
        <f t="array" ref="K108">_xlfn.IFS(G108&lt;=5, "Small", G108&lt;=15, "Medium", G108&gt;15, "Large")</f>
        <v>Small</v>
      </c>
      <c r="L108" t="str">
        <f t="shared" si="6"/>
        <v>Standard</v>
      </c>
      <c r="M108" t="str">
        <f t="shared" si="7"/>
        <v>Weekday</v>
      </c>
    </row>
    <row r="109" spans="1:13" x14ac:dyDescent="0.35">
      <c r="A109" t="s">
        <v>158</v>
      </c>
      <c r="B109" s="1">
        <v>45089</v>
      </c>
      <c r="C109" t="s">
        <v>50</v>
      </c>
      <c r="D109" t="s">
        <v>26</v>
      </c>
      <c r="E109" t="s">
        <v>18</v>
      </c>
      <c r="F109" s="4">
        <v>1457.57</v>
      </c>
      <c r="G109" s="5">
        <v>8</v>
      </c>
      <c r="H109" t="s">
        <v>15</v>
      </c>
      <c r="I109" t="str">
        <f t="shared" si="4"/>
        <v>2023-06</v>
      </c>
      <c r="J109" s="4">
        <f t="shared" si="5"/>
        <v>182.19624999999999</v>
      </c>
      <c r="K109" t="str" cm="1">
        <f t="array" ref="K109">_xlfn.IFS(G109&lt;=5, "Small", G109&lt;=15, "Medium", G109&gt;15, "Large")</f>
        <v>Medium</v>
      </c>
      <c r="L109" t="str">
        <f t="shared" si="6"/>
        <v>Standard</v>
      </c>
      <c r="M109" t="str">
        <f t="shared" si="7"/>
        <v>Weekday</v>
      </c>
    </row>
    <row r="110" spans="1:13" x14ac:dyDescent="0.35">
      <c r="A110" t="s">
        <v>159</v>
      </c>
      <c r="B110" s="1">
        <v>45413</v>
      </c>
      <c r="C110" t="s">
        <v>160</v>
      </c>
      <c r="D110" t="s">
        <v>26</v>
      </c>
      <c r="E110" t="s">
        <v>27</v>
      </c>
      <c r="F110" s="4">
        <v>20929.39</v>
      </c>
      <c r="G110" s="5">
        <v>5</v>
      </c>
      <c r="H110" t="s">
        <v>15</v>
      </c>
      <c r="I110" t="str">
        <f t="shared" si="4"/>
        <v>2024-05</v>
      </c>
      <c r="J110" s="4">
        <f t="shared" si="5"/>
        <v>4185.8779999999997</v>
      </c>
      <c r="K110" t="str" cm="1">
        <f t="array" ref="K110">_xlfn.IFS(G110&lt;=5, "Small", G110&lt;=15, "Medium", G110&gt;15, "Large")</f>
        <v>Small</v>
      </c>
      <c r="L110" t="str">
        <f t="shared" si="6"/>
        <v>Standard</v>
      </c>
      <c r="M110" t="str">
        <f t="shared" si="7"/>
        <v>Weekday</v>
      </c>
    </row>
    <row r="111" spans="1:13" x14ac:dyDescent="0.35">
      <c r="A111" t="s">
        <v>161</v>
      </c>
      <c r="B111" s="1">
        <v>44957</v>
      </c>
      <c r="C111" t="s">
        <v>162</v>
      </c>
      <c r="D111" t="s">
        <v>26</v>
      </c>
      <c r="E111" t="s">
        <v>11</v>
      </c>
      <c r="F111" s="4">
        <v>8095.22</v>
      </c>
      <c r="G111" s="5">
        <v>6</v>
      </c>
      <c r="H111" t="s">
        <v>15</v>
      </c>
      <c r="I111" t="str">
        <f t="shared" si="4"/>
        <v>2023-01</v>
      </c>
      <c r="J111" s="4">
        <f t="shared" si="5"/>
        <v>1349.2033333333334</v>
      </c>
      <c r="K111" t="str" cm="1">
        <f t="array" ref="K111">_xlfn.IFS(G111&lt;=5, "Small", G111&lt;=15, "Medium", G111&gt;15, "Large")</f>
        <v>Medium</v>
      </c>
      <c r="L111" t="str">
        <f t="shared" si="6"/>
        <v>Standard</v>
      </c>
      <c r="M111" t="str">
        <f t="shared" si="7"/>
        <v>Weekday</v>
      </c>
    </row>
    <row r="112" spans="1:13" x14ac:dyDescent="0.35">
      <c r="A112" t="s">
        <v>163</v>
      </c>
      <c r="B112" s="1">
        <v>44957</v>
      </c>
      <c r="C112" t="s">
        <v>60</v>
      </c>
      <c r="D112" t="s">
        <v>21</v>
      </c>
      <c r="E112" t="s">
        <v>27</v>
      </c>
      <c r="F112" s="4">
        <v>0</v>
      </c>
      <c r="G112" s="5">
        <v>3</v>
      </c>
      <c r="H112" t="s">
        <v>28</v>
      </c>
      <c r="I112" t="str">
        <f t="shared" si="4"/>
        <v>2023-01</v>
      </c>
      <c r="J112" s="4">
        <f t="shared" si="5"/>
        <v>0</v>
      </c>
      <c r="K112" t="str" cm="1">
        <f t="array" ref="K112">_xlfn.IFS(G112&lt;=5, "Small", G112&lt;=15, "Medium", G112&gt;15, "Large")</f>
        <v>Small</v>
      </c>
      <c r="L112" t="str">
        <f t="shared" si="6"/>
        <v>Standard</v>
      </c>
      <c r="M112" t="str">
        <f t="shared" si="7"/>
        <v>Weekday</v>
      </c>
    </row>
    <row r="113" spans="1:13" x14ac:dyDescent="0.35">
      <c r="A113" t="s">
        <v>164</v>
      </c>
      <c r="B113" s="1">
        <v>45100</v>
      </c>
      <c r="C113" t="s">
        <v>78</v>
      </c>
      <c r="D113" t="s">
        <v>31</v>
      </c>
      <c r="E113" t="s">
        <v>18</v>
      </c>
      <c r="F113" s="4">
        <v>50.99</v>
      </c>
      <c r="G113" s="5">
        <v>6</v>
      </c>
      <c r="H113" t="s">
        <v>15</v>
      </c>
      <c r="I113" t="str">
        <f t="shared" si="4"/>
        <v>2023-06</v>
      </c>
      <c r="J113" s="4">
        <f t="shared" si="5"/>
        <v>8.4983333333333331</v>
      </c>
      <c r="K113" t="str" cm="1">
        <f t="array" ref="K113">_xlfn.IFS(G113&lt;=5, "Small", G113&lt;=15, "Medium", G113&gt;15, "Large")</f>
        <v>Medium</v>
      </c>
      <c r="L113" t="str">
        <f t="shared" si="6"/>
        <v>Standard</v>
      </c>
      <c r="M113" t="str">
        <f t="shared" si="7"/>
        <v>Weekday</v>
      </c>
    </row>
    <row r="114" spans="1:13" x14ac:dyDescent="0.35">
      <c r="A114" t="s">
        <v>165</v>
      </c>
      <c r="B114" s="1">
        <v>45190</v>
      </c>
      <c r="C114" t="s">
        <v>166</v>
      </c>
      <c r="D114" t="s">
        <v>31</v>
      </c>
      <c r="E114" t="s">
        <v>11</v>
      </c>
      <c r="F114" s="4">
        <v>10349.73</v>
      </c>
      <c r="G114" s="5">
        <v>4</v>
      </c>
      <c r="H114" t="s">
        <v>15</v>
      </c>
      <c r="I114" t="str">
        <f t="shared" si="4"/>
        <v>2023-09</v>
      </c>
      <c r="J114" s="4">
        <f t="shared" si="5"/>
        <v>2587.4324999999999</v>
      </c>
      <c r="K114" t="str" cm="1">
        <f t="array" ref="K114">_xlfn.IFS(G114&lt;=5, "Small", G114&lt;=15, "Medium", G114&gt;15, "Large")</f>
        <v>Small</v>
      </c>
      <c r="L114" t="str">
        <f t="shared" si="6"/>
        <v>Standard</v>
      </c>
      <c r="M114" t="str">
        <f t="shared" si="7"/>
        <v>Weekday</v>
      </c>
    </row>
    <row r="115" spans="1:13" x14ac:dyDescent="0.35">
      <c r="A115" t="s">
        <v>167</v>
      </c>
      <c r="B115" s="1">
        <v>45645</v>
      </c>
      <c r="C115" t="s">
        <v>126</v>
      </c>
      <c r="D115" t="s">
        <v>21</v>
      </c>
      <c r="E115" t="s">
        <v>11</v>
      </c>
      <c r="F115" s="4">
        <v>14827.08</v>
      </c>
      <c r="G115" s="5">
        <v>2</v>
      </c>
      <c r="H115" t="s">
        <v>15</v>
      </c>
      <c r="I115" t="str">
        <f t="shared" si="4"/>
        <v>2024-12</v>
      </c>
      <c r="J115" s="4">
        <f t="shared" si="5"/>
        <v>7413.54</v>
      </c>
      <c r="K115" t="str" cm="1">
        <f t="array" ref="K115">_xlfn.IFS(G115&lt;=5, "Small", G115&lt;=15, "Medium", G115&gt;15, "Large")</f>
        <v>Small</v>
      </c>
      <c r="L115" t="str">
        <f t="shared" si="6"/>
        <v>Standard</v>
      </c>
      <c r="M115" t="str">
        <f t="shared" si="7"/>
        <v>Weekday</v>
      </c>
    </row>
    <row r="116" spans="1:13" x14ac:dyDescent="0.35">
      <c r="A116" t="s">
        <v>168</v>
      </c>
      <c r="B116" s="1">
        <v>45005</v>
      </c>
      <c r="C116" t="s">
        <v>20</v>
      </c>
      <c r="D116" t="s">
        <v>21</v>
      </c>
      <c r="E116" t="s">
        <v>11</v>
      </c>
      <c r="F116" s="4">
        <v>7345.2</v>
      </c>
      <c r="G116" s="5">
        <v>5</v>
      </c>
      <c r="H116" t="s">
        <v>15</v>
      </c>
      <c r="I116" t="str">
        <f t="shared" si="4"/>
        <v>2023-03</v>
      </c>
      <c r="J116" s="4">
        <f t="shared" si="5"/>
        <v>1469.04</v>
      </c>
      <c r="K116" t="str" cm="1">
        <f t="array" ref="K116">_xlfn.IFS(G116&lt;=5, "Small", G116&lt;=15, "Medium", G116&gt;15, "Large")</f>
        <v>Small</v>
      </c>
      <c r="L116" t="str">
        <f t="shared" si="6"/>
        <v>Standard</v>
      </c>
      <c r="M116" t="str">
        <f t="shared" si="7"/>
        <v>Weekday</v>
      </c>
    </row>
    <row r="117" spans="1:13" x14ac:dyDescent="0.35">
      <c r="A117" t="s">
        <v>169</v>
      </c>
      <c r="B117" s="1">
        <v>45311</v>
      </c>
      <c r="C117" t="s">
        <v>33</v>
      </c>
      <c r="D117" t="s">
        <v>31</v>
      </c>
      <c r="E117" t="s">
        <v>11</v>
      </c>
      <c r="F117" s="4">
        <v>0</v>
      </c>
      <c r="G117" s="5">
        <v>8</v>
      </c>
      <c r="H117" t="s">
        <v>28</v>
      </c>
      <c r="I117" t="str">
        <f t="shared" si="4"/>
        <v>2024-01</v>
      </c>
      <c r="J117" s="4">
        <f t="shared" si="5"/>
        <v>0</v>
      </c>
      <c r="K117" t="str" cm="1">
        <f t="array" ref="K117">_xlfn.IFS(G117&lt;=5, "Small", G117&lt;=15, "Medium", G117&gt;15, "Large")</f>
        <v>Medium</v>
      </c>
      <c r="L117" t="str">
        <f t="shared" si="6"/>
        <v>Standard</v>
      </c>
      <c r="M117" t="str">
        <f t="shared" si="7"/>
        <v>Weekend</v>
      </c>
    </row>
    <row r="118" spans="1:13" x14ac:dyDescent="0.35">
      <c r="A118" t="s">
        <v>170</v>
      </c>
      <c r="B118" s="1">
        <v>45114</v>
      </c>
      <c r="C118" t="s">
        <v>9</v>
      </c>
      <c r="D118" t="s">
        <v>10</v>
      </c>
      <c r="E118" t="s">
        <v>27</v>
      </c>
      <c r="F118" s="4">
        <v>16503.53</v>
      </c>
      <c r="G118" s="5">
        <v>3</v>
      </c>
      <c r="H118" t="s">
        <v>15</v>
      </c>
      <c r="I118" t="str">
        <f t="shared" si="4"/>
        <v>2023-07</v>
      </c>
      <c r="J118" s="4">
        <f t="shared" si="5"/>
        <v>5501.1766666666663</v>
      </c>
      <c r="K118" t="str" cm="1">
        <f t="array" ref="K118">_xlfn.IFS(G118&lt;=5, "Small", G118&lt;=15, "Medium", G118&gt;15, "Large")</f>
        <v>Small</v>
      </c>
      <c r="L118" t="str">
        <f t="shared" si="6"/>
        <v>Standard</v>
      </c>
      <c r="M118" t="str">
        <f t="shared" si="7"/>
        <v>Weekday</v>
      </c>
    </row>
    <row r="119" spans="1:13" x14ac:dyDescent="0.35">
      <c r="A119" t="s">
        <v>171</v>
      </c>
      <c r="B119" s="1">
        <v>44969</v>
      </c>
      <c r="C119" t="s">
        <v>62</v>
      </c>
      <c r="D119" t="s">
        <v>10</v>
      </c>
      <c r="E119" t="s">
        <v>18</v>
      </c>
      <c r="F119" s="4">
        <v>2710.03</v>
      </c>
      <c r="G119" s="5">
        <v>9</v>
      </c>
      <c r="H119" t="s">
        <v>15</v>
      </c>
      <c r="I119" t="str">
        <f t="shared" si="4"/>
        <v>2023-02</v>
      </c>
      <c r="J119" s="4">
        <f t="shared" si="5"/>
        <v>301.11444444444447</v>
      </c>
      <c r="K119" t="str" cm="1">
        <f t="array" ref="K119">_xlfn.IFS(G119&lt;=5, "Small", G119&lt;=15, "Medium", G119&gt;15, "Large")</f>
        <v>Medium</v>
      </c>
      <c r="L119" t="str">
        <f t="shared" si="6"/>
        <v>Standard</v>
      </c>
      <c r="M119" t="str">
        <f t="shared" si="7"/>
        <v>Weekend</v>
      </c>
    </row>
    <row r="120" spans="1:13" x14ac:dyDescent="0.35">
      <c r="A120" t="s">
        <v>172</v>
      </c>
      <c r="B120" s="1">
        <v>45190</v>
      </c>
      <c r="C120" t="s">
        <v>58</v>
      </c>
      <c r="D120" t="s">
        <v>31</v>
      </c>
      <c r="E120" t="s">
        <v>18</v>
      </c>
      <c r="F120" s="4">
        <v>474.69</v>
      </c>
      <c r="G120" s="5">
        <v>5</v>
      </c>
      <c r="H120" t="s">
        <v>15</v>
      </c>
      <c r="I120" t="str">
        <f t="shared" si="4"/>
        <v>2023-09</v>
      </c>
      <c r="J120" s="4">
        <f t="shared" si="5"/>
        <v>94.938000000000002</v>
      </c>
      <c r="K120" t="str" cm="1">
        <f t="array" ref="K120">_xlfn.IFS(G120&lt;=5, "Small", G120&lt;=15, "Medium", G120&gt;15, "Large")</f>
        <v>Small</v>
      </c>
      <c r="L120" t="str">
        <f t="shared" si="6"/>
        <v>Standard</v>
      </c>
      <c r="M120" t="str">
        <f t="shared" si="7"/>
        <v>Weekday</v>
      </c>
    </row>
    <row r="121" spans="1:13" x14ac:dyDescent="0.35">
      <c r="A121" t="s">
        <v>173</v>
      </c>
      <c r="B121" s="1">
        <v>45440</v>
      </c>
      <c r="C121" t="s">
        <v>42</v>
      </c>
      <c r="D121" t="s">
        <v>10</v>
      </c>
      <c r="E121" t="s">
        <v>11</v>
      </c>
      <c r="F121" s="4">
        <v>12863.91</v>
      </c>
      <c r="G121" s="5">
        <v>5</v>
      </c>
      <c r="H121" t="s">
        <v>15</v>
      </c>
      <c r="I121" t="str">
        <f t="shared" si="4"/>
        <v>2024-05</v>
      </c>
      <c r="J121" s="4">
        <f t="shared" si="5"/>
        <v>2572.7820000000002</v>
      </c>
      <c r="K121" t="str" cm="1">
        <f t="array" ref="K121">_xlfn.IFS(G121&lt;=5, "Small", G121&lt;=15, "Medium", G121&gt;15, "Large")</f>
        <v>Small</v>
      </c>
      <c r="L121" t="str">
        <f t="shared" si="6"/>
        <v>Standard</v>
      </c>
      <c r="M121" t="str">
        <f t="shared" si="7"/>
        <v>Weekday</v>
      </c>
    </row>
    <row r="122" spans="1:13" x14ac:dyDescent="0.35">
      <c r="A122" t="s">
        <v>174</v>
      </c>
      <c r="B122" s="1">
        <v>45036</v>
      </c>
      <c r="C122" t="s">
        <v>175</v>
      </c>
      <c r="D122" t="s">
        <v>21</v>
      </c>
      <c r="E122" t="s">
        <v>27</v>
      </c>
      <c r="F122" s="4">
        <v>35825.449999999997</v>
      </c>
      <c r="G122" s="5">
        <v>5</v>
      </c>
      <c r="H122" t="s">
        <v>15</v>
      </c>
      <c r="I122" t="str">
        <f t="shared" si="4"/>
        <v>2023-04</v>
      </c>
      <c r="J122" s="4">
        <f t="shared" si="5"/>
        <v>7165.0899999999992</v>
      </c>
      <c r="K122" t="str" cm="1">
        <f t="array" ref="K122">_xlfn.IFS(G122&lt;=5, "Small", G122&lt;=15, "Medium", G122&gt;15, "Large")</f>
        <v>Small</v>
      </c>
      <c r="L122" t="str">
        <f t="shared" si="6"/>
        <v>VIP</v>
      </c>
      <c r="M122" t="str">
        <f t="shared" si="7"/>
        <v>Weekday</v>
      </c>
    </row>
    <row r="123" spans="1:13" x14ac:dyDescent="0.35">
      <c r="A123" t="s">
        <v>176</v>
      </c>
      <c r="B123" s="1">
        <v>45332</v>
      </c>
      <c r="C123" t="s">
        <v>177</v>
      </c>
      <c r="D123" t="s">
        <v>21</v>
      </c>
      <c r="E123" t="s">
        <v>18</v>
      </c>
      <c r="F123" s="4">
        <v>0</v>
      </c>
      <c r="G123" s="5">
        <v>16</v>
      </c>
      <c r="H123" t="s">
        <v>28</v>
      </c>
      <c r="I123" t="str">
        <f t="shared" si="4"/>
        <v>2024-02</v>
      </c>
      <c r="J123" s="4">
        <f t="shared" si="5"/>
        <v>0</v>
      </c>
      <c r="K123" t="str" cm="1">
        <f t="array" ref="K123">_xlfn.IFS(G123&lt;=5, "Small", G123&lt;=15, "Medium", G123&gt;15, "Large")</f>
        <v>Large</v>
      </c>
      <c r="L123" t="str">
        <f t="shared" si="6"/>
        <v>Standard</v>
      </c>
      <c r="M123" t="str">
        <f t="shared" si="7"/>
        <v>Weekend</v>
      </c>
    </row>
    <row r="124" spans="1:13" x14ac:dyDescent="0.35">
      <c r="A124" t="s">
        <v>178</v>
      </c>
      <c r="B124" s="1">
        <v>45386</v>
      </c>
      <c r="C124" t="s">
        <v>126</v>
      </c>
      <c r="D124" t="s">
        <v>21</v>
      </c>
      <c r="E124" t="s">
        <v>11</v>
      </c>
      <c r="F124" s="4">
        <v>8488.52</v>
      </c>
      <c r="G124" s="5">
        <v>2</v>
      </c>
      <c r="H124" t="s">
        <v>15</v>
      </c>
      <c r="I124" t="str">
        <f t="shared" si="4"/>
        <v>2024-04</v>
      </c>
      <c r="J124" s="4">
        <f t="shared" si="5"/>
        <v>4244.26</v>
      </c>
      <c r="K124" t="str" cm="1">
        <f t="array" ref="K124">_xlfn.IFS(G124&lt;=5, "Small", G124&lt;=15, "Medium", G124&gt;15, "Large")</f>
        <v>Small</v>
      </c>
      <c r="L124" t="str">
        <f t="shared" si="6"/>
        <v>Standard</v>
      </c>
      <c r="M124" t="str">
        <f t="shared" si="7"/>
        <v>Weekday</v>
      </c>
    </row>
    <row r="125" spans="1:13" x14ac:dyDescent="0.35">
      <c r="A125" t="s">
        <v>179</v>
      </c>
      <c r="B125" s="1">
        <v>45551</v>
      </c>
      <c r="C125" t="s">
        <v>111</v>
      </c>
      <c r="D125" t="s">
        <v>31</v>
      </c>
      <c r="E125" t="s">
        <v>27</v>
      </c>
      <c r="F125" s="4">
        <v>869.88</v>
      </c>
      <c r="G125" s="5">
        <v>1</v>
      </c>
      <c r="H125" t="s">
        <v>15</v>
      </c>
      <c r="I125" t="str">
        <f t="shared" si="4"/>
        <v>2024-09</v>
      </c>
      <c r="J125" s="4">
        <f t="shared" si="5"/>
        <v>869.88</v>
      </c>
      <c r="K125" t="str" cm="1">
        <f t="array" ref="K125">_xlfn.IFS(G125&lt;=5, "Small", G125&lt;=15, "Medium", G125&gt;15, "Large")</f>
        <v>Small</v>
      </c>
      <c r="L125" t="str">
        <f t="shared" si="6"/>
        <v>Standard</v>
      </c>
      <c r="M125" t="str">
        <f t="shared" si="7"/>
        <v>Weekday</v>
      </c>
    </row>
    <row r="126" spans="1:13" x14ac:dyDescent="0.35">
      <c r="A126" t="s">
        <v>180</v>
      </c>
      <c r="B126" s="1">
        <v>45397</v>
      </c>
      <c r="C126" t="s">
        <v>48</v>
      </c>
      <c r="D126" t="s">
        <v>31</v>
      </c>
      <c r="E126" t="s">
        <v>11</v>
      </c>
      <c r="F126" s="4">
        <v>1694.76</v>
      </c>
      <c r="G126" s="5">
        <v>5</v>
      </c>
      <c r="H126" t="s">
        <v>15</v>
      </c>
      <c r="I126" t="str">
        <f t="shared" si="4"/>
        <v>2024-04</v>
      </c>
      <c r="J126" s="4">
        <f t="shared" si="5"/>
        <v>338.952</v>
      </c>
      <c r="K126" t="str" cm="1">
        <f t="array" ref="K126">_xlfn.IFS(G126&lt;=5, "Small", G126&lt;=15, "Medium", G126&gt;15, "Large")</f>
        <v>Small</v>
      </c>
      <c r="L126" t="str">
        <f t="shared" si="6"/>
        <v>Standard</v>
      </c>
      <c r="M126" t="str">
        <f t="shared" si="7"/>
        <v>Weekday</v>
      </c>
    </row>
    <row r="127" spans="1:13" x14ac:dyDescent="0.35">
      <c r="A127" t="s">
        <v>181</v>
      </c>
      <c r="B127" s="1">
        <v>45282</v>
      </c>
      <c r="C127" t="s">
        <v>69</v>
      </c>
      <c r="D127" t="s">
        <v>31</v>
      </c>
      <c r="E127" t="s">
        <v>11</v>
      </c>
      <c r="F127" s="4">
        <v>4480.82</v>
      </c>
      <c r="G127" s="5">
        <v>5</v>
      </c>
      <c r="H127" t="s">
        <v>15</v>
      </c>
      <c r="I127" t="str">
        <f t="shared" si="4"/>
        <v>2023-12</v>
      </c>
      <c r="J127" s="4">
        <f t="shared" si="5"/>
        <v>896.16399999999999</v>
      </c>
      <c r="K127" t="str" cm="1">
        <f t="array" ref="K127">_xlfn.IFS(G127&lt;=5, "Small", G127&lt;=15, "Medium", G127&gt;15, "Large")</f>
        <v>Small</v>
      </c>
      <c r="L127" t="str">
        <f t="shared" si="6"/>
        <v>Standard</v>
      </c>
      <c r="M127" t="str">
        <f t="shared" si="7"/>
        <v>Weekday</v>
      </c>
    </row>
    <row r="128" spans="1:13" x14ac:dyDescent="0.35">
      <c r="A128" t="s">
        <v>182</v>
      </c>
      <c r="B128" s="1">
        <v>45193</v>
      </c>
      <c r="C128" t="s">
        <v>111</v>
      </c>
      <c r="D128" t="s">
        <v>31</v>
      </c>
      <c r="E128" t="s">
        <v>11</v>
      </c>
      <c r="F128" s="4">
        <v>13924.57</v>
      </c>
      <c r="G128" s="5">
        <v>1</v>
      </c>
      <c r="H128" t="s">
        <v>15</v>
      </c>
      <c r="I128" t="str">
        <f t="shared" si="4"/>
        <v>2023-09</v>
      </c>
      <c r="J128" s="4">
        <f t="shared" si="5"/>
        <v>13924.57</v>
      </c>
      <c r="K128" t="str" cm="1">
        <f t="array" ref="K128">_xlfn.IFS(G128&lt;=5, "Small", G128&lt;=15, "Medium", G128&gt;15, "Large")</f>
        <v>Small</v>
      </c>
      <c r="L128" t="str">
        <f t="shared" si="6"/>
        <v>Standard</v>
      </c>
      <c r="M128" t="str">
        <f t="shared" si="7"/>
        <v>Weekend</v>
      </c>
    </row>
    <row r="129" spans="1:13" x14ac:dyDescent="0.35">
      <c r="A129" t="s">
        <v>183</v>
      </c>
      <c r="B129" s="1">
        <v>45475</v>
      </c>
      <c r="C129" t="s">
        <v>53</v>
      </c>
      <c r="D129" t="s">
        <v>31</v>
      </c>
      <c r="E129" t="s">
        <v>27</v>
      </c>
      <c r="F129" s="4">
        <v>37898.46</v>
      </c>
      <c r="G129" s="5">
        <v>2</v>
      </c>
      <c r="H129" t="s">
        <v>15</v>
      </c>
      <c r="I129" t="str">
        <f t="shared" si="4"/>
        <v>2024-07</v>
      </c>
      <c r="J129" s="4">
        <f t="shared" si="5"/>
        <v>18949.23</v>
      </c>
      <c r="K129" t="str" cm="1">
        <f t="array" ref="K129">_xlfn.IFS(G129&lt;=5, "Small", G129&lt;=15, "Medium", G129&gt;15, "Large")</f>
        <v>Small</v>
      </c>
      <c r="L129" t="str">
        <f t="shared" si="6"/>
        <v>VIP</v>
      </c>
      <c r="M129" t="str">
        <f t="shared" si="7"/>
        <v>Weekday</v>
      </c>
    </row>
    <row r="130" spans="1:13" x14ac:dyDescent="0.35">
      <c r="A130" t="s">
        <v>184</v>
      </c>
      <c r="B130" s="1">
        <v>45155</v>
      </c>
      <c r="C130" t="s">
        <v>42</v>
      </c>
      <c r="D130" t="s">
        <v>10</v>
      </c>
      <c r="E130" t="s">
        <v>11</v>
      </c>
      <c r="F130" s="4">
        <v>1520</v>
      </c>
      <c r="G130" s="5">
        <v>8</v>
      </c>
      <c r="H130" t="s">
        <v>15</v>
      </c>
      <c r="I130" t="str">
        <f t="shared" si="4"/>
        <v>2023-08</v>
      </c>
      <c r="J130" s="4">
        <f t="shared" si="5"/>
        <v>190</v>
      </c>
      <c r="K130" t="str" cm="1">
        <f t="array" ref="K130">_xlfn.IFS(G130&lt;=5, "Small", G130&lt;=15, "Medium", G130&gt;15, "Large")</f>
        <v>Medium</v>
      </c>
      <c r="L130" t="str">
        <f t="shared" si="6"/>
        <v>Standard</v>
      </c>
      <c r="M130" t="str">
        <f t="shared" si="7"/>
        <v>Weekday</v>
      </c>
    </row>
    <row r="131" spans="1:13" x14ac:dyDescent="0.35">
      <c r="A131" t="s">
        <v>185</v>
      </c>
      <c r="B131" s="1">
        <v>45340</v>
      </c>
      <c r="C131" t="s">
        <v>97</v>
      </c>
      <c r="D131" t="s">
        <v>21</v>
      </c>
      <c r="E131" t="s">
        <v>18</v>
      </c>
      <c r="F131" s="4">
        <v>2204.04</v>
      </c>
      <c r="G131" s="5">
        <v>20</v>
      </c>
      <c r="H131" t="s">
        <v>15</v>
      </c>
      <c r="I131" t="str">
        <f t="shared" ref="I131:I194" si="8">TEXT(B131, "YYYY-MM")</f>
        <v>2024-02</v>
      </c>
      <c r="J131" s="4">
        <f t="shared" ref="J131:J194" si="9">IFERROR(F131/G131, 0)</f>
        <v>110.202</v>
      </c>
      <c r="K131" t="str" cm="1">
        <f t="array" ref="K131">_xlfn.IFS(G131&lt;=5, "Small", G131&lt;=15, "Medium", G131&gt;15, "Large")</f>
        <v>Large</v>
      </c>
      <c r="L131" t="str">
        <f t="shared" ref="L131:L194" si="10">IF(F131&gt;_xlfn.PERCENTILE.INC($F$2:$F$10000, 0.9), "VIP", "Standard")</f>
        <v>Standard</v>
      </c>
      <c r="M131" t="str">
        <f t="shared" ref="M131:M194" si="11">IF(WEEKDAY(B131, 2)&gt;5, "Weekend", "Weekday")</f>
        <v>Weekend</v>
      </c>
    </row>
    <row r="132" spans="1:13" x14ac:dyDescent="0.35">
      <c r="A132" t="s">
        <v>186</v>
      </c>
      <c r="B132" s="1">
        <v>45194</v>
      </c>
      <c r="C132" t="s">
        <v>23</v>
      </c>
      <c r="D132" t="s">
        <v>21</v>
      </c>
      <c r="E132" t="s">
        <v>11</v>
      </c>
      <c r="F132" s="4">
        <v>17186.419999999998</v>
      </c>
      <c r="G132" s="5">
        <v>5</v>
      </c>
      <c r="H132" t="s">
        <v>15</v>
      </c>
      <c r="I132" t="str">
        <f t="shared" si="8"/>
        <v>2023-09</v>
      </c>
      <c r="J132" s="4">
        <f t="shared" si="9"/>
        <v>3437.2839999999997</v>
      </c>
      <c r="K132" t="str" cm="1">
        <f t="array" ref="K132">_xlfn.IFS(G132&lt;=5, "Small", G132&lt;=15, "Medium", G132&gt;15, "Large")</f>
        <v>Small</v>
      </c>
      <c r="L132" t="str">
        <f t="shared" si="10"/>
        <v>Standard</v>
      </c>
      <c r="M132" t="str">
        <f t="shared" si="11"/>
        <v>Weekday</v>
      </c>
    </row>
    <row r="133" spans="1:13" x14ac:dyDescent="0.35">
      <c r="A133" t="s">
        <v>187</v>
      </c>
      <c r="B133" s="1">
        <v>45227</v>
      </c>
      <c r="C133" t="s">
        <v>14</v>
      </c>
      <c r="D133" t="s">
        <v>10</v>
      </c>
      <c r="E133" t="s">
        <v>18</v>
      </c>
      <c r="F133" s="4">
        <v>0</v>
      </c>
      <c r="G133" s="5">
        <v>18</v>
      </c>
      <c r="H133" t="s">
        <v>12</v>
      </c>
      <c r="I133" t="str">
        <f t="shared" si="8"/>
        <v>2023-10</v>
      </c>
      <c r="J133" s="4">
        <f t="shared" si="9"/>
        <v>0</v>
      </c>
      <c r="K133" t="str" cm="1">
        <f t="array" ref="K133">_xlfn.IFS(G133&lt;=5, "Small", G133&lt;=15, "Medium", G133&gt;15, "Large")</f>
        <v>Large</v>
      </c>
      <c r="L133" t="str">
        <f t="shared" si="10"/>
        <v>Standard</v>
      </c>
      <c r="M133" t="str">
        <f t="shared" si="11"/>
        <v>Weekend</v>
      </c>
    </row>
    <row r="134" spans="1:13" x14ac:dyDescent="0.35">
      <c r="A134" t="s">
        <v>188</v>
      </c>
      <c r="B134" s="1">
        <v>45025</v>
      </c>
      <c r="C134" t="s">
        <v>74</v>
      </c>
      <c r="D134" t="s">
        <v>31</v>
      </c>
      <c r="E134" t="s">
        <v>27</v>
      </c>
      <c r="F134" s="4">
        <v>19173.060000000001</v>
      </c>
      <c r="G134" s="5">
        <v>1</v>
      </c>
      <c r="H134" t="s">
        <v>15</v>
      </c>
      <c r="I134" t="str">
        <f t="shared" si="8"/>
        <v>2023-04</v>
      </c>
      <c r="J134" s="4">
        <f t="shared" si="9"/>
        <v>19173.060000000001</v>
      </c>
      <c r="K134" t="str" cm="1">
        <f t="array" ref="K134">_xlfn.IFS(G134&lt;=5, "Small", G134&lt;=15, "Medium", G134&gt;15, "Large")</f>
        <v>Small</v>
      </c>
      <c r="L134" t="str">
        <f t="shared" si="10"/>
        <v>Standard</v>
      </c>
      <c r="M134" t="str">
        <f t="shared" si="11"/>
        <v>Weekend</v>
      </c>
    </row>
    <row r="135" spans="1:13" x14ac:dyDescent="0.35">
      <c r="A135" t="s">
        <v>189</v>
      </c>
      <c r="B135" s="1">
        <v>45058</v>
      </c>
      <c r="C135" t="s">
        <v>115</v>
      </c>
      <c r="D135" t="s">
        <v>10</v>
      </c>
      <c r="E135" t="s">
        <v>11</v>
      </c>
      <c r="F135" s="4">
        <v>2518.59</v>
      </c>
      <c r="G135" s="5">
        <v>3</v>
      </c>
      <c r="H135" t="s">
        <v>15</v>
      </c>
      <c r="I135" t="str">
        <f t="shared" si="8"/>
        <v>2023-05</v>
      </c>
      <c r="J135" s="4">
        <f t="shared" si="9"/>
        <v>839.53000000000009</v>
      </c>
      <c r="K135" t="str" cm="1">
        <f t="array" ref="K135">_xlfn.IFS(G135&lt;=5, "Small", G135&lt;=15, "Medium", G135&gt;15, "Large")</f>
        <v>Small</v>
      </c>
      <c r="L135" t="str">
        <f t="shared" si="10"/>
        <v>Standard</v>
      </c>
      <c r="M135" t="str">
        <f t="shared" si="11"/>
        <v>Weekday</v>
      </c>
    </row>
    <row r="136" spans="1:13" x14ac:dyDescent="0.35">
      <c r="A136" t="s">
        <v>190</v>
      </c>
      <c r="B136" s="1">
        <v>45346</v>
      </c>
      <c r="C136" t="s">
        <v>20</v>
      </c>
      <c r="D136" t="s">
        <v>31</v>
      </c>
      <c r="E136" t="s">
        <v>18</v>
      </c>
      <c r="F136" s="4">
        <v>0</v>
      </c>
      <c r="G136" s="5">
        <v>15</v>
      </c>
      <c r="H136" t="s">
        <v>28</v>
      </c>
      <c r="I136" t="str">
        <f t="shared" si="8"/>
        <v>2024-02</v>
      </c>
      <c r="J136" s="4">
        <f t="shared" si="9"/>
        <v>0</v>
      </c>
      <c r="K136" t="str" cm="1">
        <f t="array" ref="K136">_xlfn.IFS(G136&lt;=5, "Small", G136&lt;=15, "Medium", G136&gt;15, "Large")</f>
        <v>Medium</v>
      </c>
      <c r="L136" t="str">
        <f t="shared" si="10"/>
        <v>Standard</v>
      </c>
      <c r="M136" t="str">
        <f t="shared" si="11"/>
        <v>Weekend</v>
      </c>
    </row>
    <row r="137" spans="1:13" x14ac:dyDescent="0.35">
      <c r="A137" t="s">
        <v>191</v>
      </c>
      <c r="B137" s="1">
        <v>45326</v>
      </c>
      <c r="C137" t="s">
        <v>58</v>
      </c>
      <c r="D137" t="s">
        <v>31</v>
      </c>
      <c r="E137" t="s">
        <v>18</v>
      </c>
      <c r="F137" s="4">
        <v>3052.46</v>
      </c>
      <c r="G137" s="5">
        <v>1</v>
      </c>
      <c r="H137" t="s">
        <v>15</v>
      </c>
      <c r="I137" t="str">
        <f t="shared" si="8"/>
        <v>2024-02</v>
      </c>
      <c r="J137" s="4">
        <f t="shared" si="9"/>
        <v>3052.46</v>
      </c>
      <c r="K137" t="str" cm="1">
        <f t="array" ref="K137">_xlfn.IFS(G137&lt;=5, "Small", G137&lt;=15, "Medium", G137&gt;15, "Large")</f>
        <v>Small</v>
      </c>
      <c r="L137" t="str">
        <f t="shared" si="10"/>
        <v>Standard</v>
      </c>
      <c r="M137" t="str">
        <f t="shared" si="11"/>
        <v>Weekend</v>
      </c>
    </row>
    <row r="138" spans="1:13" x14ac:dyDescent="0.35">
      <c r="A138" t="s">
        <v>192</v>
      </c>
      <c r="B138" s="1">
        <v>45483</v>
      </c>
      <c r="C138" t="s">
        <v>50</v>
      </c>
      <c r="D138" t="s">
        <v>26</v>
      </c>
      <c r="E138" t="s">
        <v>18</v>
      </c>
      <c r="F138" s="4">
        <v>1874.85</v>
      </c>
      <c r="G138" s="5">
        <v>22</v>
      </c>
      <c r="H138" t="s">
        <v>15</v>
      </c>
      <c r="I138" t="str">
        <f t="shared" si="8"/>
        <v>2024-07</v>
      </c>
      <c r="J138" s="4">
        <f t="shared" si="9"/>
        <v>85.220454545454544</v>
      </c>
      <c r="K138" t="str" cm="1">
        <f t="array" ref="K138">_xlfn.IFS(G138&lt;=5, "Small", G138&lt;=15, "Medium", G138&gt;15, "Large")</f>
        <v>Large</v>
      </c>
      <c r="L138" t="str">
        <f t="shared" si="10"/>
        <v>Standard</v>
      </c>
      <c r="M138" t="str">
        <f t="shared" si="11"/>
        <v>Weekday</v>
      </c>
    </row>
    <row r="139" spans="1:13" x14ac:dyDescent="0.35">
      <c r="A139" t="s">
        <v>193</v>
      </c>
      <c r="B139" s="1">
        <v>45656</v>
      </c>
      <c r="C139" t="s">
        <v>48</v>
      </c>
      <c r="D139" t="s">
        <v>31</v>
      </c>
      <c r="E139" t="s">
        <v>18</v>
      </c>
      <c r="F139" s="4">
        <v>641.53</v>
      </c>
      <c r="G139" s="5">
        <v>4</v>
      </c>
      <c r="H139" t="s">
        <v>15</v>
      </c>
      <c r="I139" t="str">
        <f t="shared" si="8"/>
        <v>2024-12</v>
      </c>
      <c r="J139" s="4">
        <f t="shared" si="9"/>
        <v>160.38249999999999</v>
      </c>
      <c r="K139" t="str" cm="1">
        <f t="array" ref="K139">_xlfn.IFS(G139&lt;=5, "Small", G139&lt;=15, "Medium", G139&gt;15, "Large")</f>
        <v>Small</v>
      </c>
      <c r="L139" t="str">
        <f t="shared" si="10"/>
        <v>Standard</v>
      </c>
      <c r="M139" t="str">
        <f t="shared" si="11"/>
        <v>Weekday</v>
      </c>
    </row>
    <row r="140" spans="1:13" x14ac:dyDescent="0.35">
      <c r="A140" t="s">
        <v>194</v>
      </c>
      <c r="B140" s="1">
        <v>45633</v>
      </c>
      <c r="C140" t="s">
        <v>97</v>
      </c>
      <c r="D140" t="s">
        <v>21</v>
      </c>
      <c r="E140" t="s">
        <v>27</v>
      </c>
      <c r="F140" s="4">
        <v>32925.199999999997</v>
      </c>
      <c r="G140" s="5">
        <v>3</v>
      </c>
      <c r="H140" t="s">
        <v>15</v>
      </c>
      <c r="I140" t="str">
        <f t="shared" si="8"/>
        <v>2024-12</v>
      </c>
      <c r="J140" s="4">
        <f t="shared" si="9"/>
        <v>10975.066666666666</v>
      </c>
      <c r="K140" t="str" cm="1">
        <f t="array" ref="K140">_xlfn.IFS(G140&lt;=5, "Small", G140&lt;=15, "Medium", G140&gt;15, "Large")</f>
        <v>Small</v>
      </c>
      <c r="L140" t="str">
        <f t="shared" si="10"/>
        <v>VIP</v>
      </c>
      <c r="M140" t="str">
        <f t="shared" si="11"/>
        <v>Weekend</v>
      </c>
    </row>
    <row r="141" spans="1:13" x14ac:dyDescent="0.35">
      <c r="A141" t="s">
        <v>195</v>
      </c>
      <c r="B141" s="1">
        <v>44983</v>
      </c>
      <c r="C141" t="s">
        <v>33</v>
      </c>
      <c r="D141" t="s">
        <v>10</v>
      </c>
      <c r="E141" t="s">
        <v>11</v>
      </c>
      <c r="F141" s="4">
        <v>0</v>
      </c>
      <c r="G141" s="5">
        <v>8</v>
      </c>
      <c r="H141" t="s">
        <v>12</v>
      </c>
      <c r="I141" t="str">
        <f t="shared" si="8"/>
        <v>2023-02</v>
      </c>
      <c r="J141" s="4">
        <f t="shared" si="9"/>
        <v>0</v>
      </c>
      <c r="K141" t="str" cm="1">
        <f t="array" ref="K141">_xlfn.IFS(G141&lt;=5, "Small", G141&lt;=15, "Medium", G141&gt;15, "Large")</f>
        <v>Medium</v>
      </c>
      <c r="L141" t="str">
        <f t="shared" si="10"/>
        <v>Standard</v>
      </c>
      <c r="M141" t="str">
        <f t="shared" si="11"/>
        <v>Weekend</v>
      </c>
    </row>
    <row r="142" spans="1:13" x14ac:dyDescent="0.35">
      <c r="A142" t="s">
        <v>196</v>
      </c>
      <c r="B142" s="1">
        <v>45515</v>
      </c>
      <c r="C142" t="s">
        <v>55</v>
      </c>
      <c r="D142" t="s">
        <v>10</v>
      </c>
      <c r="E142" t="s">
        <v>18</v>
      </c>
      <c r="F142" s="4">
        <v>0</v>
      </c>
      <c r="G142" s="5">
        <v>8</v>
      </c>
      <c r="H142" t="s">
        <v>12</v>
      </c>
      <c r="I142" t="str">
        <f t="shared" si="8"/>
        <v>2024-08</v>
      </c>
      <c r="J142" s="4">
        <f t="shared" si="9"/>
        <v>0</v>
      </c>
      <c r="K142" t="str" cm="1">
        <f t="array" ref="K142">_xlfn.IFS(G142&lt;=5, "Small", G142&lt;=15, "Medium", G142&gt;15, "Large")</f>
        <v>Medium</v>
      </c>
      <c r="L142" t="str">
        <f t="shared" si="10"/>
        <v>Standard</v>
      </c>
      <c r="M142" t="str">
        <f t="shared" si="11"/>
        <v>Weekend</v>
      </c>
    </row>
    <row r="143" spans="1:13" x14ac:dyDescent="0.35">
      <c r="A143" t="s">
        <v>197</v>
      </c>
      <c r="B143" s="1">
        <v>45115</v>
      </c>
      <c r="C143" t="s">
        <v>14</v>
      </c>
      <c r="D143" t="s">
        <v>10</v>
      </c>
      <c r="E143" t="s">
        <v>27</v>
      </c>
      <c r="F143" s="4">
        <v>30217.46</v>
      </c>
      <c r="G143" s="5">
        <v>3</v>
      </c>
      <c r="H143" t="s">
        <v>15</v>
      </c>
      <c r="I143" t="str">
        <f t="shared" si="8"/>
        <v>2023-07</v>
      </c>
      <c r="J143" s="4">
        <f t="shared" si="9"/>
        <v>10072.486666666666</v>
      </c>
      <c r="K143" t="str" cm="1">
        <f t="array" ref="K143">_xlfn.IFS(G143&lt;=5, "Small", G143&lt;=15, "Medium", G143&gt;15, "Large")</f>
        <v>Small</v>
      </c>
      <c r="L143" t="str">
        <f t="shared" si="10"/>
        <v>VIP</v>
      </c>
      <c r="M143" t="str">
        <f t="shared" si="11"/>
        <v>Weekend</v>
      </c>
    </row>
    <row r="144" spans="1:13" x14ac:dyDescent="0.35">
      <c r="A144" t="s">
        <v>198</v>
      </c>
      <c r="B144" s="1">
        <v>45220</v>
      </c>
      <c r="C144" t="s">
        <v>14</v>
      </c>
      <c r="D144" t="s">
        <v>10</v>
      </c>
      <c r="E144" t="s">
        <v>18</v>
      </c>
      <c r="F144" s="4">
        <v>2142.98</v>
      </c>
      <c r="G144" s="5">
        <v>11</v>
      </c>
      <c r="H144" t="s">
        <v>15</v>
      </c>
      <c r="I144" t="str">
        <f t="shared" si="8"/>
        <v>2023-10</v>
      </c>
      <c r="J144" s="4">
        <f t="shared" si="9"/>
        <v>194.81636363636363</v>
      </c>
      <c r="K144" t="str" cm="1">
        <f t="array" ref="K144">_xlfn.IFS(G144&lt;=5, "Small", G144&lt;=15, "Medium", G144&gt;15, "Large")</f>
        <v>Medium</v>
      </c>
      <c r="L144" t="str">
        <f t="shared" si="10"/>
        <v>Standard</v>
      </c>
      <c r="M144" t="str">
        <f t="shared" si="11"/>
        <v>Weekend</v>
      </c>
    </row>
    <row r="145" spans="1:13" x14ac:dyDescent="0.35">
      <c r="A145" t="s">
        <v>199</v>
      </c>
      <c r="B145" s="1">
        <v>44981</v>
      </c>
      <c r="C145" t="s">
        <v>69</v>
      </c>
      <c r="D145" t="s">
        <v>31</v>
      </c>
      <c r="E145" t="s">
        <v>11</v>
      </c>
      <c r="F145" s="4">
        <v>2716.66</v>
      </c>
      <c r="G145" s="5">
        <v>7</v>
      </c>
      <c r="H145" t="s">
        <v>15</v>
      </c>
      <c r="I145" t="str">
        <f t="shared" si="8"/>
        <v>2023-02</v>
      </c>
      <c r="J145" s="4">
        <f t="shared" si="9"/>
        <v>388.09428571428572</v>
      </c>
      <c r="K145" t="str" cm="1">
        <f t="array" ref="K145">_xlfn.IFS(G145&lt;=5, "Small", G145&lt;=15, "Medium", G145&gt;15, "Large")</f>
        <v>Medium</v>
      </c>
      <c r="L145" t="str">
        <f t="shared" si="10"/>
        <v>Standard</v>
      </c>
      <c r="M145" t="str">
        <f t="shared" si="11"/>
        <v>Weekday</v>
      </c>
    </row>
    <row r="146" spans="1:13" x14ac:dyDescent="0.35">
      <c r="A146" t="s">
        <v>200</v>
      </c>
      <c r="B146" s="1">
        <v>45479</v>
      </c>
      <c r="C146" t="s">
        <v>42</v>
      </c>
      <c r="D146" t="s">
        <v>31</v>
      </c>
      <c r="E146" t="s">
        <v>18</v>
      </c>
      <c r="F146" s="4">
        <v>502.12</v>
      </c>
      <c r="G146" s="5">
        <v>13</v>
      </c>
      <c r="H146" t="s">
        <v>15</v>
      </c>
      <c r="I146" t="str">
        <f t="shared" si="8"/>
        <v>2024-07</v>
      </c>
      <c r="J146" s="4">
        <f t="shared" si="9"/>
        <v>38.624615384615382</v>
      </c>
      <c r="K146" t="str" cm="1">
        <f t="array" ref="K146">_xlfn.IFS(G146&lt;=5, "Small", G146&lt;=15, "Medium", G146&gt;15, "Large")</f>
        <v>Medium</v>
      </c>
      <c r="L146" t="str">
        <f t="shared" si="10"/>
        <v>Standard</v>
      </c>
      <c r="M146" t="str">
        <f t="shared" si="11"/>
        <v>Weekend</v>
      </c>
    </row>
    <row r="147" spans="1:13" x14ac:dyDescent="0.35">
      <c r="A147" t="s">
        <v>201</v>
      </c>
      <c r="B147" s="1">
        <v>45516</v>
      </c>
      <c r="C147" t="s">
        <v>30</v>
      </c>
      <c r="D147" t="s">
        <v>31</v>
      </c>
      <c r="E147" t="s">
        <v>11</v>
      </c>
      <c r="F147" s="4">
        <v>8745.4</v>
      </c>
      <c r="G147" s="5">
        <v>4</v>
      </c>
      <c r="H147" t="s">
        <v>15</v>
      </c>
      <c r="I147" t="str">
        <f t="shared" si="8"/>
        <v>2024-08</v>
      </c>
      <c r="J147" s="4">
        <f t="shared" si="9"/>
        <v>2186.35</v>
      </c>
      <c r="K147" t="str" cm="1">
        <f t="array" ref="K147">_xlfn.IFS(G147&lt;=5, "Small", G147&lt;=15, "Medium", G147&gt;15, "Large")</f>
        <v>Small</v>
      </c>
      <c r="L147" t="str">
        <f t="shared" si="10"/>
        <v>Standard</v>
      </c>
      <c r="M147" t="str">
        <f t="shared" si="11"/>
        <v>Weekday</v>
      </c>
    </row>
    <row r="148" spans="1:13" x14ac:dyDescent="0.35">
      <c r="A148" t="s">
        <v>202</v>
      </c>
      <c r="B148" s="1">
        <v>45407</v>
      </c>
      <c r="C148" t="s">
        <v>60</v>
      </c>
      <c r="D148" t="s">
        <v>21</v>
      </c>
      <c r="E148" t="s">
        <v>27</v>
      </c>
      <c r="F148" s="4">
        <v>0</v>
      </c>
      <c r="G148" s="5">
        <v>5</v>
      </c>
      <c r="H148" t="s">
        <v>28</v>
      </c>
      <c r="I148" t="str">
        <f t="shared" si="8"/>
        <v>2024-04</v>
      </c>
      <c r="J148" s="4">
        <f t="shared" si="9"/>
        <v>0</v>
      </c>
      <c r="K148" t="str" cm="1">
        <f t="array" ref="K148">_xlfn.IFS(G148&lt;=5, "Small", G148&lt;=15, "Medium", G148&gt;15, "Large")</f>
        <v>Small</v>
      </c>
      <c r="L148" t="str">
        <f t="shared" si="10"/>
        <v>Standard</v>
      </c>
      <c r="M148" t="str">
        <f t="shared" si="11"/>
        <v>Weekday</v>
      </c>
    </row>
    <row r="149" spans="1:13" x14ac:dyDescent="0.35">
      <c r="A149" t="s">
        <v>203</v>
      </c>
      <c r="B149" s="1">
        <v>45185</v>
      </c>
      <c r="C149" t="s">
        <v>126</v>
      </c>
      <c r="D149" t="s">
        <v>21</v>
      </c>
      <c r="E149" t="s">
        <v>11</v>
      </c>
      <c r="F149" s="4">
        <v>0</v>
      </c>
      <c r="G149" s="5">
        <v>1</v>
      </c>
      <c r="H149" t="s">
        <v>28</v>
      </c>
      <c r="I149" t="str">
        <f t="shared" si="8"/>
        <v>2023-09</v>
      </c>
      <c r="J149" s="4">
        <f t="shared" si="9"/>
        <v>0</v>
      </c>
      <c r="K149" t="str" cm="1">
        <f t="array" ref="K149">_xlfn.IFS(G149&lt;=5, "Small", G149&lt;=15, "Medium", G149&gt;15, "Large")</f>
        <v>Small</v>
      </c>
      <c r="L149" t="str">
        <f t="shared" si="10"/>
        <v>Standard</v>
      </c>
      <c r="M149" t="str">
        <f t="shared" si="11"/>
        <v>Weekend</v>
      </c>
    </row>
    <row r="150" spans="1:13" x14ac:dyDescent="0.35">
      <c r="A150" t="s">
        <v>204</v>
      </c>
      <c r="B150" s="1">
        <v>45369</v>
      </c>
      <c r="C150" t="s">
        <v>50</v>
      </c>
      <c r="D150" t="s">
        <v>26</v>
      </c>
      <c r="E150" t="s">
        <v>18</v>
      </c>
      <c r="F150" s="4">
        <v>502.94</v>
      </c>
      <c r="G150" s="5">
        <v>22</v>
      </c>
      <c r="H150" t="s">
        <v>15</v>
      </c>
      <c r="I150" t="str">
        <f t="shared" si="8"/>
        <v>2024-03</v>
      </c>
      <c r="J150" s="4">
        <f t="shared" si="9"/>
        <v>22.86090909090909</v>
      </c>
      <c r="K150" t="str" cm="1">
        <f t="array" ref="K150">_xlfn.IFS(G150&lt;=5, "Small", G150&lt;=15, "Medium", G150&gt;15, "Large")</f>
        <v>Large</v>
      </c>
      <c r="L150" t="str">
        <f t="shared" si="10"/>
        <v>Standard</v>
      </c>
      <c r="M150" t="str">
        <f t="shared" si="11"/>
        <v>Weekday</v>
      </c>
    </row>
    <row r="151" spans="1:13" x14ac:dyDescent="0.35">
      <c r="A151" t="s">
        <v>205</v>
      </c>
      <c r="B151" s="1">
        <v>45562</v>
      </c>
      <c r="C151" t="s">
        <v>72</v>
      </c>
      <c r="D151" t="s">
        <v>26</v>
      </c>
      <c r="E151" t="s">
        <v>18</v>
      </c>
      <c r="F151" s="4">
        <v>392.36</v>
      </c>
      <c r="G151" s="5">
        <v>25</v>
      </c>
      <c r="H151" t="s">
        <v>15</v>
      </c>
      <c r="I151" t="str">
        <f t="shared" si="8"/>
        <v>2024-09</v>
      </c>
      <c r="J151" s="4">
        <f t="shared" si="9"/>
        <v>15.6944</v>
      </c>
      <c r="K151" t="str" cm="1">
        <f t="array" ref="K151">_xlfn.IFS(G151&lt;=5, "Small", G151&lt;=15, "Medium", G151&gt;15, "Large")</f>
        <v>Large</v>
      </c>
      <c r="L151" t="str">
        <f t="shared" si="10"/>
        <v>Standard</v>
      </c>
      <c r="M151" t="str">
        <f t="shared" si="11"/>
        <v>Weekday</v>
      </c>
    </row>
    <row r="152" spans="1:13" x14ac:dyDescent="0.35">
      <c r="A152" t="s">
        <v>206</v>
      </c>
      <c r="B152" s="1">
        <v>44958</v>
      </c>
      <c r="C152" t="s">
        <v>177</v>
      </c>
      <c r="D152" t="s">
        <v>26</v>
      </c>
      <c r="E152" t="s">
        <v>27</v>
      </c>
      <c r="F152" s="4">
        <v>28263.040000000001</v>
      </c>
      <c r="G152" s="5">
        <v>2</v>
      </c>
      <c r="H152" t="s">
        <v>15</v>
      </c>
      <c r="I152" t="str">
        <f t="shared" si="8"/>
        <v>2023-02</v>
      </c>
      <c r="J152" s="4">
        <f t="shared" si="9"/>
        <v>14131.52</v>
      </c>
      <c r="K152" t="str" cm="1">
        <f t="array" ref="K152">_xlfn.IFS(G152&lt;=5, "Small", G152&lt;=15, "Medium", G152&gt;15, "Large")</f>
        <v>Small</v>
      </c>
      <c r="L152" t="str">
        <f t="shared" si="10"/>
        <v>VIP</v>
      </c>
      <c r="M152" t="str">
        <f t="shared" si="11"/>
        <v>Weekday</v>
      </c>
    </row>
    <row r="153" spans="1:13" x14ac:dyDescent="0.35">
      <c r="A153" t="s">
        <v>207</v>
      </c>
      <c r="B153" s="1">
        <v>45177</v>
      </c>
      <c r="C153" t="s">
        <v>78</v>
      </c>
      <c r="D153" t="s">
        <v>31</v>
      </c>
      <c r="E153" t="s">
        <v>18</v>
      </c>
      <c r="F153" s="4">
        <v>702.4</v>
      </c>
      <c r="G153" s="5">
        <v>18</v>
      </c>
      <c r="H153" t="s">
        <v>15</v>
      </c>
      <c r="I153" t="str">
        <f t="shared" si="8"/>
        <v>2023-09</v>
      </c>
      <c r="J153" s="4">
        <f t="shared" si="9"/>
        <v>39.022222222222219</v>
      </c>
      <c r="K153" t="str" cm="1">
        <f t="array" ref="K153">_xlfn.IFS(G153&lt;=5, "Small", G153&lt;=15, "Medium", G153&gt;15, "Large")</f>
        <v>Large</v>
      </c>
      <c r="L153" t="str">
        <f t="shared" si="10"/>
        <v>Standard</v>
      </c>
      <c r="M153" t="str">
        <f t="shared" si="11"/>
        <v>Weekday</v>
      </c>
    </row>
    <row r="154" spans="1:13" x14ac:dyDescent="0.35">
      <c r="A154" t="s">
        <v>208</v>
      </c>
      <c r="B154" s="1">
        <v>45259</v>
      </c>
      <c r="C154" t="s">
        <v>23</v>
      </c>
      <c r="D154" t="s">
        <v>21</v>
      </c>
      <c r="E154" t="s">
        <v>18</v>
      </c>
      <c r="F154" s="4">
        <v>508.61</v>
      </c>
      <c r="G154" s="5">
        <v>6</v>
      </c>
      <c r="H154" t="s">
        <v>15</v>
      </c>
      <c r="I154" t="str">
        <f t="shared" si="8"/>
        <v>2023-11</v>
      </c>
      <c r="J154" s="4">
        <f t="shared" si="9"/>
        <v>84.768333333333331</v>
      </c>
      <c r="K154" t="str" cm="1">
        <f t="array" ref="K154">_xlfn.IFS(G154&lt;=5, "Small", G154&lt;=15, "Medium", G154&gt;15, "Large")</f>
        <v>Medium</v>
      </c>
      <c r="L154" t="str">
        <f t="shared" si="10"/>
        <v>Standard</v>
      </c>
      <c r="M154" t="str">
        <f t="shared" si="11"/>
        <v>Weekday</v>
      </c>
    </row>
    <row r="155" spans="1:13" x14ac:dyDescent="0.35">
      <c r="A155" t="s">
        <v>209</v>
      </c>
      <c r="B155" s="1">
        <v>45433</v>
      </c>
      <c r="C155" t="s">
        <v>55</v>
      </c>
      <c r="D155" t="s">
        <v>10</v>
      </c>
      <c r="E155" t="s">
        <v>11</v>
      </c>
      <c r="F155" s="4">
        <v>6278.27</v>
      </c>
      <c r="G155" s="5">
        <v>3</v>
      </c>
      <c r="H155" t="s">
        <v>15</v>
      </c>
      <c r="I155" t="str">
        <f t="shared" si="8"/>
        <v>2024-05</v>
      </c>
      <c r="J155" s="4">
        <f t="shared" si="9"/>
        <v>2092.7566666666667</v>
      </c>
      <c r="K155" t="str" cm="1">
        <f t="array" ref="K155">_xlfn.IFS(G155&lt;=5, "Small", G155&lt;=15, "Medium", G155&gt;15, "Large")</f>
        <v>Small</v>
      </c>
      <c r="L155" t="str">
        <f t="shared" si="10"/>
        <v>Standard</v>
      </c>
      <c r="M155" t="str">
        <f t="shared" si="11"/>
        <v>Weekday</v>
      </c>
    </row>
    <row r="156" spans="1:13" x14ac:dyDescent="0.35">
      <c r="A156" t="s">
        <v>210</v>
      </c>
      <c r="B156" s="1">
        <v>45551</v>
      </c>
      <c r="C156" t="s">
        <v>40</v>
      </c>
      <c r="D156" t="s">
        <v>26</v>
      </c>
      <c r="E156" t="s">
        <v>27</v>
      </c>
      <c r="F156" s="4">
        <v>35490.339999999997</v>
      </c>
      <c r="G156" s="5">
        <v>2</v>
      </c>
      <c r="H156" t="s">
        <v>15</v>
      </c>
      <c r="I156" t="str">
        <f t="shared" si="8"/>
        <v>2024-09</v>
      </c>
      <c r="J156" s="4">
        <f t="shared" si="9"/>
        <v>17745.169999999998</v>
      </c>
      <c r="K156" t="str" cm="1">
        <f t="array" ref="K156">_xlfn.IFS(G156&lt;=5, "Small", G156&lt;=15, "Medium", G156&gt;15, "Large")</f>
        <v>Small</v>
      </c>
      <c r="L156" t="str">
        <f t="shared" si="10"/>
        <v>VIP</v>
      </c>
      <c r="M156" t="str">
        <f t="shared" si="11"/>
        <v>Weekday</v>
      </c>
    </row>
    <row r="157" spans="1:13" x14ac:dyDescent="0.35">
      <c r="A157" t="s">
        <v>211</v>
      </c>
      <c r="B157" s="1">
        <v>45618</v>
      </c>
      <c r="C157" t="s">
        <v>177</v>
      </c>
      <c r="D157" t="s">
        <v>26</v>
      </c>
      <c r="E157" t="s">
        <v>18</v>
      </c>
      <c r="F157" s="4">
        <v>2708.22</v>
      </c>
      <c r="G157" s="5">
        <v>17</v>
      </c>
      <c r="H157" t="s">
        <v>15</v>
      </c>
      <c r="I157" t="str">
        <f t="shared" si="8"/>
        <v>2024-11</v>
      </c>
      <c r="J157" s="4">
        <f t="shared" si="9"/>
        <v>159.30705882352939</v>
      </c>
      <c r="K157" t="str" cm="1">
        <f t="array" ref="K157">_xlfn.IFS(G157&lt;=5, "Small", G157&lt;=15, "Medium", G157&gt;15, "Large")</f>
        <v>Large</v>
      </c>
      <c r="L157" t="str">
        <f t="shared" si="10"/>
        <v>Standard</v>
      </c>
      <c r="M157" t="str">
        <f t="shared" si="11"/>
        <v>Weekday</v>
      </c>
    </row>
    <row r="158" spans="1:13" x14ac:dyDescent="0.35">
      <c r="A158" t="s">
        <v>212</v>
      </c>
      <c r="B158" s="1">
        <v>45047</v>
      </c>
      <c r="C158" t="s">
        <v>53</v>
      </c>
      <c r="D158" t="s">
        <v>31</v>
      </c>
      <c r="E158" t="s">
        <v>27</v>
      </c>
      <c r="F158" s="4">
        <v>10485.48</v>
      </c>
      <c r="G158" s="5">
        <v>2</v>
      </c>
      <c r="H158" t="s">
        <v>15</v>
      </c>
      <c r="I158" t="str">
        <f t="shared" si="8"/>
        <v>2023-05</v>
      </c>
      <c r="J158" s="4">
        <f t="shared" si="9"/>
        <v>5242.74</v>
      </c>
      <c r="K158" t="str" cm="1">
        <f t="array" ref="K158">_xlfn.IFS(G158&lt;=5, "Small", G158&lt;=15, "Medium", G158&gt;15, "Large")</f>
        <v>Small</v>
      </c>
      <c r="L158" t="str">
        <f t="shared" si="10"/>
        <v>Standard</v>
      </c>
      <c r="M158" t="str">
        <f t="shared" si="11"/>
        <v>Weekday</v>
      </c>
    </row>
    <row r="159" spans="1:13" x14ac:dyDescent="0.35">
      <c r="A159" t="s">
        <v>213</v>
      </c>
      <c r="B159" s="1">
        <v>45592</v>
      </c>
      <c r="C159" t="s">
        <v>78</v>
      </c>
      <c r="D159" t="s">
        <v>31</v>
      </c>
      <c r="E159" t="s">
        <v>11</v>
      </c>
      <c r="F159" s="4">
        <v>6975.9</v>
      </c>
      <c r="G159" s="5">
        <v>8</v>
      </c>
      <c r="H159" t="s">
        <v>15</v>
      </c>
      <c r="I159" t="str">
        <f t="shared" si="8"/>
        <v>2024-10</v>
      </c>
      <c r="J159" s="4">
        <f t="shared" si="9"/>
        <v>871.98749999999995</v>
      </c>
      <c r="K159" t="str" cm="1">
        <f t="array" ref="K159">_xlfn.IFS(G159&lt;=5, "Small", G159&lt;=15, "Medium", G159&gt;15, "Large")</f>
        <v>Medium</v>
      </c>
      <c r="L159" t="str">
        <f t="shared" si="10"/>
        <v>Standard</v>
      </c>
      <c r="M159" t="str">
        <f t="shared" si="11"/>
        <v>Weekend</v>
      </c>
    </row>
    <row r="160" spans="1:13" x14ac:dyDescent="0.35">
      <c r="A160" t="s">
        <v>214</v>
      </c>
      <c r="B160" s="1">
        <v>45164</v>
      </c>
      <c r="C160" t="s">
        <v>72</v>
      </c>
      <c r="D160" t="s">
        <v>26</v>
      </c>
      <c r="E160" t="s">
        <v>11</v>
      </c>
      <c r="F160" s="4">
        <v>10502.34</v>
      </c>
      <c r="G160" s="5">
        <v>2</v>
      </c>
      <c r="H160" t="s">
        <v>15</v>
      </c>
      <c r="I160" t="str">
        <f t="shared" si="8"/>
        <v>2023-08</v>
      </c>
      <c r="J160" s="4">
        <f t="shared" si="9"/>
        <v>5251.17</v>
      </c>
      <c r="K160" t="str" cm="1">
        <f t="array" ref="K160">_xlfn.IFS(G160&lt;=5, "Small", G160&lt;=15, "Medium", G160&gt;15, "Large")</f>
        <v>Small</v>
      </c>
      <c r="L160" t="str">
        <f t="shared" si="10"/>
        <v>Standard</v>
      </c>
      <c r="M160" t="str">
        <f t="shared" si="11"/>
        <v>Weekend</v>
      </c>
    </row>
    <row r="161" spans="1:13" x14ac:dyDescent="0.35">
      <c r="A161" t="s">
        <v>215</v>
      </c>
      <c r="B161" s="1">
        <v>45004</v>
      </c>
      <c r="C161" t="s">
        <v>9</v>
      </c>
      <c r="D161" t="s">
        <v>10</v>
      </c>
      <c r="E161" t="s">
        <v>18</v>
      </c>
      <c r="F161" s="4">
        <v>0</v>
      </c>
      <c r="G161" s="5">
        <v>13</v>
      </c>
      <c r="H161" t="s">
        <v>12</v>
      </c>
      <c r="I161" t="str">
        <f t="shared" si="8"/>
        <v>2023-03</v>
      </c>
      <c r="J161" s="4">
        <f t="shared" si="9"/>
        <v>0</v>
      </c>
      <c r="K161" t="str" cm="1">
        <f t="array" ref="K161">_xlfn.IFS(G161&lt;=5, "Small", G161&lt;=15, "Medium", G161&gt;15, "Large")</f>
        <v>Medium</v>
      </c>
      <c r="L161" t="str">
        <f t="shared" si="10"/>
        <v>Standard</v>
      </c>
      <c r="M161" t="str">
        <f t="shared" si="11"/>
        <v>Weekend</v>
      </c>
    </row>
    <row r="162" spans="1:13" x14ac:dyDescent="0.35">
      <c r="A162" t="s">
        <v>216</v>
      </c>
      <c r="B162" s="1">
        <v>45362</v>
      </c>
      <c r="C162" t="s">
        <v>91</v>
      </c>
      <c r="D162" t="s">
        <v>26</v>
      </c>
      <c r="E162" t="s">
        <v>11</v>
      </c>
      <c r="F162" s="4">
        <v>1052.55</v>
      </c>
      <c r="G162" s="5">
        <v>2</v>
      </c>
      <c r="H162" t="s">
        <v>15</v>
      </c>
      <c r="I162" t="str">
        <f t="shared" si="8"/>
        <v>2024-03</v>
      </c>
      <c r="J162" s="4">
        <f t="shared" si="9"/>
        <v>526.27499999999998</v>
      </c>
      <c r="K162" t="str" cm="1">
        <f t="array" ref="K162">_xlfn.IFS(G162&lt;=5, "Small", G162&lt;=15, "Medium", G162&gt;15, "Large")</f>
        <v>Small</v>
      </c>
      <c r="L162" t="str">
        <f t="shared" si="10"/>
        <v>Standard</v>
      </c>
      <c r="M162" t="str">
        <f t="shared" si="11"/>
        <v>Weekday</v>
      </c>
    </row>
    <row r="163" spans="1:13" x14ac:dyDescent="0.35">
      <c r="A163" t="s">
        <v>217</v>
      </c>
      <c r="B163" s="1">
        <v>45311</v>
      </c>
      <c r="C163" t="s">
        <v>14</v>
      </c>
      <c r="D163" t="s">
        <v>10</v>
      </c>
      <c r="E163" t="s">
        <v>27</v>
      </c>
      <c r="F163" s="4">
        <v>16836.52</v>
      </c>
      <c r="G163" s="5">
        <v>1</v>
      </c>
      <c r="H163" t="s">
        <v>15</v>
      </c>
      <c r="I163" t="str">
        <f t="shared" si="8"/>
        <v>2024-01</v>
      </c>
      <c r="J163" s="4">
        <f t="shared" si="9"/>
        <v>16836.52</v>
      </c>
      <c r="K163" t="str" cm="1">
        <f t="array" ref="K163">_xlfn.IFS(G163&lt;=5, "Small", G163&lt;=15, "Medium", G163&gt;15, "Large")</f>
        <v>Small</v>
      </c>
      <c r="L163" t="str">
        <f t="shared" si="10"/>
        <v>Standard</v>
      </c>
      <c r="M163" t="str">
        <f t="shared" si="11"/>
        <v>Weekend</v>
      </c>
    </row>
    <row r="164" spans="1:13" x14ac:dyDescent="0.35">
      <c r="A164" t="s">
        <v>218</v>
      </c>
      <c r="B164" s="1">
        <v>45447</v>
      </c>
      <c r="C164" t="s">
        <v>55</v>
      </c>
      <c r="D164" t="s">
        <v>10</v>
      </c>
      <c r="E164" t="s">
        <v>18</v>
      </c>
      <c r="F164" s="4">
        <v>2070.59</v>
      </c>
      <c r="G164" s="5">
        <v>19</v>
      </c>
      <c r="H164" t="s">
        <v>15</v>
      </c>
      <c r="I164" t="str">
        <f t="shared" si="8"/>
        <v>2024-06</v>
      </c>
      <c r="J164" s="4">
        <f t="shared" si="9"/>
        <v>108.97842105263159</v>
      </c>
      <c r="K164" t="str" cm="1">
        <f t="array" ref="K164">_xlfn.IFS(G164&lt;=5, "Small", G164&lt;=15, "Medium", G164&gt;15, "Large")</f>
        <v>Large</v>
      </c>
      <c r="L164" t="str">
        <f t="shared" si="10"/>
        <v>Standard</v>
      </c>
      <c r="M164" t="str">
        <f t="shared" si="11"/>
        <v>Weekday</v>
      </c>
    </row>
    <row r="165" spans="1:13" x14ac:dyDescent="0.35">
      <c r="A165" t="s">
        <v>219</v>
      </c>
      <c r="B165" s="1">
        <v>45525</v>
      </c>
      <c r="C165" t="s">
        <v>115</v>
      </c>
      <c r="D165" t="s">
        <v>10</v>
      </c>
      <c r="E165" t="s">
        <v>11</v>
      </c>
      <c r="F165" s="4">
        <v>14596.29</v>
      </c>
      <c r="G165" s="5">
        <v>7</v>
      </c>
      <c r="H165" t="s">
        <v>15</v>
      </c>
      <c r="I165" t="str">
        <f t="shared" si="8"/>
        <v>2024-08</v>
      </c>
      <c r="J165" s="4">
        <f t="shared" si="9"/>
        <v>2085.184285714286</v>
      </c>
      <c r="K165" t="str" cm="1">
        <f t="array" ref="K165">_xlfn.IFS(G165&lt;=5, "Small", G165&lt;=15, "Medium", G165&gt;15, "Large")</f>
        <v>Medium</v>
      </c>
      <c r="L165" t="str">
        <f t="shared" si="10"/>
        <v>Standard</v>
      </c>
      <c r="M165" t="str">
        <f t="shared" si="11"/>
        <v>Weekday</v>
      </c>
    </row>
    <row r="166" spans="1:13" x14ac:dyDescent="0.35">
      <c r="A166" t="s">
        <v>220</v>
      </c>
      <c r="B166" s="1">
        <v>45473</v>
      </c>
      <c r="C166" t="s">
        <v>53</v>
      </c>
      <c r="D166" t="s">
        <v>31</v>
      </c>
      <c r="E166" t="s">
        <v>11</v>
      </c>
      <c r="F166" s="4">
        <v>14606.99</v>
      </c>
      <c r="G166" s="5">
        <v>2</v>
      </c>
      <c r="H166" t="s">
        <v>15</v>
      </c>
      <c r="I166" t="str">
        <f t="shared" si="8"/>
        <v>2024-06</v>
      </c>
      <c r="J166" s="4">
        <f t="shared" si="9"/>
        <v>7303.4949999999999</v>
      </c>
      <c r="K166" t="str" cm="1">
        <f t="array" ref="K166">_xlfn.IFS(G166&lt;=5, "Small", G166&lt;=15, "Medium", G166&gt;15, "Large")</f>
        <v>Small</v>
      </c>
      <c r="L166" t="str">
        <f t="shared" si="10"/>
        <v>Standard</v>
      </c>
      <c r="M166" t="str">
        <f t="shared" si="11"/>
        <v>Weekend</v>
      </c>
    </row>
    <row r="167" spans="1:13" x14ac:dyDescent="0.35">
      <c r="A167" t="s">
        <v>221</v>
      </c>
      <c r="B167" s="1">
        <v>45175</v>
      </c>
      <c r="C167" t="s">
        <v>126</v>
      </c>
      <c r="D167" t="s">
        <v>21</v>
      </c>
      <c r="E167" t="s">
        <v>27</v>
      </c>
      <c r="F167" s="4">
        <v>6443.49</v>
      </c>
      <c r="G167" s="5">
        <v>5</v>
      </c>
      <c r="H167" t="s">
        <v>15</v>
      </c>
      <c r="I167" t="str">
        <f t="shared" si="8"/>
        <v>2023-09</v>
      </c>
      <c r="J167" s="4">
        <f t="shared" si="9"/>
        <v>1288.6979999999999</v>
      </c>
      <c r="K167" t="str" cm="1">
        <f t="array" ref="K167">_xlfn.IFS(G167&lt;=5, "Small", G167&lt;=15, "Medium", G167&gt;15, "Large")</f>
        <v>Small</v>
      </c>
      <c r="L167" t="str">
        <f t="shared" si="10"/>
        <v>Standard</v>
      </c>
      <c r="M167" t="str">
        <f t="shared" si="11"/>
        <v>Weekday</v>
      </c>
    </row>
    <row r="168" spans="1:13" x14ac:dyDescent="0.35">
      <c r="A168" t="s">
        <v>222</v>
      </c>
      <c r="B168" s="1">
        <v>45093</v>
      </c>
      <c r="C168" t="s">
        <v>166</v>
      </c>
      <c r="D168" t="s">
        <v>26</v>
      </c>
      <c r="E168" t="s">
        <v>27</v>
      </c>
      <c r="F168" s="4">
        <v>8727.74</v>
      </c>
      <c r="G168" s="5">
        <v>3</v>
      </c>
      <c r="H168" t="s">
        <v>15</v>
      </c>
      <c r="I168" t="str">
        <f t="shared" si="8"/>
        <v>2023-06</v>
      </c>
      <c r="J168" s="4">
        <f t="shared" si="9"/>
        <v>2909.2466666666664</v>
      </c>
      <c r="K168" t="str" cm="1">
        <f t="array" ref="K168">_xlfn.IFS(G168&lt;=5, "Small", G168&lt;=15, "Medium", G168&gt;15, "Large")</f>
        <v>Small</v>
      </c>
      <c r="L168" t="str">
        <f t="shared" si="10"/>
        <v>Standard</v>
      </c>
      <c r="M168" t="str">
        <f t="shared" si="11"/>
        <v>Weekday</v>
      </c>
    </row>
    <row r="169" spans="1:13" x14ac:dyDescent="0.35">
      <c r="A169" t="s">
        <v>223</v>
      </c>
      <c r="B169" s="1">
        <v>44930</v>
      </c>
      <c r="C169" t="s">
        <v>14</v>
      </c>
      <c r="D169" t="s">
        <v>10</v>
      </c>
      <c r="E169" t="s">
        <v>27</v>
      </c>
      <c r="F169" s="4">
        <v>19527.419999999998</v>
      </c>
      <c r="G169" s="5">
        <v>1</v>
      </c>
      <c r="H169" t="s">
        <v>15</v>
      </c>
      <c r="I169" t="str">
        <f t="shared" si="8"/>
        <v>2023-01</v>
      </c>
      <c r="J169" s="4">
        <f t="shared" si="9"/>
        <v>19527.419999999998</v>
      </c>
      <c r="K169" t="str" cm="1">
        <f t="array" ref="K169">_xlfn.IFS(G169&lt;=5, "Small", G169&lt;=15, "Medium", G169&gt;15, "Large")</f>
        <v>Small</v>
      </c>
      <c r="L169" t="str">
        <f t="shared" si="10"/>
        <v>Standard</v>
      </c>
      <c r="M169" t="str">
        <f t="shared" si="11"/>
        <v>Weekday</v>
      </c>
    </row>
    <row r="170" spans="1:13" x14ac:dyDescent="0.35">
      <c r="A170" t="s">
        <v>224</v>
      </c>
      <c r="B170" s="1">
        <v>45308</v>
      </c>
      <c r="C170" t="s">
        <v>97</v>
      </c>
      <c r="D170" t="s">
        <v>21</v>
      </c>
      <c r="E170" t="s">
        <v>27</v>
      </c>
      <c r="F170" s="4">
        <v>24387.02</v>
      </c>
      <c r="G170" s="5">
        <v>1</v>
      </c>
      <c r="H170" t="s">
        <v>15</v>
      </c>
      <c r="I170" t="str">
        <f t="shared" si="8"/>
        <v>2024-01</v>
      </c>
      <c r="J170" s="4">
        <f t="shared" si="9"/>
        <v>24387.02</v>
      </c>
      <c r="K170" t="str" cm="1">
        <f t="array" ref="K170">_xlfn.IFS(G170&lt;=5, "Small", G170&lt;=15, "Medium", G170&gt;15, "Large")</f>
        <v>Small</v>
      </c>
      <c r="L170" t="str">
        <f t="shared" si="10"/>
        <v>Standard</v>
      </c>
      <c r="M170" t="str">
        <f t="shared" si="11"/>
        <v>Weekday</v>
      </c>
    </row>
    <row r="171" spans="1:13" x14ac:dyDescent="0.35">
      <c r="A171" t="s">
        <v>225</v>
      </c>
      <c r="B171" s="1">
        <v>44933</v>
      </c>
      <c r="C171" t="s">
        <v>50</v>
      </c>
      <c r="D171" t="s">
        <v>26</v>
      </c>
      <c r="E171" t="s">
        <v>27</v>
      </c>
      <c r="F171" s="4">
        <v>0</v>
      </c>
      <c r="G171" s="5">
        <v>1</v>
      </c>
      <c r="H171" t="s">
        <v>12</v>
      </c>
      <c r="I171" t="str">
        <f t="shared" si="8"/>
        <v>2023-01</v>
      </c>
      <c r="J171" s="4">
        <f t="shared" si="9"/>
        <v>0</v>
      </c>
      <c r="K171" t="str" cm="1">
        <f t="array" ref="K171">_xlfn.IFS(G171&lt;=5, "Small", G171&lt;=15, "Medium", G171&gt;15, "Large")</f>
        <v>Small</v>
      </c>
      <c r="L171" t="str">
        <f t="shared" si="10"/>
        <v>Standard</v>
      </c>
      <c r="M171" t="str">
        <f t="shared" si="11"/>
        <v>Weekend</v>
      </c>
    </row>
    <row r="172" spans="1:13" x14ac:dyDescent="0.35">
      <c r="A172" t="s">
        <v>226</v>
      </c>
      <c r="B172" s="1">
        <v>45291</v>
      </c>
      <c r="C172" t="s">
        <v>50</v>
      </c>
      <c r="D172" t="s">
        <v>26</v>
      </c>
      <c r="E172" t="s">
        <v>27</v>
      </c>
      <c r="F172" s="4">
        <v>32310.12</v>
      </c>
      <c r="G172" s="5">
        <v>5</v>
      </c>
      <c r="H172" t="s">
        <v>15</v>
      </c>
      <c r="I172" t="str">
        <f t="shared" si="8"/>
        <v>2023-12</v>
      </c>
      <c r="J172" s="4">
        <f t="shared" si="9"/>
        <v>6462.0239999999994</v>
      </c>
      <c r="K172" t="str" cm="1">
        <f t="array" ref="K172">_xlfn.IFS(G172&lt;=5, "Small", G172&lt;=15, "Medium", G172&gt;15, "Large")</f>
        <v>Small</v>
      </c>
      <c r="L172" t="str">
        <f t="shared" si="10"/>
        <v>VIP</v>
      </c>
      <c r="M172" t="str">
        <f t="shared" si="11"/>
        <v>Weekend</v>
      </c>
    </row>
    <row r="173" spans="1:13" x14ac:dyDescent="0.35">
      <c r="A173" t="s">
        <v>227</v>
      </c>
      <c r="B173" s="1">
        <v>45560</v>
      </c>
      <c r="C173" t="s">
        <v>53</v>
      </c>
      <c r="D173" t="s">
        <v>31</v>
      </c>
      <c r="E173" t="s">
        <v>18</v>
      </c>
      <c r="F173" s="4">
        <v>303.60000000000002</v>
      </c>
      <c r="G173" s="5">
        <v>9</v>
      </c>
      <c r="H173" t="s">
        <v>15</v>
      </c>
      <c r="I173" t="str">
        <f t="shared" si="8"/>
        <v>2024-09</v>
      </c>
      <c r="J173" s="4">
        <f t="shared" si="9"/>
        <v>33.733333333333334</v>
      </c>
      <c r="K173" t="str" cm="1">
        <f t="array" ref="K173">_xlfn.IFS(G173&lt;=5, "Small", G173&lt;=15, "Medium", G173&gt;15, "Large")</f>
        <v>Medium</v>
      </c>
      <c r="L173" t="str">
        <f t="shared" si="10"/>
        <v>Standard</v>
      </c>
      <c r="M173" t="str">
        <f t="shared" si="11"/>
        <v>Weekday</v>
      </c>
    </row>
    <row r="174" spans="1:13" x14ac:dyDescent="0.35">
      <c r="A174" t="s">
        <v>228</v>
      </c>
      <c r="B174" s="1">
        <v>45495</v>
      </c>
      <c r="C174" t="s">
        <v>58</v>
      </c>
      <c r="D174" t="s">
        <v>31</v>
      </c>
      <c r="E174" t="s">
        <v>11</v>
      </c>
      <c r="F174" s="4">
        <v>0</v>
      </c>
      <c r="G174" s="5">
        <v>7</v>
      </c>
      <c r="H174" t="s">
        <v>28</v>
      </c>
      <c r="I174" t="str">
        <f t="shared" si="8"/>
        <v>2024-07</v>
      </c>
      <c r="J174" s="4">
        <f t="shared" si="9"/>
        <v>0</v>
      </c>
      <c r="K174" t="str" cm="1">
        <f t="array" ref="K174">_xlfn.IFS(G174&lt;=5, "Small", G174&lt;=15, "Medium", G174&gt;15, "Large")</f>
        <v>Medium</v>
      </c>
      <c r="L174" t="str">
        <f t="shared" si="10"/>
        <v>Standard</v>
      </c>
      <c r="M174" t="str">
        <f t="shared" si="11"/>
        <v>Weekday</v>
      </c>
    </row>
    <row r="175" spans="1:13" x14ac:dyDescent="0.35">
      <c r="A175" t="s">
        <v>229</v>
      </c>
      <c r="B175" s="1">
        <v>44980</v>
      </c>
      <c r="C175" t="s">
        <v>166</v>
      </c>
      <c r="D175" t="s">
        <v>26</v>
      </c>
      <c r="E175" t="s">
        <v>18</v>
      </c>
      <c r="F175" s="4">
        <v>1401.74</v>
      </c>
      <c r="G175" s="5">
        <v>27</v>
      </c>
      <c r="H175" t="s">
        <v>15</v>
      </c>
      <c r="I175" t="str">
        <f t="shared" si="8"/>
        <v>2023-02</v>
      </c>
      <c r="J175" s="4">
        <f t="shared" si="9"/>
        <v>51.916296296296295</v>
      </c>
      <c r="K175" t="str" cm="1">
        <f t="array" ref="K175">_xlfn.IFS(G175&lt;=5, "Small", G175&lt;=15, "Medium", G175&gt;15, "Large")</f>
        <v>Large</v>
      </c>
      <c r="L175" t="str">
        <f t="shared" si="10"/>
        <v>Standard</v>
      </c>
      <c r="M175" t="str">
        <f t="shared" si="11"/>
        <v>Weekday</v>
      </c>
    </row>
    <row r="176" spans="1:13" x14ac:dyDescent="0.35">
      <c r="A176" t="s">
        <v>230</v>
      </c>
      <c r="B176" s="1">
        <v>44960</v>
      </c>
      <c r="C176" t="s">
        <v>53</v>
      </c>
      <c r="D176" t="s">
        <v>31</v>
      </c>
      <c r="E176" t="s">
        <v>11</v>
      </c>
      <c r="F176" s="4">
        <v>0</v>
      </c>
      <c r="G176" s="5">
        <v>4</v>
      </c>
      <c r="H176" t="s">
        <v>28</v>
      </c>
      <c r="I176" t="str">
        <f t="shared" si="8"/>
        <v>2023-02</v>
      </c>
      <c r="J176" s="4">
        <f t="shared" si="9"/>
        <v>0</v>
      </c>
      <c r="K176" t="str" cm="1">
        <f t="array" ref="K176">_xlfn.IFS(G176&lt;=5, "Small", G176&lt;=15, "Medium", G176&gt;15, "Large")</f>
        <v>Small</v>
      </c>
      <c r="L176" t="str">
        <f t="shared" si="10"/>
        <v>Standard</v>
      </c>
      <c r="M176" t="str">
        <f t="shared" si="11"/>
        <v>Weekday</v>
      </c>
    </row>
    <row r="177" spans="1:13" x14ac:dyDescent="0.35">
      <c r="A177" t="s">
        <v>231</v>
      </c>
      <c r="B177" s="1">
        <v>44953</v>
      </c>
      <c r="C177" t="s">
        <v>35</v>
      </c>
      <c r="D177" t="s">
        <v>31</v>
      </c>
      <c r="E177" t="s">
        <v>18</v>
      </c>
      <c r="F177" s="4">
        <v>0</v>
      </c>
      <c r="G177" s="5">
        <v>23</v>
      </c>
      <c r="H177" t="s">
        <v>12</v>
      </c>
      <c r="I177" t="str">
        <f t="shared" si="8"/>
        <v>2023-01</v>
      </c>
      <c r="J177" s="4">
        <f t="shared" si="9"/>
        <v>0</v>
      </c>
      <c r="K177" t="str" cm="1">
        <f t="array" ref="K177">_xlfn.IFS(G177&lt;=5, "Small", G177&lt;=15, "Medium", G177&gt;15, "Large")</f>
        <v>Large</v>
      </c>
      <c r="L177" t="str">
        <f t="shared" si="10"/>
        <v>Standard</v>
      </c>
      <c r="M177" t="str">
        <f t="shared" si="11"/>
        <v>Weekday</v>
      </c>
    </row>
    <row r="178" spans="1:13" x14ac:dyDescent="0.35">
      <c r="A178" t="s">
        <v>232</v>
      </c>
      <c r="B178" s="1">
        <v>45138</v>
      </c>
      <c r="C178" t="s">
        <v>111</v>
      </c>
      <c r="D178" t="s">
        <v>31</v>
      </c>
      <c r="E178" t="s">
        <v>27</v>
      </c>
      <c r="F178" s="4">
        <v>37765.99</v>
      </c>
      <c r="G178" s="5">
        <v>3</v>
      </c>
      <c r="H178" t="s">
        <v>15</v>
      </c>
      <c r="I178" t="str">
        <f t="shared" si="8"/>
        <v>2023-07</v>
      </c>
      <c r="J178" s="4">
        <f t="shared" si="9"/>
        <v>12588.663333333332</v>
      </c>
      <c r="K178" t="str" cm="1">
        <f t="array" ref="K178">_xlfn.IFS(G178&lt;=5, "Small", G178&lt;=15, "Medium", G178&gt;15, "Large")</f>
        <v>Small</v>
      </c>
      <c r="L178" t="str">
        <f t="shared" si="10"/>
        <v>VIP</v>
      </c>
      <c r="M178" t="str">
        <f t="shared" si="11"/>
        <v>Weekday</v>
      </c>
    </row>
    <row r="179" spans="1:13" x14ac:dyDescent="0.35">
      <c r="A179" t="s">
        <v>233</v>
      </c>
      <c r="B179" s="1">
        <v>45214</v>
      </c>
      <c r="C179" t="s">
        <v>126</v>
      </c>
      <c r="D179" t="s">
        <v>21</v>
      </c>
      <c r="E179" t="s">
        <v>27</v>
      </c>
      <c r="F179" s="4">
        <v>0</v>
      </c>
      <c r="G179" s="5">
        <v>1</v>
      </c>
      <c r="H179" t="s">
        <v>28</v>
      </c>
      <c r="I179" t="str">
        <f t="shared" si="8"/>
        <v>2023-10</v>
      </c>
      <c r="J179" s="4">
        <f t="shared" si="9"/>
        <v>0</v>
      </c>
      <c r="K179" t="str" cm="1">
        <f t="array" ref="K179">_xlfn.IFS(G179&lt;=5, "Small", G179&lt;=15, "Medium", G179&gt;15, "Large")</f>
        <v>Small</v>
      </c>
      <c r="L179" t="str">
        <f t="shared" si="10"/>
        <v>Standard</v>
      </c>
      <c r="M179" t="str">
        <f t="shared" si="11"/>
        <v>Weekend</v>
      </c>
    </row>
    <row r="180" spans="1:13" x14ac:dyDescent="0.35">
      <c r="A180" t="s">
        <v>234</v>
      </c>
      <c r="B180" s="1">
        <v>44990</v>
      </c>
      <c r="C180" t="s">
        <v>115</v>
      </c>
      <c r="D180" t="s">
        <v>10</v>
      </c>
      <c r="E180" t="s">
        <v>18</v>
      </c>
      <c r="F180" s="4">
        <v>383.62</v>
      </c>
      <c r="G180" s="5">
        <v>22</v>
      </c>
      <c r="H180" t="s">
        <v>15</v>
      </c>
      <c r="I180" t="str">
        <f t="shared" si="8"/>
        <v>2023-03</v>
      </c>
      <c r="J180" s="4">
        <f t="shared" si="9"/>
        <v>17.437272727272727</v>
      </c>
      <c r="K180" t="str" cm="1">
        <f t="array" ref="K180">_xlfn.IFS(G180&lt;=5, "Small", G180&lt;=15, "Medium", G180&gt;15, "Large")</f>
        <v>Large</v>
      </c>
      <c r="L180" t="str">
        <f t="shared" si="10"/>
        <v>Standard</v>
      </c>
      <c r="M180" t="str">
        <f t="shared" si="11"/>
        <v>Weekend</v>
      </c>
    </row>
    <row r="181" spans="1:13" x14ac:dyDescent="0.35">
      <c r="A181" t="s">
        <v>235</v>
      </c>
      <c r="B181" s="1">
        <v>45556</v>
      </c>
      <c r="C181" t="s">
        <v>37</v>
      </c>
      <c r="D181" t="s">
        <v>21</v>
      </c>
      <c r="E181" t="s">
        <v>11</v>
      </c>
      <c r="F181" s="4">
        <v>13598.15</v>
      </c>
      <c r="G181" s="5">
        <v>6</v>
      </c>
      <c r="H181" t="s">
        <v>15</v>
      </c>
      <c r="I181" t="str">
        <f t="shared" si="8"/>
        <v>2024-09</v>
      </c>
      <c r="J181" s="4">
        <f t="shared" si="9"/>
        <v>2266.3583333333331</v>
      </c>
      <c r="K181" t="str" cm="1">
        <f t="array" ref="K181">_xlfn.IFS(G181&lt;=5, "Small", G181&lt;=15, "Medium", G181&gt;15, "Large")</f>
        <v>Medium</v>
      </c>
      <c r="L181" t="str">
        <f t="shared" si="10"/>
        <v>Standard</v>
      </c>
      <c r="M181" t="str">
        <f t="shared" si="11"/>
        <v>Weekend</v>
      </c>
    </row>
    <row r="182" spans="1:13" x14ac:dyDescent="0.35">
      <c r="A182" t="s">
        <v>236</v>
      </c>
      <c r="B182" s="1">
        <v>45395</v>
      </c>
      <c r="C182" t="s">
        <v>78</v>
      </c>
      <c r="D182" t="s">
        <v>31</v>
      </c>
      <c r="E182" t="s">
        <v>27</v>
      </c>
      <c r="F182" s="4">
        <v>35767.03</v>
      </c>
      <c r="G182" s="5">
        <v>1</v>
      </c>
      <c r="H182" t="s">
        <v>15</v>
      </c>
      <c r="I182" t="str">
        <f t="shared" si="8"/>
        <v>2024-04</v>
      </c>
      <c r="J182" s="4">
        <f t="shared" si="9"/>
        <v>35767.03</v>
      </c>
      <c r="K182" t="str" cm="1">
        <f t="array" ref="K182">_xlfn.IFS(G182&lt;=5, "Small", G182&lt;=15, "Medium", G182&gt;15, "Large")</f>
        <v>Small</v>
      </c>
      <c r="L182" t="str">
        <f t="shared" si="10"/>
        <v>VIP</v>
      </c>
      <c r="M182" t="str">
        <f t="shared" si="11"/>
        <v>Weekend</v>
      </c>
    </row>
    <row r="183" spans="1:13" x14ac:dyDescent="0.35">
      <c r="A183" t="s">
        <v>237</v>
      </c>
      <c r="B183" s="1">
        <v>45550</v>
      </c>
      <c r="C183" t="s">
        <v>82</v>
      </c>
      <c r="D183" t="s">
        <v>10</v>
      </c>
      <c r="E183" t="s">
        <v>18</v>
      </c>
      <c r="F183" s="4">
        <v>2260.04</v>
      </c>
      <c r="G183" s="5">
        <v>8</v>
      </c>
      <c r="H183" t="s">
        <v>15</v>
      </c>
      <c r="I183" t="str">
        <f t="shared" si="8"/>
        <v>2024-09</v>
      </c>
      <c r="J183" s="4">
        <f t="shared" si="9"/>
        <v>282.505</v>
      </c>
      <c r="K183" t="str" cm="1">
        <f t="array" ref="K183">_xlfn.IFS(G183&lt;=5, "Small", G183&lt;=15, "Medium", G183&gt;15, "Large")</f>
        <v>Medium</v>
      </c>
      <c r="L183" t="str">
        <f t="shared" si="10"/>
        <v>Standard</v>
      </c>
      <c r="M183" t="str">
        <f t="shared" si="11"/>
        <v>Weekend</v>
      </c>
    </row>
    <row r="184" spans="1:13" x14ac:dyDescent="0.35">
      <c r="A184" t="s">
        <v>238</v>
      </c>
      <c r="B184" s="1">
        <v>45650</v>
      </c>
      <c r="C184" t="s">
        <v>82</v>
      </c>
      <c r="D184" t="s">
        <v>10</v>
      </c>
      <c r="E184" t="s">
        <v>27</v>
      </c>
      <c r="F184" s="4">
        <v>23719.34</v>
      </c>
      <c r="G184" s="5">
        <v>2</v>
      </c>
      <c r="H184" t="s">
        <v>15</v>
      </c>
      <c r="I184" t="str">
        <f t="shared" si="8"/>
        <v>2024-12</v>
      </c>
      <c r="J184" s="4">
        <f t="shared" si="9"/>
        <v>11859.67</v>
      </c>
      <c r="K184" t="str" cm="1">
        <f t="array" ref="K184">_xlfn.IFS(G184&lt;=5, "Small", G184&lt;=15, "Medium", G184&gt;15, "Large")</f>
        <v>Small</v>
      </c>
      <c r="L184" t="str">
        <f t="shared" si="10"/>
        <v>Standard</v>
      </c>
      <c r="M184" t="str">
        <f t="shared" si="11"/>
        <v>Weekday</v>
      </c>
    </row>
    <row r="185" spans="1:13" x14ac:dyDescent="0.35">
      <c r="A185" t="s">
        <v>239</v>
      </c>
      <c r="B185" s="1">
        <v>45031</v>
      </c>
      <c r="C185" t="s">
        <v>48</v>
      </c>
      <c r="D185" t="s">
        <v>31</v>
      </c>
      <c r="E185" t="s">
        <v>11</v>
      </c>
      <c r="F185" s="4">
        <v>3788.21</v>
      </c>
      <c r="G185" s="5">
        <v>2</v>
      </c>
      <c r="H185" t="s">
        <v>15</v>
      </c>
      <c r="I185" t="str">
        <f t="shared" si="8"/>
        <v>2023-04</v>
      </c>
      <c r="J185" s="4">
        <f t="shared" si="9"/>
        <v>1894.105</v>
      </c>
      <c r="K185" t="str" cm="1">
        <f t="array" ref="K185">_xlfn.IFS(G185&lt;=5, "Small", G185&lt;=15, "Medium", G185&gt;15, "Large")</f>
        <v>Small</v>
      </c>
      <c r="L185" t="str">
        <f t="shared" si="10"/>
        <v>Standard</v>
      </c>
      <c r="M185" t="str">
        <f t="shared" si="11"/>
        <v>Weekend</v>
      </c>
    </row>
    <row r="186" spans="1:13" x14ac:dyDescent="0.35">
      <c r="A186" t="s">
        <v>240</v>
      </c>
      <c r="B186" s="1">
        <v>45065</v>
      </c>
      <c r="C186" t="s">
        <v>241</v>
      </c>
      <c r="D186" t="s">
        <v>31</v>
      </c>
      <c r="E186" t="s">
        <v>11</v>
      </c>
      <c r="F186" s="4">
        <v>8239.11</v>
      </c>
      <c r="G186" s="5">
        <v>7</v>
      </c>
      <c r="H186" t="s">
        <v>15</v>
      </c>
      <c r="I186" t="str">
        <f t="shared" si="8"/>
        <v>2023-05</v>
      </c>
      <c r="J186" s="4">
        <f t="shared" si="9"/>
        <v>1177.0157142857145</v>
      </c>
      <c r="K186" t="str" cm="1">
        <f t="array" ref="K186">_xlfn.IFS(G186&lt;=5, "Small", G186&lt;=15, "Medium", G186&gt;15, "Large")</f>
        <v>Medium</v>
      </c>
      <c r="L186" t="str">
        <f t="shared" si="10"/>
        <v>Standard</v>
      </c>
      <c r="M186" t="str">
        <f t="shared" si="11"/>
        <v>Weekday</v>
      </c>
    </row>
    <row r="187" spans="1:13" x14ac:dyDescent="0.35">
      <c r="A187" t="s">
        <v>242</v>
      </c>
      <c r="B187" s="1">
        <v>45423</v>
      </c>
      <c r="C187" t="s">
        <v>9</v>
      </c>
      <c r="D187" t="s">
        <v>10</v>
      </c>
      <c r="E187" t="s">
        <v>27</v>
      </c>
      <c r="F187" s="4">
        <v>2830.68</v>
      </c>
      <c r="G187" s="5">
        <v>4</v>
      </c>
      <c r="H187" t="s">
        <v>15</v>
      </c>
      <c r="I187" t="str">
        <f t="shared" si="8"/>
        <v>2024-05</v>
      </c>
      <c r="J187" s="4">
        <f t="shared" si="9"/>
        <v>707.67</v>
      </c>
      <c r="K187" t="str" cm="1">
        <f t="array" ref="K187">_xlfn.IFS(G187&lt;=5, "Small", G187&lt;=15, "Medium", G187&gt;15, "Large")</f>
        <v>Small</v>
      </c>
      <c r="L187" t="str">
        <f t="shared" si="10"/>
        <v>Standard</v>
      </c>
      <c r="M187" t="str">
        <f t="shared" si="11"/>
        <v>Weekend</v>
      </c>
    </row>
    <row r="188" spans="1:13" x14ac:dyDescent="0.35">
      <c r="A188" t="s">
        <v>243</v>
      </c>
      <c r="B188" s="1">
        <v>45089</v>
      </c>
      <c r="C188" t="s">
        <v>78</v>
      </c>
      <c r="D188" t="s">
        <v>31</v>
      </c>
      <c r="E188" t="s">
        <v>18</v>
      </c>
      <c r="F188" s="4">
        <v>1847.2</v>
      </c>
      <c r="G188" s="5">
        <v>9</v>
      </c>
      <c r="H188" t="s">
        <v>15</v>
      </c>
      <c r="I188" t="str">
        <f t="shared" si="8"/>
        <v>2023-06</v>
      </c>
      <c r="J188" s="4">
        <f t="shared" si="9"/>
        <v>205.24444444444444</v>
      </c>
      <c r="K188" t="str" cm="1">
        <f t="array" ref="K188">_xlfn.IFS(G188&lt;=5, "Small", G188&lt;=15, "Medium", G188&gt;15, "Large")</f>
        <v>Medium</v>
      </c>
      <c r="L188" t="str">
        <f t="shared" si="10"/>
        <v>Standard</v>
      </c>
      <c r="M188" t="str">
        <f t="shared" si="11"/>
        <v>Weekday</v>
      </c>
    </row>
    <row r="189" spans="1:13" x14ac:dyDescent="0.35">
      <c r="A189" t="s">
        <v>244</v>
      </c>
      <c r="B189" s="1">
        <v>45224</v>
      </c>
      <c r="C189" t="s">
        <v>37</v>
      </c>
      <c r="D189" t="s">
        <v>21</v>
      </c>
      <c r="E189" t="s">
        <v>27</v>
      </c>
      <c r="F189" s="4">
        <v>32871.050000000003</v>
      </c>
      <c r="G189" s="5">
        <v>4</v>
      </c>
      <c r="H189" t="s">
        <v>15</v>
      </c>
      <c r="I189" t="str">
        <f t="shared" si="8"/>
        <v>2023-10</v>
      </c>
      <c r="J189" s="4">
        <f t="shared" si="9"/>
        <v>8217.7625000000007</v>
      </c>
      <c r="K189" t="str" cm="1">
        <f t="array" ref="K189">_xlfn.IFS(G189&lt;=5, "Small", G189&lt;=15, "Medium", G189&gt;15, "Large")</f>
        <v>Small</v>
      </c>
      <c r="L189" t="str">
        <f t="shared" si="10"/>
        <v>VIP</v>
      </c>
      <c r="M189" t="str">
        <f t="shared" si="11"/>
        <v>Weekday</v>
      </c>
    </row>
    <row r="190" spans="1:13" x14ac:dyDescent="0.35">
      <c r="A190" t="s">
        <v>245</v>
      </c>
      <c r="B190" s="1">
        <v>44967</v>
      </c>
      <c r="C190" t="s">
        <v>69</v>
      </c>
      <c r="D190" t="s">
        <v>31</v>
      </c>
      <c r="E190" t="s">
        <v>27</v>
      </c>
      <c r="F190" s="4">
        <v>0</v>
      </c>
      <c r="G190" s="5">
        <v>3</v>
      </c>
      <c r="H190" t="s">
        <v>12</v>
      </c>
      <c r="I190" t="str">
        <f t="shared" si="8"/>
        <v>2023-02</v>
      </c>
      <c r="J190" s="4">
        <f t="shared" si="9"/>
        <v>0</v>
      </c>
      <c r="K190" t="str" cm="1">
        <f t="array" ref="K190">_xlfn.IFS(G190&lt;=5, "Small", G190&lt;=15, "Medium", G190&gt;15, "Large")</f>
        <v>Small</v>
      </c>
      <c r="L190" t="str">
        <f t="shared" si="10"/>
        <v>Standard</v>
      </c>
      <c r="M190" t="str">
        <f t="shared" si="11"/>
        <v>Weekday</v>
      </c>
    </row>
    <row r="191" spans="1:13" x14ac:dyDescent="0.35">
      <c r="A191" t="s">
        <v>246</v>
      </c>
      <c r="B191" s="1">
        <v>45192</v>
      </c>
      <c r="C191" t="s">
        <v>30</v>
      </c>
      <c r="D191" t="s">
        <v>21</v>
      </c>
      <c r="E191" t="s">
        <v>18</v>
      </c>
      <c r="F191" s="4">
        <v>2560.0300000000002</v>
      </c>
      <c r="G191" s="5">
        <v>25</v>
      </c>
      <c r="H191" t="s">
        <v>15</v>
      </c>
      <c r="I191" t="str">
        <f t="shared" si="8"/>
        <v>2023-09</v>
      </c>
      <c r="J191" s="4">
        <f t="shared" si="9"/>
        <v>102.4012</v>
      </c>
      <c r="K191" t="str" cm="1">
        <f t="array" ref="K191">_xlfn.IFS(G191&lt;=5, "Small", G191&lt;=15, "Medium", G191&gt;15, "Large")</f>
        <v>Large</v>
      </c>
      <c r="L191" t="str">
        <f t="shared" si="10"/>
        <v>Standard</v>
      </c>
      <c r="M191" t="str">
        <f t="shared" si="11"/>
        <v>Weekend</v>
      </c>
    </row>
    <row r="192" spans="1:13" x14ac:dyDescent="0.35">
      <c r="A192" t="s">
        <v>247</v>
      </c>
      <c r="B192" s="1">
        <v>45272</v>
      </c>
      <c r="C192" t="s">
        <v>17</v>
      </c>
      <c r="D192" t="s">
        <v>10</v>
      </c>
      <c r="E192" t="s">
        <v>18</v>
      </c>
      <c r="F192" s="4">
        <v>2037.09</v>
      </c>
      <c r="G192" s="5">
        <v>5</v>
      </c>
      <c r="H192" t="s">
        <v>15</v>
      </c>
      <c r="I192" t="str">
        <f t="shared" si="8"/>
        <v>2023-12</v>
      </c>
      <c r="J192" s="4">
        <f t="shared" si="9"/>
        <v>407.41800000000001</v>
      </c>
      <c r="K192" t="str" cm="1">
        <f t="array" ref="K192">_xlfn.IFS(G192&lt;=5, "Small", G192&lt;=15, "Medium", G192&gt;15, "Large")</f>
        <v>Small</v>
      </c>
      <c r="L192" t="str">
        <f t="shared" si="10"/>
        <v>Standard</v>
      </c>
      <c r="M192" t="str">
        <f t="shared" si="11"/>
        <v>Weekday</v>
      </c>
    </row>
    <row r="193" spans="1:13" x14ac:dyDescent="0.35">
      <c r="A193" t="s">
        <v>248</v>
      </c>
      <c r="B193" s="1">
        <v>45593</v>
      </c>
      <c r="C193" t="s">
        <v>111</v>
      </c>
      <c r="D193" t="s">
        <v>31</v>
      </c>
      <c r="E193" t="s">
        <v>27</v>
      </c>
      <c r="F193" s="4">
        <v>36124.400000000001</v>
      </c>
      <c r="G193" s="5">
        <v>1</v>
      </c>
      <c r="H193" t="s">
        <v>15</v>
      </c>
      <c r="I193" t="str">
        <f t="shared" si="8"/>
        <v>2024-10</v>
      </c>
      <c r="J193" s="4">
        <f t="shared" si="9"/>
        <v>36124.400000000001</v>
      </c>
      <c r="K193" t="str" cm="1">
        <f t="array" ref="K193">_xlfn.IFS(G193&lt;=5, "Small", G193&lt;=15, "Medium", G193&gt;15, "Large")</f>
        <v>Small</v>
      </c>
      <c r="L193" t="str">
        <f t="shared" si="10"/>
        <v>VIP</v>
      </c>
      <c r="M193" t="str">
        <f t="shared" si="11"/>
        <v>Weekday</v>
      </c>
    </row>
    <row r="194" spans="1:13" x14ac:dyDescent="0.35">
      <c r="A194" t="s">
        <v>249</v>
      </c>
      <c r="B194" s="1">
        <v>45398</v>
      </c>
      <c r="C194" t="s">
        <v>30</v>
      </c>
      <c r="D194" t="s">
        <v>31</v>
      </c>
      <c r="E194" t="s">
        <v>27</v>
      </c>
      <c r="F194" s="4">
        <v>21698.89</v>
      </c>
      <c r="G194" s="5">
        <v>3</v>
      </c>
      <c r="H194" t="s">
        <v>15</v>
      </c>
      <c r="I194" t="str">
        <f t="shared" si="8"/>
        <v>2024-04</v>
      </c>
      <c r="J194" s="4">
        <f t="shared" si="9"/>
        <v>7232.9633333333331</v>
      </c>
      <c r="K194" t="str" cm="1">
        <f t="array" ref="K194">_xlfn.IFS(G194&lt;=5, "Small", G194&lt;=15, "Medium", G194&gt;15, "Large")</f>
        <v>Small</v>
      </c>
      <c r="L194" t="str">
        <f t="shared" si="10"/>
        <v>Standard</v>
      </c>
      <c r="M194" t="str">
        <f t="shared" si="11"/>
        <v>Weekday</v>
      </c>
    </row>
    <row r="195" spans="1:13" x14ac:dyDescent="0.35">
      <c r="A195" t="s">
        <v>250</v>
      </c>
      <c r="B195" s="1">
        <v>45272</v>
      </c>
      <c r="C195" t="s">
        <v>74</v>
      </c>
      <c r="D195" t="s">
        <v>31</v>
      </c>
      <c r="E195" t="s">
        <v>27</v>
      </c>
      <c r="F195" s="4">
        <v>21172.19</v>
      </c>
      <c r="G195" s="5">
        <v>4</v>
      </c>
      <c r="H195" t="s">
        <v>15</v>
      </c>
      <c r="I195" t="str">
        <f t="shared" ref="I195:I258" si="12">TEXT(B195, "YYYY-MM")</f>
        <v>2023-12</v>
      </c>
      <c r="J195" s="4">
        <f t="shared" ref="J195:J258" si="13">IFERROR(F195/G195, 0)</f>
        <v>5293.0474999999997</v>
      </c>
      <c r="K195" t="str" cm="1">
        <f t="array" ref="K195">_xlfn.IFS(G195&lt;=5, "Small", G195&lt;=15, "Medium", G195&gt;15, "Large")</f>
        <v>Small</v>
      </c>
      <c r="L195" t="str">
        <f t="shared" ref="L195:L258" si="14">IF(F195&gt;_xlfn.PERCENTILE.INC($F$2:$F$10000, 0.9), "VIP", "Standard")</f>
        <v>Standard</v>
      </c>
      <c r="M195" t="str">
        <f t="shared" ref="M195:M258" si="15">IF(WEEKDAY(B195, 2)&gt;5, "Weekend", "Weekday")</f>
        <v>Weekday</v>
      </c>
    </row>
    <row r="196" spans="1:13" x14ac:dyDescent="0.35">
      <c r="A196" t="s">
        <v>251</v>
      </c>
      <c r="B196" s="1">
        <v>45236</v>
      </c>
      <c r="C196" t="s">
        <v>82</v>
      </c>
      <c r="D196" t="s">
        <v>10</v>
      </c>
      <c r="E196" t="s">
        <v>18</v>
      </c>
      <c r="F196" s="4">
        <v>2602.5</v>
      </c>
      <c r="G196" s="5">
        <v>8</v>
      </c>
      <c r="H196" t="s">
        <v>15</v>
      </c>
      <c r="I196" t="str">
        <f t="shared" si="12"/>
        <v>2023-11</v>
      </c>
      <c r="J196" s="4">
        <f t="shared" si="13"/>
        <v>325.3125</v>
      </c>
      <c r="K196" t="str" cm="1">
        <f t="array" ref="K196">_xlfn.IFS(G196&lt;=5, "Small", G196&lt;=15, "Medium", G196&gt;15, "Large")</f>
        <v>Medium</v>
      </c>
      <c r="L196" t="str">
        <f t="shared" si="14"/>
        <v>Standard</v>
      </c>
      <c r="M196" t="str">
        <f t="shared" si="15"/>
        <v>Weekday</v>
      </c>
    </row>
    <row r="197" spans="1:13" x14ac:dyDescent="0.35">
      <c r="A197" t="s">
        <v>252</v>
      </c>
      <c r="B197" s="1">
        <v>45515</v>
      </c>
      <c r="C197" t="s">
        <v>253</v>
      </c>
      <c r="D197" t="s">
        <v>21</v>
      </c>
      <c r="E197" t="s">
        <v>11</v>
      </c>
      <c r="F197" s="4">
        <v>0</v>
      </c>
      <c r="G197" s="5">
        <v>4</v>
      </c>
      <c r="H197" t="s">
        <v>12</v>
      </c>
      <c r="I197" t="str">
        <f t="shared" si="12"/>
        <v>2024-08</v>
      </c>
      <c r="J197" s="4">
        <f t="shared" si="13"/>
        <v>0</v>
      </c>
      <c r="K197" t="str" cm="1">
        <f t="array" ref="K197">_xlfn.IFS(G197&lt;=5, "Small", G197&lt;=15, "Medium", G197&gt;15, "Large")</f>
        <v>Small</v>
      </c>
      <c r="L197" t="str">
        <f t="shared" si="14"/>
        <v>Standard</v>
      </c>
      <c r="M197" t="str">
        <f t="shared" si="15"/>
        <v>Weekend</v>
      </c>
    </row>
    <row r="198" spans="1:13" x14ac:dyDescent="0.35">
      <c r="A198" t="s">
        <v>254</v>
      </c>
      <c r="B198" s="1">
        <v>44941</v>
      </c>
      <c r="C198" t="s">
        <v>9</v>
      </c>
      <c r="D198" t="s">
        <v>10</v>
      </c>
      <c r="E198" t="s">
        <v>27</v>
      </c>
      <c r="F198" s="4">
        <v>14286.22</v>
      </c>
      <c r="G198" s="5">
        <v>4</v>
      </c>
      <c r="H198" t="s">
        <v>15</v>
      </c>
      <c r="I198" t="str">
        <f t="shared" si="12"/>
        <v>2023-01</v>
      </c>
      <c r="J198" s="4">
        <f t="shared" si="13"/>
        <v>3571.5549999999998</v>
      </c>
      <c r="K198" t="str" cm="1">
        <f t="array" ref="K198">_xlfn.IFS(G198&lt;=5, "Small", G198&lt;=15, "Medium", G198&gt;15, "Large")</f>
        <v>Small</v>
      </c>
      <c r="L198" t="str">
        <f t="shared" si="14"/>
        <v>Standard</v>
      </c>
      <c r="M198" t="str">
        <f t="shared" si="15"/>
        <v>Weekend</v>
      </c>
    </row>
    <row r="199" spans="1:13" x14ac:dyDescent="0.35">
      <c r="A199" t="s">
        <v>255</v>
      </c>
      <c r="B199" s="1">
        <v>45603</v>
      </c>
      <c r="C199" t="s">
        <v>35</v>
      </c>
      <c r="D199" t="s">
        <v>31</v>
      </c>
      <c r="E199" t="s">
        <v>18</v>
      </c>
      <c r="F199" s="4">
        <v>0</v>
      </c>
      <c r="G199" s="5">
        <v>15</v>
      </c>
      <c r="H199" t="s">
        <v>12</v>
      </c>
      <c r="I199" t="str">
        <f t="shared" si="12"/>
        <v>2024-11</v>
      </c>
      <c r="J199" s="4">
        <f t="shared" si="13"/>
        <v>0</v>
      </c>
      <c r="K199" t="str" cm="1">
        <f t="array" ref="K199">_xlfn.IFS(G199&lt;=5, "Small", G199&lt;=15, "Medium", G199&gt;15, "Large")</f>
        <v>Medium</v>
      </c>
      <c r="L199" t="str">
        <f t="shared" si="14"/>
        <v>Standard</v>
      </c>
      <c r="M199" t="str">
        <f t="shared" si="15"/>
        <v>Weekday</v>
      </c>
    </row>
    <row r="200" spans="1:13" x14ac:dyDescent="0.35">
      <c r="A200" t="s">
        <v>256</v>
      </c>
      <c r="B200" s="1">
        <v>45296</v>
      </c>
      <c r="C200" t="s">
        <v>17</v>
      </c>
      <c r="D200" t="s">
        <v>10</v>
      </c>
      <c r="E200" t="s">
        <v>11</v>
      </c>
      <c r="F200" s="4">
        <v>6842.45</v>
      </c>
      <c r="G200" s="5">
        <v>6</v>
      </c>
      <c r="H200" t="s">
        <v>15</v>
      </c>
      <c r="I200" t="str">
        <f t="shared" si="12"/>
        <v>2024-01</v>
      </c>
      <c r="J200" s="4">
        <f t="shared" si="13"/>
        <v>1140.4083333333333</v>
      </c>
      <c r="K200" t="str" cm="1">
        <f t="array" ref="K200">_xlfn.IFS(G200&lt;=5, "Small", G200&lt;=15, "Medium", G200&gt;15, "Large")</f>
        <v>Medium</v>
      </c>
      <c r="L200" t="str">
        <f t="shared" si="14"/>
        <v>Standard</v>
      </c>
      <c r="M200" t="str">
        <f t="shared" si="15"/>
        <v>Weekday</v>
      </c>
    </row>
    <row r="201" spans="1:13" x14ac:dyDescent="0.35">
      <c r="A201" t="s">
        <v>257</v>
      </c>
      <c r="B201" s="1">
        <v>45196</v>
      </c>
      <c r="C201" t="s">
        <v>82</v>
      </c>
      <c r="D201" t="s">
        <v>10</v>
      </c>
      <c r="E201" t="s">
        <v>27</v>
      </c>
      <c r="F201" s="4">
        <v>17448.349999999999</v>
      </c>
      <c r="G201" s="5">
        <v>4</v>
      </c>
      <c r="H201" t="s">
        <v>15</v>
      </c>
      <c r="I201" t="str">
        <f t="shared" si="12"/>
        <v>2023-09</v>
      </c>
      <c r="J201" s="4">
        <f t="shared" si="13"/>
        <v>4362.0874999999996</v>
      </c>
      <c r="K201" t="str" cm="1">
        <f t="array" ref="K201">_xlfn.IFS(G201&lt;=5, "Small", G201&lt;=15, "Medium", G201&gt;15, "Large")</f>
        <v>Small</v>
      </c>
      <c r="L201" t="str">
        <f t="shared" si="14"/>
        <v>Standard</v>
      </c>
      <c r="M201" t="str">
        <f t="shared" si="15"/>
        <v>Weekday</v>
      </c>
    </row>
    <row r="202" spans="1:13" x14ac:dyDescent="0.35">
      <c r="A202" t="s">
        <v>206</v>
      </c>
      <c r="B202" s="1">
        <v>44958</v>
      </c>
      <c r="C202" t="s">
        <v>177</v>
      </c>
      <c r="D202" t="s">
        <v>26</v>
      </c>
      <c r="E202" t="s">
        <v>27</v>
      </c>
      <c r="F202" s="4">
        <v>28263.040000000001</v>
      </c>
      <c r="G202" s="5">
        <v>2</v>
      </c>
      <c r="H202" t="s">
        <v>15</v>
      </c>
      <c r="I202" t="str">
        <f t="shared" si="12"/>
        <v>2023-02</v>
      </c>
      <c r="J202" s="4">
        <f t="shared" si="13"/>
        <v>14131.52</v>
      </c>
      <c r="K202" t="str" cm="1">
        <f t="array" ref="K202">_xlfn.IFS(G202&lt;=5, "Small", G202&lt;=15, "Medium", G202&gt;15, "Large")</f>
        <v>Small</v>
      </c>
      <c r="L202" t="str">
        <f t="shared" si="14"/>
        <v>VIP</v>
      </c>
      <c r="M202" t="str">
        <f t="shared" si="15"/>
        <v>Weekday</v>
      </c>
    </row>
    <row r="203" spans="1:13" x14ac:dyDescent="0.35">
      <c r="A203" t="s">
        <v>258</v>
      </c>
      <c r="B203" s="1">
        <v>45063</v>
      </c>
      <c r="C203" t="s">
        <v>89</v>
      </c>
      <c r="D203" t="s">
        <v>21</v>
      </c>
      <c r="E203" t="s">
        <v>27</v>
      </c>
      <c r="F203" s="4">
        <v>40643.870000000003</v>
      </c>
      <c r="G203" s="5">
        <v>2</v>
      </c>
      <c r="H203" t="s">
        <v>15</v>
      </c>
      <c r="I203" t="str">
        <f t="shared" si="12"/>
        <v>2023-05</v>
      </c>
      <c r="J203" s="4">
        <f t="shared" si="13"/>
        <v>20321.935000000001</v>
      </c>
      <c r="K203" t="str" cm="1">
        <f t="array" ref="K203">_xlfn.IFS(G203&lt;=5, "Small", G203&lt;=15, "Medium", G203&gt;15, "Large")</f>
        <v>Small</v>
      </c>
      <c r="L203" t="str">
        <f t="shared" si="14"/>
        <v>VIP</v>
      </c>
      <c r="M203" t="str">
        <f t="shared" si="15"/>
        <v>Weekday</v>
      </c>
    </row>
    <row r="204" spans="1:13" x14ac:dyDescent="0.35">
      <c r="A204" t="s">
        <v>259</v>
      </c>
      <c r="B204" s="1">
        <v>44942</v>
      </c>
      <c r="C204" t="s">
        <v>69</v>
      </c>
      <c r="D204" t="s">
        <v>31</v>
      </c>
      <c r="E204" t="s">
        <v>27</v>
      </c>
      <c r="F204" s="4">
        <v>26827.3</v>
      </c>
      <c r="G204" s="5">
        <v>1</v>
      </c>
      <c r="H204" t="s">
        <v>15</v>
      </c>
      <c r="I204" t="str">
        <f t="shared" si="12"/>
        <v>2023-01</v>
      </c>
      <c r="J204" s="4">
        <f t="shared" si="13"/>
        <v>26827.3</v>
      </c>
      <c r="K204" t="str" cm="1">
        <f t="array" ref="K204">_xlfn.IFS(G204&lt;=5, "Small", G204&lt;=15, "Medium", G204&gt;15, "Large")</f>
        <v>Small</v>
      </c>
      <c r="L204" t="str">
        <f t="shared" si="14"/>
        <v>Standard</v>
      </c>
      <c r="M204" t="str">
        <f t="shared" si="15"/>
        <v>Weekday</v>
      </c>
    </row>
    <row r="205" spans="1:13" x14ac:dyDescent="0.35">
      <c r="A205" t="s">
        <v>260</v>
      </c>
      <c r="B205" s="1">
        <v>45182</v>
      </c>
      <c r="C205" t="s">
        <v>91</v>
      </c>
      <c r="D205" t="s">
        <v>26</v>
      </c>
      <c r="E205" t="s">
        <v>11</v>
      </c>
      <c r="F205" s="4">
        <v>0</v>
      </c>
      <c r="G205" s="5">
        <v>6</v>
      </c>
      <c r="H205" t="s">
        <v>12</v>
      </c>
      <c r="I205" t="str">
        <f t="shared" si="12"/>
        <v>2023-09</v>
      </c>
      <c r="J205" s="4">
        <f t="shared" si="13"/>
        <v>0</v>
      </c>
      <c r="K205" t="str" cm="1">
        <f t="array" ref="K205">_xlfn.IFS(G205&lt;=5, "Small", G205&lt;=15, "Medium", G205&gt;15, "Large")</f>
        <v>Medium</v>
      </c>
      <c r="L205" t="str">
        <f t="shared" si="14"/>
        <v>Standard</v>
      </c>
      <c r="M205" t="str">
        <f t="shared" si="15"/>
        <v>Weekday</v>
      </c>
    </row>
    <row r="206" spans="1:13" x14ac:dyDescent="0.35">
      <c r="A206" t="s">
        <v>261</v>
      </c>
      <c r="B206" s="1">
        <v>45266</v>
      </c>
      <c r="C206" t="s">
        <v>14</v>
      </c>
      <c r="D206" t="s">
        <v>10</v>
      </c>
      <c r="E206" t="s">
        <v>27</v>
      </c>
      <c r="F206" s="4">
        <v>0</v>
      </c>
      <c r="G206" s="5">
        <v>5</v>
      </c>
      <c r="H206" t="s">
        <v>12</v>
      </c>
      <c r="I206" t="str">
        <f t="shared" si="12"/>
        <v>2023-12</v>
      </c>
      <c r="J206" s="4">
        <f t="shared" si="13"/>
        <v>0</v>
      </c>
      <c r="K206" t="str" cm="1">
        <f t="array" ref="K206">_xlfn.IFS(G206&lt;=5, "Small", G206&lt;=15, "Medium", G206&gt;15, "Large")</f>
        <v>Small</v>
      </c>
      <c r="L206" t="str">
        <f t="shared" si="14"/>
        <v>Standard</v>
      </c>
      <c r="M206" t="str">
        <f t="shared" si="15"/>
        <v>Weekday</v>
      </c>
    </row>
    <row r="207" spans="1:13" x14ac:dyDescent="0.35">
      <c r="A207" t="s">
        <v>262</v>
      </c>
      <c r="B207" s="1">
        <v>45313</v>
      </c>
      <c r="C207" t="s">
        <v>20</v>
      </c>
      <c r="D207" t="s">
        <v>21</v>
      </c>
      <c r="E207" t="s">
        <v>11</v>
      </c>
      <c r="F207" s="4">
        <v>4805.17</v>
      </c>
      <c r="G207" s="5">
        <v>2</v>
      </c>
      <c r="H207" t="s">
        <v>15</v>
      </c>
      <c r="I207" t="str">
        <f t="shared" si="12"/>
        <v>2024-01</v>
      </c>
      <c r="J207" s="4">
        <f t="shared" si="13"/>
        <v>2402.585</v>
      </c>
      <c r="K207" t="str" cm="1">
        <f t="array" ref="K207">_xlfn.IFS(G207&lt;=5, "Small", G207&lt;=15, "Medium", G207&gt;15, "Large")</f>
        <v>Small</v>
      </c>
      <c r="L207" t="str">
        <f t="shared" si="14"/>
        <v>Standard</v>
      </c>
      <c r="M207" t="str">
        <f t="shared" si="15"/>
        <v>Weekday</v>
      </c>
    </row>
    <row r="208" spans="1:13" x14ac:dyDescent="0.35">
      <c r="A208" t="s">
        <v>263</v>
      </c>
      <c r="B208" s="1">
        <v>45034</v>
      </c>
      <c r="C208" t="s">
        <v>45</v>
      </c>
      <c r="D208" t="s">
        <v>21</v>
      </c>
      <c r="E208" t="s">
        <v>27</v>
      </c>
      <c r="F208" s="4">
        <v>13295.64</v>
      </c>
      <c r="G208" s="5">
        <v>1</v>
      </c>
      <c r="H208" t="s">
        <v>15</v>
      </c>
      <c r="I208" t="str">
        <f t="shared" si="12"/>
        <v>2023-04</v>
      </c>
      <c r="J208" s="4">
        <f t="shared" si="13"/>
        <v>13295.64</v>
      </c>
      <c r="K208" t="str" cm="1">
        <f t="array" ref="K208">_xlfn.IFS(G208&lt;=5, "Small", G208&lt;=15, "Medium", G208&gt;15, "Large")</f>
        <v>Small</v>
      </c>
      <c r="L208" t="str">
        <f t="shared" si="14"/>
        <v>Standard</v>
      </c>
      <c r="M208" t="str">
        <f t="shared" si="15"/>
        <v>Weekday</v>
      </c>
    </row>
    <row r="209" spans="1:13" x14ac:dyDescent="0.35">
      <c r="A209" t="s">
        <v>264</v>
      </c>
      <c r="B209" s="1">
        <v>45461</v>
      </c>
      <c r="C209" t="s">
        <v>25</v>
      </c>
      <c r="D209" t="s">
        <v>26</v>
      </c>
      <c r="E209" t="s">
        <v>27</v>
      </c>
      <c r="F209" s="4">
        <v>26947.87</v>
      </c>
      <c r="G209" s="5">
        <v>4</v>
      </c>
      <c r="H209" t="s">
        <v>15</v>
      </c>
      <c r="I209" t="str">
        <f t="shared" si="12"/>
        <v>2024-06</v>
      </c>
      <c r="J209" s="4">
        <f t="shared" si="13"/>
        <v>6736.9674999999997</v>
      </c>
      <c r="K209" t="str" cm="1">
        <f t="array" ref="K209">_xlfn.IFS(G209&lt;=5, "Small", G209&lt;=15, "Medium", G209&gt;15, "Large")</f>
        <v>Small</v>
      </c>
      <c r="L209" t="str">
        <f t="shared" si="14"/>
        <v>Standard</v>
      </c>
      <c r="M209" t="str">
        <f t="shared" si="15"/>
        <v>Weekday</v>
      </c>
    </row>
    <row r="210" spans="1:13" x14ac:dyDescent="0.35">
      <c r="A210" t="s">
        <v>265</v>
      </c>
      <c r="B210" s="1">
        <v>45362</v>
      </c>
      <c r="C210" t="s">
        <v>91</v>
      </c>
      <c r="D210" t="s">
        <v>26</v>
      </c>
      <c r="E210" t="s">
        <v>18</v>
      </c>
      <c r="F210" s="4">
        <v>564.01</v>
      </c>
      <c r="G210" s="5">
        <v>9</v>
      </c>
      <c r="H210" t="s">
        <v>15</v>
      </c>
      <c r="I210" t="str">
        <f t="shared" si="12"/>
        <v>2024-03</v>
      </c>
      <c r="J210" s="4">
        <f t="shared" si="13"/>
        <v>62.667777777777779</v>
      </c>
      <c r="K210" t="str" cm="1">
        <f t="array" ref="K210">_xlfn.IFS(G210&lt;=5, "Small", G210&lt;=15, "Medium", G210&gt;15, "Large")</f>
        <v>Medium</v>
      </c>
      <c r="L210" t="str">
        <f t="shared" si="14"/>
        <v>Standard</v>
      </c>
      <c r="M210" t="str">
        <f t="shared" si="15"/>
        <v>Weekday</v>
      </c>
    </row>
    <row r="211" spans="1:13" x14ac:dyDescent="0.35">
      <c r="A211" t="s">
        <v>266</v>
      </c>
      <c r="B211" s="1">
        <v>45009</v>
      </c>
      <c r="C211" t="s">
        <v>175</v>
      </c>
      <c r="D211" t="s">
        <v>21</v>
      </c>
      <c r="E211" t="s">
        <v>27</v>
      </c>
      <c r="F211" s="4">
        <v>6377.67</v>
      </c>
      <c r="G211" s="5">
        <v>5</v>
      </c>
      <c r="H211" t="s">
        <v>15</v>
      </c>
      <c r="I211" t="str">
        <f t="shared" si="12"/>
        <v>2023-03</v>
      </c>
      <c r="J211" s="4">
        <f t="shared" si="13"/>
        <v>1275.5340000000001</v>
      </c>
      <c r="K211" t="str" cm="1">
        <f t="array" ref="K211">_xlfn.IFS(G211&lt;=5, "Small", G211&lt;=15, "Medium", G211&gt;15, "Large")</f>
        <v>Small</v>
      </c>
      <c r="L211" t="str">
        <f t="shared" si="14"/>
        <v>Standard</v>
      </c>
      <c r="M211" t="str">
        <f t="shared" si="15"/>
        <v>Weekday</v>
      </c>
    </row>
    <row r="212" spans="1:13" x14ac:dyDescent="0.35">
      <c r="A212" t="s">
        <v>267</v>
      </c>
      <c r="B212" s="1">
        <v>45077</v>
      </c>
      <c r="C212" t="s">
        <v>115</v>
      </c>
      <c r="D212" t="s">
        <v>10</v>
      </c>
      <c r="E212" t="s">
        <v>11</v>
      </c>
      <c r="F212" s="4">
        <v>7202.69</v>
      </c>
      <c r="G212" s="5">
        <v>8</v>
      </c>
      <c r="H212" t="s">
        <v>15</v>
      </c>
      <c r="I212" t="str">
        <f t="shared" si="12"/>
        <v>2023-05</v>
      </c>
      <c r="J212" s="4">
        <f t="shared" si="13"/>
        <v>900.33624999999995</v>
      </c>
      <c r="K212" t="str" cm="1">
        <f t="array" ref="K212">_xlfn.IFS(G212&lt;=5, "Small", G212&lt;=15, "Medium", G212&gt;15, "Large")</f>
        <v>Medium</v>
      </c>
      <c r="L212" t="str">
        <f t="shared" si="14"/>
        <v>Standard</v>
      </c>
      <c r="M212" t="str">
        <f t="shared" si="15"/>
        <v>Weekday</v>
      </c>
    </row>
    <row r="213" spans="1:13" x14ac:dyDescent="0.35">
      <c r="A213" t="s">
        <v>268</v>
      </c>
      <c r="B213" s="1">
        <v>45019</v>
      </c>
      <c r="C213" t="s">
        <v>115</v>
      </c>
      <c r="D213" t="s">
        <v>10</v>
      </c>
      <c r="E213" t="s">
        <v>11</v>
      </c>
      <c r="F213" s="4">
        <v>7738.3</v>
      </c>
      <c r="G213" s="5">
        <v>8</v>
      </c>
      <c r="H213" t="s">
        <v>15</v>
      </c>
      <c r="I213" t="str">
        <f t="shared" si="12"/>
        <v>2023-04</v>
      </c>
      <c r="J213" s="4">
        <f t="shared" si="13"/>
        <v>967.28750000000002</v>
      </c>
      <c r="K213" t="str" cm="1">
        <f t="array" ref="K213">_xlfn.IFS(G213&lt;=5, "Small", G213&lt;=15, "Medium", G213&gt;15, "Large")</f>
        <v>Medium</v>
      </c>
      <c r="L213" t="str">
        <f t="shared" si="14"/>
        <v>Standard</v>
      </c>
      <c r="M213" t="str">
        <f t="shared" si="15"/>
        <v>Weekday</v>
      </c>
    </row>
    <row r="214" spans="1:13" x14ac:dyDescent="0.35">
      <c r="A214" t="s">
        <v>269</v>
      </c>
      <c r="B214" s="1">
        <v>45435</v>
      </c>
      <c r="C214" t="s">
        <v>115</v>
      </c>
      <c r="D214" t="s">
        <v>10</v>
      </c>
      <c r="E214" t="s">
        <v>27</v>
      </c>
      <c r="F214" s="4">
        <v>11319.42</v>
      </c>
      <c r="G214" s="5">
        <v>3</v>
      </c>
      <c r="H214" t="s">
        <v>15</v>
      </c>
      <c r="I214" t="str">
        <f t="shared" si="12"/>
        <v>2024-05</v>
      </c>
      <c r="J214" s="4">
        <f t="shared" si="13"/>
        <v>3773.14</v>
      </c>
      <c r="K214" t="str" cm="1">
        <f t="array" ref="K214">_xlfn.IFS(G214&lt;=5, "Small", G214&lt;=15, "Medium", G214&gt;15, "Large")</f>
        <v>Small</v>
      </c>
      <c r="L214" t="str">
        <f t="shared" si="14"/>
        <v>Standard</v>
      </c>
      <c r="M214" t="str">
        <f t="shared" si="15"/>
        <v>Weekday</v>
      </c>
    </row>
    <row r="215" spans="1:13" x14ac:dyDescent="0.35">
      <c r="A215" t="s">
        <v>270</v>
      </c>
      <c r="B215" s="1">
        <v>44949</v>
      </c>
      <c r="C215" t="s">
        <v>82</v>
      </c>
      <c r="D215" t="s">
        <v>10</v>
      </c>
      <c r="E215" t="s">
        <v>27</v>
      </c>
      <c r="F215" s="4">
        <v>17003.34</v>
      </c>
      <c r="G215" s="5">
        <v>1</v>
      </c>
      <c r="H215" t="s">
        <v>15</v>
      </c>
      <c r="I215" t="str">
        <f t="shared" si="12"/>
        <v>2023-01</v>
      </c>
      <c r="J215" s="4">
        <f t="shared" si="13"/>
        <v>17003.34</v>
      </c>
      <c r="K215" t="str" cm="1">
        <f t="array" ref="K215">_xlfn.IFS(G215&lt;=5, "Small", G215&lt;=15, "Medium", G215&gt;15, "Large")</f>
        <v>Small</v>
      </c>
      <c r="L215" t="str">
        <f t="shared" si="14"/>
        <v>Standard</v>
      </c>
      <c r="M215" t="str">
        <f t="shared" si="15"/>
        <v>Weekday</v>
      </c>
    </row>
    <row r="216" spans="1:13" x14ac:dyDescent="0.35">
      <c r="A216" t="s">
        <v>271</v>
      </c>
      <c r="B216" s="1">
        <v>45573</v>
      </c>
      <c r="C216" t="s">
        <v>20</v>
      </c>
      <c r="D216" t="s">
        <v>21</v>
      </c>
      <c r="E216" t="s">
        <v>11</v>
      </c>
      <c r="F216" s="4">
        <v>16745.23</v>
      </c>
      <c r="G216" s="5">
        <v>1</v>
      </c>
      <c r="H216" t="s">
        <v>15</v>
      </c>
      <c r="I216" t="str">
        <f t="shared" si="12"/>
        <v>2024-10</v>
      </c>
      <c r="J216" s="4">
        <f t="shared" si="13"/>
        <v>16745.23</v>
      </c>
      <c r="K216" t="str" cm="1">
        <f t="array" ref="K216">_xlfn.IFS(G216&lt;=5, "Small", G216&lt;=15, "Medium", G216&gt;15, "Large")</f>
        <v>Small</v>
      </c>
      <c r="L216" t="str">
        <f t="shared" si="14"/>
        <v>Standard</v>
      </c>
      <c r="M216" t="str">
        <f t="shared" si="15"/>
        <v>Weekday</v>
      </c>
    </row>
    <row r="217" spans="1:13" x14ac:dyDescent="0.35">
      <c r="A217" t="s">
        <v>272</v>
      </c>
      <c r="B217" s="1">
        <v>45288</v>
      </c>
      <c r="C217" t="s">
        <v>53</v>
      </c>
      <c r="D217" t="s">
        <v>31</v>
      </c>
      <c r="E217" t="s">
        <v>27</v>
      </c>
      <c r="F217" s="4">
        <v>0</v>
      </c>
      <c r="G217" s="5">
        <v>2</v>
      </c>
      <c r="H217" t="s">
        <v>28</v>
      </c>
      <c r="I217" t="str">
        <f t="shared" si="12"/>
        <v>2023-12</v>
      </c>
      <c r="J217" s="4">
        <f t="shared" si="13"/>
        <v>0</v>
      </c>
      <c r="K217" t="str" cm="1">
        <f t="array" ref="K217">_xlfn.IFS(G217&lt;=5, "Small", G217&lt;=15, "Medium", G217&gt;15, "Large")</f>
        <v>Small</v>
      </c>
      <c r="L217" t="str">
        <f t="shared" si="14"/>
        <v>Standard</v>
      </c>
      <c r="M217" t="str">
        <f t="shared" si="15"/>
        <v>Weekday</v>
      </c>
    </row>
    <row r="218" spans="1:13" x14ac:dyDescent="0.35">
      <c r="A218" t="s">
        <v>273</v>
      </c>
      <c r="B218" s="1">
        <v>45260</v>
      </c>
      <c r="C218" t="s">
        <v>241</v>
      </c>
      <c r="D218" t="s">
        <v>31</v>
      </c>
      <c r="E218" t="s">
        <v>11</v>
      </c>
      <c r="F218" s="4">
        <v>3970.49</v>
      </c>
      <c r="G218" s="5">
        <v>1</v>
      </c>
      <c r="H218" t="s">
        <v>15</v>
      </c>
      <c r="I218" t="str">
        <f t="shared" si="12"/>
        <v>2023-11</v>
      </c>
      <c r="J218" s="4">
        <f t="shared" si="13"/>
        <v>3970.49</v>
      </c>
      <c r="K218" t="str" cm="1">
        <f t="array" ref="K218">_xlfn.IFS(G218&lt;=5, "Small", G218&lt;=15, "Medium", G218&gt;15, "Large")</f>
        <v>Small</v>
      </c>
      <c r="L218" t="str">
        <f t="shared" si="14"/>
        <v>Standard</v>
      </c>
      <c r="M218" t="str">
        <f t="shared" si="15"/>
        <v>Weekday</v>
      </c>
    </row>
    <row r="219" spans="1:13" x14ac:dyDescent="0.35">
      <c r="A219" t="s">
        <v>274</v>
      </c>
      <c r="B219" s="1">
        <v>45280</v>
      </c>
      <c r="C219" t="s">
        <v>115</v>
      </c>
      <c r="D219" t="s">
        <v>10</v>
      </c>
      <c r="E219" t="s">
        <v>11</v>
      </c>
      <c r="F219" s="4">
        <v>17209.05</v>
      </c>
      <c r="G219" s="5">
        <v>2</v>
      </c>
      <c r="H219" t="s">
        <v>15</v>
      </c>
      <c r="I219" t="str">
        <f t="shared" si="12"/>
        <v>2023-12</v>
      </c>
      <c r="J219" s="4">
        <f t="shared" si="13"/>
        <v>8604.5249999999996</v>
      </c>
      <c r="K219" t="str" cm="1">
        <f t="array" ref="K219">_xlfn.IFS(G219&lt;=5, "Small", G219&lt;=15, "Medium", G219&gt;15, "Large")</f>
        <v>Small</v>
      </c>
      <c r="L219" t="str">
        <f t="shared" si="14"/>
        <v>Standard</v>
      </c>
      <c r="M219" t="str">
        <f t="shared" si="15"/>
        <v>Weekday</v>
      </c>
    </row>
    <row r="220" spans="1:13" x14ac:dyDescent="0.35">
      <c r="A220" t="s">
        <v>275</v>
      </c>
      <c r="B220" s="1">
        <v>45375</v>
      </c>
      <c r="C220" t="s">
        <v>25</v>
      </c>
      <c r="D220" t="s">
        <v>26</v>
      </c>
      <c r="E220" t="s">
        <v>18</v>
      </c>
      <c r="F220" s="4">
        <v>0</v>
      </c>
      <c r="G220" s="5">
        <v>8</v>
      </c>
      <c r="H220" t="s">
        <v>28</v>
      </c>
      <c r="I220" t="str">
        <f t="shared" si="12"/>
        <v>2024-03</v>
      </c>
      <c r="J220" s="4">
        <f t="shared" si="13"/>
        <v>0</v>
      </c>
      <c r="K220" t="str" cm="1">
        <f t="array" ref="K220">_xlfn.IFS(G220&lt;=5, "Small", G220&lt;=15, "Medium", G220&gt;15, "Large")</f>
        <v>Medium</v>
      </c>
      <c r="L220" t="str">
        <f t="shared" si="14"/>
        <v>Standard</v>
      </c>
      <c r="M220" t="str">
        <f t="shared" si="15"/>
        <v>Weekend</v>
      </c>
    </row>
    <row r="221" spans="1:13" x14ac:dyDescent="0.35">
      <c r="A221" t="s">
        <v>276</v>
      </c>
      <c r="B221" s="1">
        <v>45347</v>
      </c>
      <c r="C221" t="s">
        <v>175</v>
      </c>
      <c r="D221" t="s">
        <v>21</v>
      </c>
      <c r="E221" t="s">
        <v>27</v>
      </c>
      <c r="F221" s="4">
        <v>28819.59</v>
      </c>
      <c r="G221" s="5">
        <v>4</v>
      </c>
      <c r="H221" t="s">
        <v>15</v>
      </c>
      <c r="I221" t="str">
        <f t="shared" si="12"/>
        <v>2024-02</v>
      </c>
      <c r="J221" s="4">
        <f t="shared" si="13"/>
        <v>7204.8975</v>
      </c>
      <c r="K221" t="str" cm="1">
        <f t="array" ref="K221">_xlfn.IFS(G221&lt;=5, "Small", G221&lt;=15, "Medium", G221&gt;15, "Large")</f>
        <v>Small</v>
      </c>
      <c r="L221" t="str">
        <f t="shared" si="14"/>
        <v>VIP</v>
      </c>
      <c r="M221" t="str">
        <f t="shared" si="15"/>
        <v>Weekend</v>
      </c>
    </row>
    <row r="222" spans="1:13" x14ac:dyDescent="0.35">
      <c r="A222" t="s">
        <v>277</v>
      </c>
      <c r="B222" s="1">
        <v>45411</v>
      </c>
      <c r="C222" t="s">
        <v>177</v>
      </c>
      <c r="D222" t="s">
        <v>26</v>
      </c>
      <c r="E222" t="s">
        <v>11</v>
      </c>
      <c r="F222" s="4">
        <v>3670.26</v>
      </c>
      <c r="G222" s="5">
        <v>2</v>
      </c>
      <c r="H222" t="s">
        <v>15</v>
      </c>
      <c r="I222" t="str">
        <f t="shared" si="12"/>
        <v>2024-04</v>
      </c>
      <c r="J222" s="4">
        <f t="shared" si="13"/>
        <v>1835.13</v>
      </c>
      <c r="K222" t="str" cm="1">
        <f t="array" ref="K222">_xlfn.IFS(G222&lt;=5, "Small", G222&lt;=15, "Medium", G222&gt;15, "Large")</f>
        <v>Small</v>
      </c>
      <c r="L222" t="str">
        <f t="shared" si="14"/>
        <v>Standard</v>
      </c>
      <c r="M222" t="str">
        <f t="shared" si="15"/>
        <v>Weekday</v>
      </c>
    </row>
    <row r="223" spans="1:13" x14ac:dyDescent="0.35">
      <c r="A223" t="s">
        <v>278</v>
      </c>
      <c r="B223" s="1">
        <v>45431</v>
      </c>
      <c r="C223" t="s">
        <v>64</v>
      </c>
      <c r="D223" t="s">
        <v>10</v>
      </c>
      <c r="E223" t="s">
        <v>18</v>
      </c>
      <c r="F223" s="4">
        <v>1767.75</v>
      </c>
      <c r="G223" s="5">
        <v>17</v>
      </c>
      <c r="H223" t="s">
        <v>15</v>
      </c>
      <c r="I223" t="str">
        <f t="shared" si="12"/>
        <v>2024-05</v>
      </c>
      <c r="J223" s="4">
        <f t="shared" si="13"/>
        <v>103.98529411764706</v>
      </c>
      <c r="K223" t="str" cm="1">
        <f t="array" ref="K223">_xlfn.IFS(G223&lt;=5, "Small", G223&lt;=15, "Medium", G223&gt;15, "Large")</f>
        <v>Large</v>
      </c>
      <c r="L223" t="str">
        <f t="shared" si="14"/>
        <v>Standard</v>
      </c>
      <c r="M223" t="str">
        <f t="shared" si="15"/>
        <v>Weekend</v>
      </c>
    </row>
    <row r="224" spans="1:13" x14ac:dyDescent="0.35">
      <c r="A224" t="s">
        <v>279</v>
      </c>
      <c r="B224" s="1">
        <v>45465</v>
      </c>
      <c r="C224" t="s">
        <v>97</v>
      </c>
      <c r="D224" t="s">
        <v>21</v>
      </c>
      <c r="E224" t="s">
        <v>11</v>
      </c>
      <c r="F224" s="4">
        <v>1682.42</v>
      </c>
      <c r="G224" s="5">
        <v>2</v>
      </c>
      <c r="H224" t="s">
        <v>15</v>
      </c>
      <c r="I224" t="str">
        <f t="shared" si="12"/>
        <v>2024-06</v>
      </c>
      <c r="J224" s="4">
        <f t="shared" si="13"/>
        <v>841.21</v>
      </c>
      <c r="K224" t="str" cm="1">
        <f t="array" ref="K224">_xlfn.IFS(G224&lt;=5, "Small", G224&lt;=15, "Medium", G224&gt;15, "Large")</f>
        <v>Small</v>
      </c>
      <c r="L224" t="str">
        <f t="shared" si="14"/>
        <v>Standard</v>
      </c>
      <c r="M224" t="str">
        <f t="shared" si="15"/>
        <v>Weekend</v>
      </c>
    </row>
    <row r="225" spans="1:13" x14ac:dyDescent="0.35">
      <c r="A225" t="s">
        <v>280</v>
      </c>
      <c r="B225" s="1">
        <v>45567</v>
      </c>
      <c r="C225" t="s">
        <v>91</v>
      </c>
      <c r="D225" t="s">
        <v>26</v>
      </c>
      <c r="E225" t="s">
        <v>27</v>
      </c>
      <c r="F225" s="4">
        <v>36140.74</v>
      </c>
      <c r="G225" s="5">
        <v>4</v>
      </c>
      <c r="H225" t="s">
        <v>15</v>
      </c>
      <c r="I225" t="str">
        <f t="shared" si="12"/>
        <v>2024-10</v>
      </c>
      <c r="J225" s="4">
        <f t="shared" si="13"/>
        <v>9035.1849999999995</v>
      </c>
      <c r="K225" t="str" cm="1">
        <f t="array" ref="K225">_xlfn.IFS(G225&lt;=5, "Small", G225&lt;=15, "Medium", G225&gt;15, "Large")</f>
        <v>Small</v>
      </c>
      <c r="L225" t="str">
        <f t="shared" si="14"/>
        <v>VIP</v>
      </c>
      <c r="M225" t="str">
        <f t="shared" si="15"/>
        <v>Weekday</v>
      </c>
    </row>
    <row r="226" spans="1:13" x14ac:dyDescent="0.35">
      <c r="A226" t="s">
        <v>281</v>
      </c>
      <c r="B226" s="1">
        <v>45593</v>
      </c>
      <c r="C226" t="s">
        <v>62</v>
      </c>
      <c r="D226" t="s">
        <v>10</v>
      </c>
      <c r="E226" t="s">
        <v>11</v>
      </c>
      <c r="F226" s="4">
        <v>10704.3</v>
      </c>
      <c r="G226" s="5">
        <v>2</v>
      </c>
      <c r="H226" t="s">
        <v>15</v>
      </c>
      <c r="I226" t="str">
        <f t="shared" si="12"/>
        <v>2024-10</v>
      </c>
      <c r="J226" s="4">
        <f t="shared" si="13"/>
        <v>5352.15</v>
      </c>
      <c r="K226" t="str" cm="1">
        <f t="array" ref="K226">_xlfn.IFS(G226&lt;=5, "Small", G226&lt;=15, "Medium", G226&gt;15, "Large")</f>
        <v>Small</v>
      </c>
      <c r="L226" t="str">
        <f t="shared" si="14"/>
        <v>Standard</v>
      </c>
      <c r="M226" t="str">
        <f t="shared" si="15"/>
        <v>Weekday</v>
      </c>
    </row>
    <row r="227" spans="1:13" x14ac:dyDescent="0.35">
      <c r="A227" t="s">
        <v>282</v>
      </c>
      <c r="B227" s="1">
        <v>45605</v>
      </c>
      <c r="C227" t="s">
        <v>72</v>
      </c>
      <c r="D227" t="s">
        <v>26</v>
      </c>
      <c r="E227" t="s">
        <v>18</v>
      </c>
      <c r="F227" s="4">
        <v>876.88</v>
      </c>
      <c r="G227" s="5">
        <v>18</v>
      </c>
      <c r="H227" t="s">
        <v>15</v>
      </c>
      <c r="I227" t="str">
        <f t="shared" si="12"/>
        <v>2024-11</v>
      </c>
      <c r="J227" s="4">
        <f t="shared" si="13"/>
        <v>48.715555555555554</v>
      </c>
      <c r="K227" t="str" cm="1">
        <f t="array" ref="K227">_xlfn.IFS(G227&lt;=5, "Small", G227&lt;=15, "Medium", G227&gt;15, "Large")</f>
        <v>Large</v>
      </c>
      <c r="L227" t="str">
        <f t="shared" si="14"/>
        <v>Standard</v>
      </c>
      <c r="M227" t="str">
        <f t="shared" si="15"/>
        <v>Weekend</v>
      </c>
    </row>
    <row r="228" spans="1:13" x14ac:dyDescent="0.35">
      <c r="A228" t="s">
        <v>283</v>
      </c>
      <c r="B228" s="1">
        <v>45093</v>
      </c>
      <c r="C228" t="s">
        <v>166</v>
      </c>
      <c r="D228" t="s">
        <v>26</v>
      </c>
      <c r="E228" t="s">
        <v>18</v>
      </c>
      <c r="F228" s="4">
        <v>0</v>
      </c>
      <c r="G228" s="5">
        <v>6</v>
      </c>
      <c r="H228" t="s">
        <v>28</v>
      </c>
      <c r="I228" t="str">
        <f t="shared" si="12"/>
        <v>2023-06</v>
      </c>
      <c r="J228" s="4">
        <f t="shared" si="13"/>
        <v>0</v>
      </c>
      <c r="K228" t="str" cm="1">
        <f t="array" ref="K228">_xlfn.IFS(G228&lt;=5, "Small", G228&lt;=15, "Medium", G228&gt;15, "Large")</f>
        <v>Medium</v>
      </c>
      <c r="L228" t="str">
        <f t="shared" si="14"/>
        <v>Standard</v>
      </c>
      <c r="M228" t="str">
        <f t="shared" si="15"/>
        <v>Weekday</v>
      </c>
    </row>
    <row r="229" spans="1:13" x14ac:dyDescent="0.35">
      <c r="A229" t="s">
        <v>284</v>
      </c>
      <c r="B229" s="1">
        <v>45036</v>
      </c>
      <c r="C229" t="s">
        <v>91</v>
      </c>
      <c r="D229" t="s">
        <v>26</v>
      </c>
      <c r="E229" t="s">
        <v>18</v>
      </c>
      <c r="F229" s="4">
        <v>3347.44</v>
      </c>
      <c r="G229" s="5">
        <v>16</v>
      </c>
      <c r="H229" t="s">
        <v>15</v>
      </c>
      <c r="I229" t="str">
        <f t="shared" si="12"/>
        <v>2023-04</v>
      </c>
      <c r="J229" s="4">
        <f t="shared" si="13"/>
        <v>209.215</v>
      </c>
      <c r="K229" t="str" cm="1">
        <f t="array" ref="K229">_xlfn.IFS(G229&lt;=5, "Small", G229&lt;=15, "Medium", G229&gt;15, "Large")</f>
        <v>Large</v>
      </c>
      <c r="L229" t="str">
        <f t="shared" si="14"/>
        <v>Standard</v>
      </c>
      <c r="M229" t="str">
        <f t="shared" si="15"/>
        <v>Weekday</v>
      </c>
    </row>
    <row r="230" spans="1:13" x14ac:dyDescent="0.35">
      <c r="A230" t="s">
        <v>285</v>
      </c>
      <c r="B230" s="1">
        <v>45201</v>
      </c>
      <c r="C230" t="s">
        <v>23</v>
      </c>
      <c r="D230" t="s">
        <v>21</v>
      </c>
      <c r="E230" t="s">
        <v>18</v>
      </c>
      <c r="F230" s="4">
        <v>186.44</v>
      </c>
      <c r="G230" s="5">
        <v>3</v>
      </c>
      <c r="H230" t="s">
        <v>15</v>
      </c>
      <c r="I230" t="str">
        <f t="shared" si="12"/>
        <v>2023-10</v>
      </c>
      <c r="J230" s="4">
        <f t="shared" si="13"/>
        <v>62.146666666666668</v>
      </c>
      <c r="K230" t="str" cm="1">
        <f t="array" ref="K230">_xlfn.IFS(G230&lt;=5, "Small", G230&lt;=15, "Medium", G230&gt;15, "Large")</f>
        <v>Small</v>
      </c>
      <c r="L230" t="str">
        <f t="shared" si="14"/>
        <v>Standard</v>
      </c>
      <c r="M230" t="str">
        <f t="shared" si="15"/>
        <v>Weekday</v>
      </c>
    </row>
    <row r="231" spans="1:13" x14ac:dyDescent="0.35">
      <c r="A231" t="s">
        <v>286</v>
      </c>
      <c r="B231" s="1">
        <v>45547</v>
      </c>
      <c r="C231" t="s">
        <v>23</v>
      </c>
      <c r="D231" t="s">
        <v>21</v>
      </c>
      <c r="E231" t="s">
        <v>27</v>
      </c>
      <c r="F231" s="4">
        <v>0</v>
      </c>
      <c r="G231" s="5">
        <v>3</v>
      </c>
      <c r="H231" t="s">
        <v>28</v>
      </c>
      <c r="I231" t="str">
        <f t="shared" si="12"/>
        <v>2024-09</v>
      </c>
      <c r="J231" s="4">
        <f t="shared" si="13"/>
        <v>0</v>
      </c>
      <c r="K231" t="str" cm="1">
        <f t="array" ref="K231">_xlfn.IFS(G231&lt;=5, "Small", G231&lt;=15, "Medium", G231&gt;15, "Large")</f>
        <v>Small</v>
      </c>
      <c r="L231" t="str">
        <f t="shared" si="14"/>
        <v>Standard</v>
      </c>
      <c r="M231" t="str">
        <f t="shared" si="15"/>
        <v>Weekday</v>
      </c>
    </row>
    <row r="232" spans="1:13" x14ac:dyDescent="0.35">
      <c r="A232" t="s">
        <v>287</v>
      </c>
      <c r="B232" s="1">
        <v>45366</v>
      </c>
      <c r="C232" t="s">
        <v>175</v>
      </c>
      <c r="D232" t="s">
        <v>21</v>
      </c>
      <c r="E232" t="s">
        <v>27</v>
      </c>
      <c r="F232" s="4">
        <v>13041.97</v>
      </c>
      <c r="G232" s="5">
        <v>1</v>
      </c>
      <c r="H232" t="s">
        <v>15</v>
      </c>
      <c r="I232" t="str">
        <f t="shared" si="12"/>
        <v>2024-03</v>
      </c>
      <c r="J232" s="4">
        <f t="shared" si="13"/>
        <v>13041.97</v>
      </c>
      <c r="K232" t="str" cm="1">
        <f t="array" ref="K232">_xlfn.IFS(G232&lt;=5, "Small", G232&lt;=15, "Medium", G232&gt;15, "Large")</f>
        <v>Small</v>
      </c>
      <c r="L232" t="str">
        <f t="shared" si="14"/>
        <v>Standard</v>
      </c>
      <c r="M232" t="str">
        <f t="shared" si="15"/>
        <v>Weekday</v>
      </c>
    </row>
    <row r="233" spans="1:13" x14ac:dyDescent="0.35">
      <c r="A233" t="s">
        <v>288</v>
      </c>
      <c r="B233" s="1">
        <v>45436</v>
      </c>
      <c r="C233" t="s">
        <v>35</v>
      </c>
      <c r="D233" t="s">
        <v>31</v>
      </c>
      <c r="E233" t="s">
        <v>27</v>
      </c>
      <c r="F233" s="4">
        <v>3589.47</v>
      </c>
      <c r="G233" s="5">
        <v>2</v>
      </c>
      <c r="H233" t="s">
        <v>15</v>
      </c>
      <c r="I233" t="str">
        <f t="shared" si="12"/>
        <v>2024-05</v>
      </c>
      <c r="J233" s="4">
        <f t="shared" si="13"/>
        <v>1794.7349999999999</v>
      </c>
      <c r="K233" t="str" cm="1">
        <f t="array" ref="K233">_xlfn.IFS(G233&lt;=5, "Small", G233&lt;=15, "Medium", G233&gt;15, "Large")</f>
        <v>Small</v>
      </c>
      <c r="L233" t="str">
        <f t="shared" si="14"/>
        <v>Standard</v>
      </c>
      <c r="M233" t="str">
        <f t="shared" si="15"/>
        <v>Weekday</v>
      </c>
    </row>
    <row r="234" spans="1:13" x14ac:dyDescent="0.35">
      <c r="A234" t="s">
        <v>289</v>
      </c>
      <c r="B234" s="1">
        <v>45424</v>
      </c>
      <c r="C234" t="s">
        <v>14</v>
      </c>
      <c r="D234" t="s">
        <v>10</v>
      </c>
      <c r="E234" t="s">
        <v>18</v>
      </c>
      <c r="F234" s="4">
        <v>3277.52</v>
      </c>
      <c r="G234" s="5">
        <v>19</v>
      </c>
      <c r="H234" t="s">
        <v>15</v>
      </c>
      <c r="I234" t="str">
        <f t="shared" si="12"/>
        <v>2024-05</v>
      </c>
      <c r="J234" s="4">
        <f t="shared" si="13"/>
        <v>172.50105263157894</v>
      </c>
      <c r="K234" t="str" cm="1">
        <f t="array" ref="K234">_xlfn.IFS(G234&lt;=5, "Small", G234&lt;=15, "Medium", G234&gt;15, "Large")</f>
        <v>Large</v>
      </c>
      <c r="L234" t="str">
        <f t="shared" si="14"/>
        <v>Standard</v>
      </c>
      <c r="M234" t="str">
        <f t="shared" si="15"/>
        <v>Weekend</v>
      </c>
    </row>
    <row r="235" spans="1:13" x14ac:dyDescent="0.35">
      <c r="A235" t="s">
        <v>290</v>
      </c>
      <c r="B235" s="1">
        <v>45068</v>
      </c>
      <c r="C235" t="s">
        <v>74</v>
      </c>
      <c r="D235" t="s">
        <v>31</v>
      </c>
      <c r="E235" t="s">
        <v>11</v>
      </c>
      <c r="F235" s="4">
        <v>0</v>
      </c>
      <c r="G235" s="5">
        <v>5</v>
      </c>
      <c r="H235" t="s">
        <v>28</v>
      </c>
      <c r="I235" t="str">
        <f t="shared" si="12"/>
        <v>2023-05</v>
      </c>
      <c r="J235" s="4">
        <f t="shared" si="13"/>
        <v>0</v>
      </c>
      <c r="K235" t="str" cm="1">
        <f t="array" ref="K235">_xlfn.IFS(G235&lt;=5, "Small", G235&lt;=15, "Medium", G235&gt;15, "Large")</f>
        <v>Small</v>
      </c>
      <c r="L235" t="str">
        <f t="shared" si="14"/>
        <v>Standard</v>
      </c>
      <c r="M235" t="str">
        <f t="shared" si="15"/>
        <v>Weekday</v>
      </c>
    </row>
    <row r="236" spans="1:13" x14ac:dyDescent="0.35">
      <c r="A236" t="s">
        <v>291</v>
      </c>
      <c r="B236" s="1">
        <v>44936</v>
      </c>
      <c r="C236" t="s">
        <v>166</v>
      </c>
      <c r="D236" t="s">
        <v>26</v>
      </c>
      <c r="E236" t="s">
        <v>27</v>
      </c>
      <c r="F236" s="4">
        <v>44803.83</v>
      </c>
      <c r="G236" s="5">
        <v>5</v>
      </c>
      <c r="H236" t="s">
        <v>15</v>
      </c>
      <c r="I236" t="str">
        <f t="shared" si="12"/>
        <v>2023-01</v>
      </c>
      <c r="J236" s="4">
        <f t="shared" si="13"/>
        <v>8960.7659999999996</v>
      </c>
      <c r="K236" t="str" cm="1">
        <f t="array" ref="K236">_xlfn.IFS(G236&lt;=5, "Small", G236&lt;=15, "Medium", G236&gt;15, "Large")</f>
        <v>Small</v>
      </c>
      <c r="L236" t="str">
        <f t="shared" si="14"/>
        <v>VIP</v>
      </c>
      <c r="M236" t="str">
        <f t="shared" si="15"/>
        <v>Weekday</v>
      </c>
    </row>
    <row r="237" spans="1:13" x14ac:dyDescent="0.35">
      <c r="A237" t="s">
        <v>292</v>
      </c>
      <c r="B237" s="1">
        <v>45057</v>
      </c>
      <c r="C237" t="s">
        <v>111</v>
      </c>
      <c r="D237" t="s">
        <v>31</v>
      </c>
      <c r="E237" t="s">
        <v>27</v>
      </c>
      <c r="F237" s="4">
        <v>0</v>
      </c>
      <c r="G237" s="5">
        <v>4</v>
      </c>
      <c r="H237" t="s">
        <v>28</v>
      </c>
      <c r="I237" t="str">
        <f t="shared" si="12"/>
        <v>2023-05</v>
      </c>
      <c r="J237" s="4">
        <f t="shared" si="13"/>
        <v>0</v>
      </c>
      <c r="K237" t="str" cm="1">
        <f t="array" ref="K237">_xlfn.IFS(G237&lt;=5, "Small", G237&lt;=15, "Medium", G237&gt;15, "Large")</f>
        <v>Small</v>
      </c>
      <c r="L237" t="str">
        <f t="shared" si="14"/>
        <v>Standard</v>
      </c>
      <c r="M237" t="str">
        <f t="shared" si="15"/>
        <v>Weekday</v>
      </c>
    </row>
    <row r="238" spans="1:13" x14ac:dyDescent="0.35">
      <c r="A238" t="s">
        <v>293</v>
      </c>
      <c r="B238" s="1">
        <v>45036</v>
      </c>
      <c r="C238" t="s">
        <v>30</v>
      </c>
      <c r="D238" t="s">
        <v>31</v>
      </c>
      <c r="E238" t="s">
        <v>27</v>
      </c>
      <c r="F238" s="4">
        <v>9283.4</v>
      </c>
      <c r="G238" s="5">
        <v>5</v>
      </c>
      <c r="H238" t="s">
        <v>15</v>
      </c>
      <c r="I238" t="str">
        <f t="shared" si="12"/>
        <v>2023-04</v>
      </c>
      <c r="J238" s="4">
        <f t="shared" si="13"/>
        <v>1856.6799999999998</v>
      </c>
      <c r="K238" t="str" cm="1">
        <f t="array" ref="K238">_xlfn.IFS(G238&lt;=5, "Small", G238&lt;=15, "Medium", G238&gt;15, "Large")</f>
        <v>Small</v>
      </c>
      <c r="L238" t="str">
        <f t="shared" si="14"/>
        <v>Standard</v>
      </c>
      <c r="M238" t="str">
        <f t="shared" si="15"/>
        <v>Weekday</v>
      </c>
    </row>
    <row r="239" spans="1:13" x14ac:dyDescent="0.35">
      <c r="A239" t="s">
        <v>294</v>
      </c>
      <c r="B239" s="1">
        <v>44977</v>
      </c>
      <c r="C239" t="s">
        <v>84</v>
      </c>
      <c r="D239" t="s">
        <v>26</v>
      </c>
      <c r="E239" t="s">
        <v>18</v>
      </c>
      <c r="F239" s="4">
        <v>294.52</v>
      </c>
      <c r="G239" s="5">
        <v>30</v>
      </c>
      <c r="H239" t="s">
        <v>15</v>
      </c>
      <c r="I239" t="str">
        <f t="shared" si="12"/>
        <v>2023-02</v>
      </c>
      <c r="J239" s="4">
        <f t="shared" si="13"/>
        <v>9.8173333333333321</v>
      </c>
      <c r="K239" t="str" cm="1">
        <f t="array" ref="K239">_xlfn.IFS(G239&lt;=5, "Small", G239&lt;=15, "Medium", G239&gt;15, "Large")</f>
        <v>Large</v>
      </c>
      <c r="L239" t="str">
        <f t="shared" si="14"/>
        <v>Standard</v>
      </c>
      <c r="M239" t="str">
        <f t="shared" si="15"/>
        <v>Weekday</v>
      </c>
    </row>
    <row r="240" spans="1:13" x14ac:dyDescent="0.35">
      <c r="A240" t="s">
        <v>295</v>
      </c>
      <c r="B240" s="1">
        <v>45097</v>
      </c>
      <c r="C240" t="s">
        <v>25</v>
      </c>
      <c r="D240" t="s">
        <v>26</v>
      </c>
      <c r="E240" t="s">
        <v>27</v>
      </c>
      <c r="F240" s="4">
        <v>14704.44</v>
      </c>
      <c r="G240" s="5">
        <v>4</v>
      </c>
      <c r="H240" t="s">
        <v>15</v>
      </c>
      <c r="I240" t="str">
        <f t="shared" si="12"/>
        <v>2023-06</v>
      </c>
      <c r="J240" s="4">
        <f t="shared" si="13"/>
        <v>3676.11</v>
      </c>
      <c r="K240" t="str" cm="1">
        <f t="array" ref="K240">_xlfn.IFS(G240&lt;=5, "Small", G240&lt;=15, "Medium", G240&gt;15, "Large")</f>
        <v>Small</v>
      </c>
      <c r="L240" t="str">
        <f t="shared" si="14"/>
        <v>Standard</v>
      </c>
      <c r="M240" t="str">
        <f t="shared" si="15"/>
        <v>Weekday</v>
      </c>
    </row>
    <row r="241" spans="1:13" x14ac:dyDescent="0.35">
      <c r="A241" t="s">
        <v>296</v>
      </c>
      <c r="B241" s="1">
        <v>45567</v>
      </c>
      <c r="C241" t="s">
        <v>253</v>
      </c>
      <c r="D241" t="s">
        <v>21</v>
      </c>
      <c r="E241" t="s">
        <v>27</v>
      </c>
      <c r="F241" s="4">
        <v>42530.84</v>
      </c>
      <c r="G241" s="5">
        <v>3</v>
      </c>
      <c r="H241" t="s">
        <v>15</v>
      </c>
      <c r="I241" t="str">
        <f t="shared" si="12"/>
        <v>2024-10</v>
      </c>
      <c r="J241" s="4">
        <f t="shared" si="13"/>
        <v>14176.946666666665</v>
      </c>
      <c r="K241" t="str" cm="1">
        <f t="array" ref="K241">_xlfn.IFS(G241&lt;=5, "Small", G241&lt;=15, "Medium", G241&gt;15, "Large")</f>
        <v>Small</v>
      </c>
      <c r="L241" t="str">
        <f t="shared" si="14"/>
        <v>VIP</v>
      </c>
      <c r="M241" t="str">
        <f t="shared" si="15"/>
        <v>Weekday</v>
      </c>
    </row>
    <row r="242" spans="1:13" x14ac:dyDescent="0.35">
      <c r="A242" t="s">
        <v>297</v>
      </c>
      <c r="B242" s="1">
        <v>45054</v>
      </c>
      <c r="C242" t="s">
        <v>84</v>
      </c>
      <c r="D242" t="s">
        <v>26</v>
      </c>
      <c r="E242" t="s">
        <v>11</v>
      </c>
      <c r="F242" s="4">
        <v>13456.55</v>
      </c>
      <c r="G242" s="5">
        <v>7</v>
      </c>
      <c r="H242" t="s">
        <v>15</v>
      </c>
      <c r="I242" t="str">
        <f t="shared" si="12"/>
        <v>2023-05</v>
      </c>
      <c r="J242" s="4">
        <f t="shared" si="13"/>
        <v>1922.3642857142856</v>
      </c>
      <c r="K242" t="str" cm="1">
        <f t="array" ref="K242">_xlfn.IFS(G242&lt;=5, "Small", G242&lt;=15, "Medium", G242&gt;15, "Large")</f>
        <v>Medium</v>
      </c>
      <c r="L242" t="str">
        <f t="shared" si="14"/>
        <v>Standard</v>
      </c>
      <c r="M242" t="str">
        <f t="shared" si="15"/>
        <v>Weekday</v>
      </c>
    </row>
    <row r="243" spans="1:13" x14ac:dyDescent="0.35">
      <c r="A243" t="s">
        <v>298</v>
      </c>
      <c r="B243" s="1">
        <v>45367</v>
      </c>
      <c r="C243" t="s">
        <v>166</v>
      </c>
      <c r="D243" t="s">
        <v>26</v>
      </c>
      <c r="E243" t="s">
        <v>18</v>
      </c>
      <c r="F243" s="4">
        <v>2477.67</v>
      </c>
      <c r="G243" s="5">
        <v>17</v>
      </c>
      <c r="H243" t="s">
        <v>15</v>
      </c>
      <c r="I243" t="str">
        <f t="shared" si="12"/>
        <v>2024-03</v>
      </c>
      <c r="J243" s="4">
        <f t="shared" si="13"/>
        <v>145.74529411764706</v>
      </c>
      <c r="K243" t="str" cm="1">
        <f t="array" ref="K243">_xlfn.IFS(G243&lt;=5, "Small", G243&lt;=15, "Medium", G243&gt;15, "Large")</f>
        <v>Large</v>
      </c>
      <c r="L243" t="str">
        <f t="shared" si="14"/>
        <v>Standard</v>
      </c>
      <c r="M243" t="str">
        <f t="shared" si="15"/>
        <v>Weekend</v>
      </c>
    </row>
    <row r="244" spans="1:13" x14ac:dyDescent="0.35">
      <c r="A244" t="s">
        <v>299</v>
      </c>
      <c r="B244" s="1">
        <v>45565</v>
      </c>
      <c r="C244" t="s">
        <v>84</v>
      </c>
      <c r="D244" t="s">
        <v>10</v>
      </c>
      <c r="E244" t="s">
        <v>11</v>
      </c>
      <c r="F244" s="4">
        <v>5637.16</v>
      </c>
      <c r="G244" s="5">
        <v>8</v>
      </c>
      <c r="H244" t="s">
        <v>15</v>
      </c>
      <c r="I244" t="str">
        <f t="shared" si="12"/>
        <v>2024-09</v>
      </c>
      <c r="J244" s="4">
        <f t="shared" si="13"/>
        <v>704.64499999999998</v>
      </c>
      <c r="K244" t="str" cm="1">
        <f t="array" ref="K244">_xlfn.IFS(G244&lt;=5, "Small", G244&lt;=15, "Medium", G244&gt;15, "Large")</f>
        <v>Medium</v>
      </c>
      <c r="L244" t="str">
        <f t="shared" si="14"/>
        <v>Standard</v>
      </c>
      <c r="M244" t="str">
        <f t="shared" si="15"/>
        <v>Weekday</v>
      </c>
    </row>
    <row r="245" spans="1:13" x14ac:dyDescent="0.35">
      <c r="A245" t="s">
        <v>300</v>
      </c>
      <c r="B245" s="1">
        <v>45584</v>
      </c>
      <c r="C245" t="s">
        <v>48</v>
      </c>
      <c r="D245" t="s">
        <v>31</v>
      </c>
      <c r="E245" t="s">
        <v>11</v>
      </c>
      <c r="F245" s="4">
        <v>15973.22</v>
      </c>
      <c r="G245" s="5">
        <v>6</v>
      </c>
      <c r="H245" t="s">
        <v>15</v>
      </c>
      <c r="I245" t="str">
        <f t="shared" si="12"/>
        <v>2024-10</v>
      </c>
      <c r="J245" s="4">
        <f t="shared" si="13"/>
        <v>2662.2033333333334</v>
      </c>
      <c r="K245" t="str" cm="1">
        <f t="array" ref="K245">_xlfn.IFS(G245&lt;=5, "Small", G245&lt;=15, "Medium", G245&gt;15, "Large")</f>
        <v>Medium</v>
      </c>
      <c r="L245" t="str">
        <f t="shared" si="14"/>
        <v>Standard</v>
      </c>
      <c r="M245" t="str">
        <f t="shared" si="15"/>
        <v>Weekend</v>
      </c>
    </row>
    <row r="246" spans="1:13" x14ac:dyDescent="0.35">
      <c r="A246" t="s">
        <v>301</v>
      </c>
      <c r="B246" s="1">
        <v>45629</v>
      </c>
      <c r="C246" t="s">
        <v>84</v>
      </c>
      <c r="D246" t="s">
        <v>26</v>
      </c>
      <c r="E246" t="s">
        <v>18</v>
      </c>
      <c r="F246" s="4">
        <v>1287.42</v>
      </c>
      <c r="G246" s="5">
        <v>13</v>
      </c>
      <c r="H246" t="s">
        <v>15</v>
      </c>
      <c r="I246" t="str">
        <f t="shared" si="12"/>
        <v>2024-12</v>
      </c>
      <c r="J246" s="4">
        <f t="shared" si="13"/>
        <v>99.032307692307697</v>
      </c>
      <c r="K246" t="str" cm="1">
        <f t="array" ref="K246">_xlfn.IFS(G246&lt;=5, "Small", G246&lt;=15, "Medium", G246&gt;15, "Large")</f>
        <v>Medium</v>
      </c>
      <c r="L246" t="str">
        <f t="shared" si="14"/>
        <v>Standard</v>
      </c>
      <c r="M246" t="str">
        <f t="shared" si="15"/>
        <v>Weekday</v>
      </c>
    </row>
    <row r="247" spans="1:13" x14ac:dyDescent="0.35">
      <c r="A247" t="s">
        <v>302</v>
      </c>
      <c r="B247" s="1">
        <v>45492</v>
      </c>
      <c r="C247" t="s">
        <v>175</v>
      </c>
      <c r="D247" t="s">
        <v>21</v>
      </c>
      <c r="E247" t="s">
        <v>18</v>
      </c>
      <c r="F247" s="4">
        <v>1630.64</v>
      </c>
      <c r="G247" s="5">
        <v>28</v>
      </c>
      <c r="H247" t="s">
        <v>15</v>
      </c>
      <c r="I247" t="str">
        <f t="shared" si="12"/>
        <v>2024-07</v>
      </c>
      <c r="J247" s="4">
        <f t="shared" si="13"/>
        <v>58.237142857142864</v>
      </c>
      <c r="K247" t="str" cm="1">
        <f t="array" ref="K247">_xlfn.IFS(G247&lt;=5, "Small", G247&lt;=15, "Medium", G247&gt;15, "Large")</f>
        <v>Large</v>
      </c>
      <c r="L247" t="str">
        <f t="shared" si="14"/>
        <v>Standard</v>
      </c>
      <c r="M247" t="str">
        <f t="shared" si="15"/>
        <v>Weekday</v>
      </c>
    </row>
    <row r="248" spans="1:13" x14ac:dyDescent="0.35">
      <c r="A248" t="s">
        <v>303</v>
      </c>
      <c r="B248" s="1">
        <v>45232</v>
      </c>
      <c r="C248" t="s">
        <v>53</v>
      </c>
      <c r="D248" t="s">
        <v>31</v>
      </c>
      <c r="E248" t="s">
        <v>18</v>
      </c>
      <c r="F248" s="4">
        <v>2107.48</v>
      </c>
      <c r="G248" s="5">
        <v>11</v>
      </c>
      <c r="H248" t="s">
        <v>15</v>
      </c>
      <c r="I248" t="str">
        <f t="shared" si="12"/>
        <v>2023-11</v>
      </c>
      <c r="J248" s="4">
        <f t="shared" si="13"/>
        <v>191.58909090909091</v>
      </c>
      <c r="K248" t="str" cm="1">
        <f t="array" ref="K248">_xlfn.IFS(G248&lt;=5, "Small", G248&lt;=15, "Medium", G248&gt;15, "Large")</f>
        <v>Medium</v>
      </c>
      <c r="L248" t="str">
        <f t="shared" si="14"/>
        <v>Standard</v>
      </c>
      <c r="M248" t="str">
        <f t="shared" si="15"/>
        <v>Weekday</v>
      </c>
    </row>
    <row r="249" spans="1:13" x14ac:dyDescent="0.35">
      <c r="A249" t="s">
        <v>304</v>
      </c>
      <c r="B249" s="1">
        <v>45164</v>
      </c>
      <c r="C249" t="s">
        <v>45</v>
      </c>
      <c r="D249" t="s">
        <v>21</v>
      </c>
      <c r="E249" t="s">
        <v>18</v>
      </c>
      <c r="F249" s="4">
        <v>0</v>
      </c>
      <c r="G249" s="5">
        <v>20</v>
      </c>
      <c r="H249" t="s">
        <v>28</v>
      </c>
      <c r="I249" t="str">
        <f t="shared" si="12"/>
        <v>2023-08</v>
      </c>
      <c r="J249" s="4">
        <f t="shared" si="13"/>
        <v>0</v>
      </c>
      <c r="K249" t="str" cm="1">
        <f t="array" ref="K249">_xlfn.IFS(G249&lt;=5, "Small", G249&lt;=15, "Medium", G249&gt;15, "Large")</f>
        <v>Large</v>
      </c>
      <c r="L249" t="str">
        <f t="shared" si="14"/>
        <v>Standard</v>
      </c>
      <c r="M249" t="str">
        <f t="shared" si="15"/>
        <v>Weekend</v>
      </c>
    </row>
    <row r="250" spans="1:13" x14ac:dyDescent="0.35">
      <c r="A250" t="s">
        <v>305</v>
      </c>
      <c r="B250" s="1">
        <v>45383</v>
      </c>
      <c r="C250" t="s">
        <v>74</v>
      </c>
      <c r="D250" t="s">
        <v>31</v>
      </c>
      <c r="E250" t="s">
        <v>11</v>
      </c>
      <c r="F250" s="4">
        <v>8266.23</v>
      </c>
      <c r="G250" s="5">
        <v>4</v>
      </c>
      <c r="H250" t="s">
        <v>15</v>
      </c>
      <c r="I250" t="str">
        <f t="shared" si="12"/>
        <v>2024-04</v>
      </c>
      <c r="J250" s="4">
        <f t="shared" si="13"/>
        <v>2066.5574999999999</v>
      </c>
      <c r="K250" t="str" cm="1">
        <f t="array" ref="K250">_xlfn.IFS(G250&lt;=5, "Small", G250&lt;=15, "Medium", G250&gt;15, "Large")</f>
        <v>Small</v>
      </c>
      <c r="L250" t="str">
        <f t="shared" si="14"/>
        <v>Standard</v>
      </c>
      <c r="M250" t="str">
        <f t="shared" si="15"/>
        <v>Weekday</v>
      </c>
    </row>
    <row r="251" spans="1:13" x14ac:dyDescent="0.35">
      <c r="A251" t="s">
        <v>306</v>
      </c>
      <c r="B251" s="1">
        <v>45620</v>
      </c>
      <c r="C251" t="s">
        <v>60</v>
      </c>
      <c r="D251" t="s">
        <v>21</v>
      </c>
      <c r="E251" t="s">
        <v>11</v>
      </c>
      <c r="F251" s="4">
        <v>14326.6</v>
      </c>
      <c r="G251" s="5">
        <v>1</v>
      </c>
      <c r="H251" t="s">
        <v>15</v>
      </c>
      <c r="I251" t="str">
        <f t="shared" si="12"/>
        <v>2024-11</v>
      </c>
      <c r="J251" s="4">
        <f t="shared" si="13"/>
        <v>14326.6</v>
      </c>
      <c r="K251" t="str" cm="1">
        <f t="array" ref="K251">_xlfn.IFS(G251&lt;=5, "Small", G251&lt;=15, "Medium", G251&gt;15, "Large")</f>
        <v>Small</v>
      </c>
      <c r="L251" t="str">
        <f t="shared" si="14"/>
        <v>Standard</v>
      </c>
      <c r="M251" t="str">
        <f t="shared" si="15"/>
        <v>Weekend</v>
      </c>
    </row>
    <row r="252" spans="1:13" x14ac:dyDescent="0.35">
      <c r="A252" t="s">
        <v>307</v>
      </c>
      <c r="B252" s="1">
        <v>44959</v>
      </c>
      <c r="C252" t="s">
        <v>175</v>
      </c>
      <c r="D252" t="s">
        <v>21</v>
      </c>
      <c r="E252" t="s">
        <v>27</v>
      </c>
      <c r="F252" s="4">
        <v>0</v>
      </c>
      <c r="G252" s="5">
        <v>5</v>
      </c>
      <c r="H252" t="s">
        <v>28</v>
      </c>
      <c r="I252" t="str">
        <f t="shared" si="12"/>
        <v>2023-02</v>
      </c>
      <c r="J252" s="4">
        <f t="shared" si="13"/>
        <v>0</v>
      </c>
      <c r="K252" t="str" cm="1">
        <f t="array" ref="K252">_xlfn.IFS(G252&lt;=5, "Small", G252&lt;=15, "Medium", G252&gt;15, "Large")</f>
        <v>Small</v>
      </c>
      <c r="L252" t="str">
        <f t="shared" si="14"/>
        <v>Standard</v>
      </c>
      <c r="M252" t="str">
        <f t="shared" si="15"/>
        <v>Weekday</v>
      </c>
    </row>
    <row r="253" spans="1:13" x14ac:dyDescent="0.35">
      <c r="A253" t="s">
        <v>308</v>
      </c>
      <c r="B253" s="1">
        <v>44941</v>
      </c>
      <c r="C253" t="s">
        <v>40</v>
      </c>
      <c r="D253" t="s">
        <v>26</v>
      </c>
      <c r="E253" t="s">
        <v>27</v>
      </c>
      <c r="F253" s="4">
        <v>11754.15</v>
      </c>
      <c r="G253" s="5">
        <v>4</v>
      </c>
      <c r="H253" t="s">
        <v>15</v>
      </c>
      <c r="I253" t="str">
        <f t="shared" si="12"/>
        <v>2023-01</v>
      </c>
      <c r="J253" s="4">
        <f t="shared" si="13"/>
        <v>2938.5374999999999</v>
      </c>
      <c r="K253" t="str" cm="1">
        <f t="array" ref="K253">_xlfn.IFS(G253&lt;=5, "Small", G253&lt;=15, "Medium", G253&gt;15, "Large")</f>
        <v>Small</v>
      </c>
      <c r="L253" t="str">
        <f t="shared" si="14"/>
        <v>Standard</v>
      </c>
      <c r="M253" t="str">
        <f t="shared" si="15"/>
        <v>Weekend</v>
      </c>
    </row>
    <row r="254" spans="1:13" x14ac:dyDescent="0.35">
      <c r="A254" t="s">
        <v>309</v>
      </c>
      <c r="B254" s="1">
        <v>45597</v>
      </c>
      <c r="C254" t="s">
        <v>84</v>
      </c>
      <c r="D254" t="s">
        <v>26</v>
      </c>
      <c r="E254" t="s">
        <v>11</v>
      </c>
      <c r="F254" s="4">
        <v>12061.81</v>
      </c>
      <c r="G254" s="5">
        <v>3</v>
      </c>
      <c r="H254" t="s">
        <v>15</v>
      </c>
      <c r="I254" t="str">
        <f t="shared" si="12"/>
        <v>2024-11</v>
      </c>
      <c r="J254" s="4">
        <f t="shared" si="13"/>
        <v>4020.603333333333</v>
      </c>
      <c r="K254" t="str" cm="1">
        <f t="array" ref="K254">_xlfn.IFS(G254&lt;=5, "Small", G254&lt;=15, "Medium", G254&gt;15, "Large")</f>
        <v>Small</v>
      </c>
      <c r="L254" t="str">
        <f t="shared" si="14"/>
        <v>Standard</v>
      </c>
      <c r="M254" t="str">
        <f t="shared" si="15"/>
        <v>Weekday</v>
      </c>
    </row>
    <row r="255" spans="1:13" x14ac:dyDescent="0.35">
      <c r="A255" t="s">
        <v>310</v>
      </c>
      <c r="B255" s="1">
        <v>45167</v>
      </c>
      <c r="C255" t="s">
        <v>253</v>
      </c>
      <c r="D255" t="s">
        <v>21</v>
      </c>
      <c r="E255" t="s">
        <v>18</v>
      </c>
      <c r="F255" s="4">
        <v>2636.6</v>
      </c>
      <c r="G255" s="5">
        <v>7</v>
      </c>
      <c r="H255" t="s">
        <v>15</v>
      </c>
      <c r="I255" t="str">
        <f t="shared" si="12"/>
        <v>2023-08</v>
      </c>
      <c r="J255" s="4">
        <f t="shared" si="13"/>
        <v>376.65714285714284</v>
      </c>
      <c r="K255" t="str" cm="1">
        <f t="array" ref="K255">_xlfn.IFS(G255&lt;=5, "Small", G255&lt;=15, "Medium", G255&gt;15, "Large")</f>
        <v>Medium</v>
      </c>
      <c r="L255" t="str">
        <f t="shared" si="14"/>
        <v>Standard</v>
      </c>
      <c r="M255" t="str">
        <f t="shared" si="15"/>
        <v>Weekday</v>
      </c>
    </row>
    <row r="256" spans="1:13" x14ac:dyDescent="0.35">
      <c r="A256" t="s">
        <v>311</v>
      </c>
      <c r="B256" s="1">
        <v>45345</v>
      </c>
      <c r="C256" t="s">
        <v>9</v>
      </c>
      <c r="D256" t="s">
        <v>10</v>
      </c>
      <c r="E256" t="s">
        <v>27</v>
      </c>
      <c r="F256" s="4">
        <v>35683.83</v>
      </c>
      <c r="G256" s="5">
        <v>3</v>
      </c>
      <c r="H256" t="s">
        <v>15</v>
      </c>
      <c r="I256" t="str">
        <f t="shared" si="12"/>
        <v>2024-02</v>
      </c>
      <c r="J256" s="4">
        <f t="shared" si="13"/>
        <v>11894.61</v>
      </c>
      <c r="K256" t="str" cm="1">
        <f t="array" ref="K256">_xlfn.IFS(G256&lt;=5, "Small", G256&lt;=15, "Medium", G256&gt;15, "Large")</f>
        <v>Small</v>
      </c>
      <c r="L256" t="str">
        <f t="shared" si="14"/>
        <v>VIP</v>
      </c>
      <c r="M256" t="str">
        <f t="shared" si="15"/>
        <v>Weekday</v>
      </c>
    </row>
    <row r="257" spans="1:13" x14ac:dyDescent="0.35">
      <c r="A257" t="s">
        <v>312</v>
      </c>
      <c r="B257" s="1">
        <v>45085</v>
      </c>
      <c r="C257" t="s">
        <v>30</v>
      </c>
      <c r="D257" t="s">
        <v>31</v>
      </c>
      <c r="E257" t="s">
        <v>27</v>
      </c>
      <c r="F257" s="4">
        <v>6917.64</v>
      </c>
      <c r="G257" s="5">
        <v>3</v>
      </c>
      <c r="H257" t="s">
        <v>15</v>
      </c>
      <c r="I257" t="str">
        <f t="shared" si="12"/>
        <v>2023-06</v>
      </c>
      <c r="J257" s="4">
        <f t="shared" si="13"/>
        <v>2305.88</v>
      </c>
      <c r="K257" t="str" cm="1">
        <f t="array" ref="K257">_xlfn.IFS(G257&lt;=5, "Small", G257&lt;=15, "Medium", G257&gt;15, "Large")</f>
        <v>Small</v>
      </c>
      <c r="L257" t="str">
        <f t="shared" si="14"/>
        <v>Standard</v>
      </c>
      <c r="M257" t="str">
        <f t="shared" si="15"/>
        <v>Weekday</v>
      </c>
    </row>
    <row r="258" spans="1:13" x14ac:dyDescent="0.35">
      <c r="A258" t="s">
        <v>313</v>
      </c>
      <c r="B258" s="1">
        <v>45577</v>
      </c>
      <c r="C258" t="s">
        <v>33</v>
      </c>
      <c r="D258" t="s">
        <v>10</v>
      </c>
      <c r="E258" t="s">
        <v>11</v>
      </c>
      <c r="F258" s="4">
        <v>13939.24</v>
      </c>
      <c r="G258" s="5">
        <v>2</v>
      </c>
      <c r="H258" t="s">
        <v>15</v>
      </c>
      <c r="I258" t="str">
        <f t="shared" si="12"/>
        <v>2024-10</v>
      </c>
      <c r="J258" s="4">
        <f t="shared" si="13"/>
        <v>6969.62</v>
      </c>
      <c r="K258" t="str" cm="1">
        <f t="array" ref="K258">_xlfn.IFS(G258&lt;=5, "Small", G258&lt;=15, "Medium", G258&gt;15, "Large")</f>
        <v>Small</v>
      </c>
      <c r="L258" t="str">
        <f t="shared" si="14"/>
        <v>Standard</v>
      </c>
      <c r="M258" t="str">
        <f t="shared" si="15"/>
        <v>Weekend</v>
      </c>
    </row>
    <row r="259" spans="1:13" x14ac:dyDescent="0.35">
      <c r="A259" t="s">
        <v>314</v>
      </c>
      <c r="B259" s="1">
        <v>45284</v>
      </c>
      <c r="C259" t="s">
        <v>33</v>
      </c>
      <c r="D259" t="s">
        <v>10</v>
      </c>
      <c r="E259" t="s">
        <v>11</v>
      </c>
      <c r="F259" s="4">
        <v>0</v>
      </c>
      <c r="G259" s="5">
        <v>3</v>
      </c>
      <c r="H259" t="s">
        <v>12</v>
      </c>
      <c r="I259" t="str">
        <f t="shared" ref="I259:I322" si="16">TEXT(B259, "YYYY-MM")</f>
        <v>2023-12</v>
      </c>
      <c r="J259" s="4">
        <f t="shared" ref="J259:J322" si="17">IFERROR(F259/G259, 0)</f>
        <v>0</v>
      </c>
      <c r="K259" t="str" cm="1">
        <f t="array" ref="K259">_xlfn.IFS(G259&lt;=5, "Small", G259&lt;=15, "Medium", G259&gt;15, "Large")</f>
        <v>Small</v>
      </c>
      <c r="L259" t="str">
        <f t="shared" ref="L259:L322" si="18">IF(F259&gt;_xlfn.PERCENTILE.INC($F$2:$F$10000, 0.9), "VIP", "Standard")</f>
        <v>Standard</v>
      </c>
      <c r="M259" t="str">
        <f t="shared" ref="M259:M322" si="19">IF(WEEKDAY(B259, 2)&gt;5, "Weekend", "Weekday")</f>
        <v>Weekend</v>
      </c>
    </row>
    <row r="260" spans="1:13" x14ac:dyDescent="0.35">
      <c r="A260" t="s">
        <v>315</v>
      </c>
      <c r="B260" s="1">
        <v>45194</v>
      </c>
      <c r="C260" t="s">
        <v>48</v>
      </c>
      <c r="D260" t="s">
        <v>31</v>
      </c>
      <c r="E260" t="s">
        <v>11</v>
      </c>
      <c r="F260" s="4">
        <v>0</v>
      </c>
      <c r="G260" s="5">
        <v>7</v>
      </c>
      <c r="H260" t="s">
        <v>12</v>
      </c>
      <c r="I260" t="str">
        <f t="shared" si="16"/>
        <v>2023-09</v>
      </c>
      <c r="J260" s="4">
        <f t="shared" si="17"/>
        <v>0</v>
      </c>
      <c r="K260" t="str" cm="1">
        <f t="array" ref="K260">_xlfn.IFS(G260&lt;=5, "Small", G260&lt;=15, "Medium", G260&gt;15, "Large")</f>
        <v>Medium</v>
      </c>
      <c r="L260" t="str">
        <f t="shared" si="18"/>
        <v>Standard</v>
      </c>
      <c r="M260" t="str">
        <f t="shared" si="19"/>
        <v>Weekday</v>
      </c>
    </row>
    <row r="261" spans="1:13" x14ac:dyDescent="0.35">
      <c r="A261" t="s">
        <v>316</v>
      </c>
      <c r="B261" s="1">
        <v>45443</v>
      </c>
      <c r="C261" t="s">
        <v>78</v>
      </c>
      <c r="D261" t="s">
        <v>31</v>
      </c>
      <c r="E261" t="s">
        <v>27</v>
      </c>
      <c r="F261" s="4">
        <v>14119.6</v>
      </c>
      <c r="G261" s="5">
        <v>5</v>
      </c>
      <c r="H261" t="s">
        <v>15</v>
      </c>
      <c r="I261" t="str">
        <f t="shared" si="16"/>
        <v>2024-05</v>
      </c>
      <c r="J261" s="4">
        <f t="shared" si="17"/>
        <v>2823.92</v>
      </c>
      <c r="K261" t="str" cm="1">
        <f t="array" ref="K261">_xlfn.IFS(G261&lt;=5, "Small", G261&lt;=15, "Medium", G261&gt;15, "Large")</f>
        <v>Small</v>
      </c>
      <c r="L261" t="str">
        <f t="shared" si="18"/>
        <v>Standard</v>
      </c>
      <c r="M261" t="str">
        <f t="shared" si="19"/>
        <v>Weekday</v>
      </c>
    </row>
    <row r="262" spans="1:13" x14ac:dyDescent="0.35">
      <c r="A262" t="s">
        <v>317</v>
      </c>
      <c r="B262" s="1">
        <v>44960</v>
      </c>
      <c r="C262" t="s">
        <v>9</v>
      </c>
      <c r="D262" t="s">
        <v>10</v>
      </c>
      <c r="E262" t="s">
        <v>27</v>
      </c>
      <c r="F262" s="4">
        <v>27123.05</v>
      </c>
      <c r="G262" s="5">
        <v>2</v>
      </c>
      <c r="H262" t="s">
        <v>15</v>
      </c>
      <c r="I262" t="str">
        <f t="shared" si="16"/>
        <v>2023-02</v>
      </c>
      <c r="J262" s="4">
        <f t="shared" si="17"/>
        <v>13561.525</v>
      </c>
      <c r="K262" t="str" cm="1">
        <f t="array" ref="K262">_xlfn.IFS(G262&lt;=5, "Small", G262&lt;=15, "Medium", G262&gt;15, "Large")</f>
        <v>Small</v>
      </c>
      <c r="L262" t="str">
        <f t="shared" si="18"/>
        <v>Standard</v>
      </c>
      <c r="M262" t="str">
        <f t="shared" si="19"/>
        <v>Weekday</v>
      </c>
    </row>
    <row r="263" spans="1:13" x14ac:dyDescent="0.35">
      <c r="A263" t="s">
        <v>318</v>
      </c>
      <c r="B263" s="1">
        <v>45467</v>
      </c>
      <c r="C263" t="s">
        <v>35</v>
      </c>
      <c r="D263" t="s">
        <v>26</v>
      </c>
      <c r="E263" t="s">
        <v>27</v>
      </c>
      <c r="F263" s="4">
        <v>30613.88</v>
      </c>
      <c r="G263" s="5">
        <v>5</v>
      </c>
      <c r="H263" t="s">
        <v>15</v>
      </c>
      <c r="I263" t="str">
        <f t="shared" si="16"/>
        <v>2024-06</v>
      </c>
      <c r="J263" s="4">
        <f t="shared" si="17"/>
        <v>6122.7759999999998</v>
      </c>
      <c r="K263" t="str" cm="1">
        <f t="array" ref="K263">_xlfn.IFS(G263&lt;=5, "Small", G263&lt;=15, "Medium", G263&gt;15, "Large")</f>
        <v>Small</v>
      </c>
      <c r="L263" t="str">
        <f t="shared" si="18"/>
        <v>VIP</v>
      </c>
      <c r="M263" t="str">
        <f t="shared" si="19"/>
        <v>Weekday</v>
      </c>
    </row>
    <row r="264" spans="1:13" x14ac:dyDescent="0.35">
      <c r="A264" t="s">
        <v>319</v>
      </c>
      <c r="B264" s="1">
        <v>45079</v>
      </c>
      <c r="C264" t="s">
        <v>20</v>
      </c>
      <c r="D264" t="s">
        <v>21</v>
      </c>
      <c r="E264" t="s">
        <v>27</v>
      </c>
      <c r="F264" s="4">
        <v>44731.18</v>
      </c>
      <c r="G264" s="5">
        <v>1</v>
      </c>
      <c r="H264" t="s">
        <v>15</v>
      </c>
      <c r="I264" t="str">
        <f t="shared" si="16"/>
        <v>2023-06</v>
      </c>
      <c r="J264" s="4">
        <f t="shared" si="17"/>
        <v>44731.18</v>
      </c>
      <c r="K264" t="str" cm="1">
        <f t="array" ref="K264">_xlfn.IFS(G264&lt;=5, "Small", G264&lt;=15, "Medium", G264&gt;15, "Large")</f>
        <v>Small</v>
      </c>
      <c r="L264" t="str">
        <f t="shared" si="18"/>
        <v>VIP</v>
      </c>
      <c r="M264" t="str">
        <f t="shared" si="19"/>
        <v>Weekday</v>
      </c>
    </row>
    <row r="265" spans="1:13" x14ac:dyDescent="0.35">
      <c r="A265" t="s">
        <v>320</v>
      </c>
      <c r="B265" s="1">
        <v>45433</v>
      </c>
      <c r="C265" t="s">
        <v>72</v>
      </c>
      <c r="D265" t="s">
        <v>26</v>
      </c>
      <c r="E265" t="s">
        <v>27</v>
      </c>
      <c r="F265" s="4">
        <v>0</v>
      </c>
      <c r="G265" s="5">
        <v>1</v>
      </c>
      <c r="H265" t="s">
        <v>12</v>
      </c>
      <c r="I265" t="str">
        <f t="shared" si="16"/>
        <v>2024-05</v>
      </c>
      <c r="J265" s="4">
        <f t="shared" si="17"/>
        <v>0</v>
      </c>
      <c r="K265" t="str" cm="1">
        <f t="array" ref="K265">_xlfn.IFS(G265&lt;=5, "Small", G265&lt;=15, "Medium", G265&gt;15, "Large")</f>
        <v>Small</v>
      </c>
      <c r="L265" t="str">
        <f t="shared" si="18"/>
        <v>Standard</v>
      </c>
      <c r="M265" t="str">
        <f t="shared" si="19"/>
        <v>Weekday</v>
      </c>
    </row>
    <row r="266" spans="1:13" x14ac:dyDescent="0.35">
      <c r="A266" t="s">
        <v>321</v>
      </c>
      <c r="B266" s="1">
        <v>44967</v>
      </c>
      <c r="C266" t="s">
        <v>20</v>
      </c>
      <c r="D266" t="s">
        <v>21</v>
      </c>
      <c r="E266" t="s">
        <v>27</v>
      </c>
      <c r="F266" s="4">
        <v>12215.08</v>
      </c>
      <c r="G266" s="5">
        <v>2</v>
      </c>
      <c r="H266" t="s">
        <v>15</v>
      </c>
      <c r="I266" t="str">
        <f t="shared" si="16"/>
        <v>2023-02</v>
      </c>
      <c r="J266" s="4">
        <f t="shared" si="17"/>
        <v>6107.54</v>
      </c>
      <c r="K266" t="str" cm="1">
        <f t="array" ref="K266">_xlfn.IFS(G266&lt;=5, "Small", G266&lt;=15, "Medium", G266&gt;15, "Large")</f>
        <v>Small</v>
      </c>
      <c r="L266" t="str">
        <f t="shared" si="18"/>
        <v>Standard</v>
      </c>
      <c r="M266" t="str">
        <f t="shared" si="19"/>
        <v>Weekday</v>
      </c>
    </row>
    <row r="267" spans="1:13" x14ac:dyDescent="0.35">
      <c r="A267" t="s">
        <v>322</v>
      </c>
      <c r="B267" s="1">
        <v>45235</v>
      </c>
      <c r="C267" t="s">
        <v>55</v>
      </c>
      <c r="D267" t="s">
        <v>10</v>
      </c>
      <c r="E267" t="s">
        <v>18</v>
      </c>
      <c r="F267" s="4">
        <v>1300.7</v>
      </c>
      <c r="G267" s="5">
        <v>18</v>
      </c>
      <c r="H267" t="s">
        <v>15</v>
      </c>
      <c r="I267" t="str">
        <f t="shared" si="16"/>
        <v>2023-11</v>
      </c>
      <c r="J267" s="4">
        <f t="shared" si="17"/>
        <v>72.26111111111112</v>
      </c>
      <c r="K267" t="str" cm="1">
        <f t="array" ref="K267">_xlfn.IFS(G267&lt;=5, "Small", G267&lt;=15, "Medium", G267&gt;15, "Large")</f>
        <v>Large</v>
      </c>
      <c r="L267" t="str">
        <f t="shared" si="18"/>
        <v>Standard</v>
      </c>
      <c r="M267" t="str">
        <f t="shared" si="19"/>
        <v>Weekend</v>
      </c>
    </row>
    <row r="268" spans="1:13" x14ac:dyDescent="0.35">
      <c r="A268" t="s">
        <v>323</v>
      </c>
      <c r="B268" s="1">
        <v>45167</v>
      </c>
      <c r="C268" t="s">
        <v>50</v>
      </c>
      <c r="D268" t="s">
        <v>26</v>
      </c>
      <c r="E268" t="s">
        <v>27</v>
      </c>
      <c r="F268" s="4">
        <v>7313.05</v>
      </c>
      <c r="G268" s="5">
        <v>1</v>
      </c>
      <c r="H268" t="s">
        <v>15</v>
      </c>
      <c r="I268" t="str">
        <f t="shared" si="16"/>
        <v>2023-08</v>
      </c>
      <c r="J268" s="4">
        <f t="shared" si="17"/>
        <v>7313.05</v>
      </c>
      <c r="K268" t="str" cm="1">
        <f t="array" ref="K268">_xlfn.IFS(G268&lt;=5, "Small", G268&lt;=15, "Medium", G268&gt;15, "Large")</f>
        <v>Small</v>
      </c>
      <c r="L268" t="str">
        <f t="shared" si="18"/>
        <v>Standard</v>
      </c>
      <c r="M268" t="str">
        <f t="shared" si="19"/>
        <v>Weekday</v>
      </c>
    </row>
    <row r="269" spans="1:13" x14ac:dyDescent="0.35">
      <c r="A269" t="s">
        <v>324</v>
      </c>
      <c r="B269" s="1">
        <v>45535</v>
      </c>
      <c r="C269" t="s">
        <v>78</v>
      </c>
      <c r="D269" t="s">
        <v>31</v>
      </c>
      <c r="E269" t="s">
        <v>18</v>
      </c>
      <c r="F269" s="4">
        <v>2476.34</v>
      </c>
      <c r="G269" s="5">
        <v>2</v>
      </c>
      <c r="H269" t="s">
        <v>15</v>
      </c>
      <c r="I269" t="str">
        <f t="shared" si="16"/>
        <v>2024-08</v>
      </c>
      <c r="J269" s="4">
        <f t="shared" si="17"/>
        <v>1238.17</v>
      </c>
      <c r="K269" t="str" cm="1">
        <f t="array" ref="K269">_xlfn.IFS(G269&lt;=5, "Small", G269&lt;=15, "Medium", G269&gt;15, "Large")</f>
        <v>Small</v>
      </c>
      <c r="L269" t="str">
        <f t="shared" si="18"/>
        <v>Standard</v>
      </c>
      <c r="M269" t="str">
        <f t="shared" si="19"/>
        <v>Weekend</v>
      </c>
    </row>
    <row r="270" spans="1:13" x14ac:dyDescent="0.35">
      <c r="A270" t="s">
        <v>325</v>
      </c>
      <c r="B270" s="1">
        <v>45243</v>
      </c>
      <c r="C270" t="s">
        <v>84</v>
      </c>
      <c r="D270" t="s">
        <v>26</v>
      </c>
      <c r="E270" t="s">
        <v>18</v>
      </c>
      <c r="F270" s="4">
        <v>471.09</v>
      </c>
      <c r="G270" s="5">
        <v>28</v>
      </c>
      <c r="H270" t="s">
        <v>15</v>
      </c>
      <c r="I270" t="str">
        <f t="shared" si="16"/>
        <v>2023-11</v>
      </c>
      <c r="J270" s="4">
        <f t="shared" si="17"/>
        <v>16.824642857142855</v>
      </c>
      <c r="K270" t="str" cm="1">
        <f t="array" ref="K270">_xlfn.IFS(G270&lt;=5, "Small", G270&lt;=15, "Medium", G270&gt;15, "Large")</f>
        <v>Large</v>
      </c>
      <c r="L270" t="str">
        <f t="shared" si="18"/>
        <v>Standard</v>
      </c>
      <c r="M270" t="str">
        <f t="shared" si="19"/>
        <v>Weekday</v>
      </c>
    </row>
    <row r="271" spans="1:13" x14ac:dyDescent="0.35">
      <c r="A271" t="s">
        <v>326</v>
      </c>
      <c r="B271" s="1">
        <v>45283</v>
      </c>
      <c r="C271" t="s">
        <v>50</v>
      </c>
      <c r="D271" t="s">
        <v>26</v>
      </c>
      <c r="E271" t="s">
        <v>27</v>
      </c>
      <c r="F271" s="4">
        <v>36913.11</v>
      </c>
      <c r="G271" s="5">
        <v>5</v>
      </c>
      <c r="H271" t="s">
        <v>15</v>
      </c>
      <c r="I271" t="str">
        <f t="shared" si="16"/>
        <v>2023-12</v>
      </c>
      <c r="J271" s="4">
        <f t="shared" si="17"/>
        <v>7382.6220000000003</v>
      </c>
      <c r="K271" t="str" cm="1">
        <f t="array" ref="K271">_xlfn.IFS(G271&lt;=5, "Small", G271&lt;=15, "Medium", G271&gt;15, "Large")</f>
        <v>Small</v>
      </c>
      <c r="L271" t="str">
        <f t="shared" si="18"/>
        <v>VIP</v>
      </c>
      <c r="M271" t="str">
        <f t="shared" si="19"/>
        <v>Weekend</v>
      </c>
    </row>
    <row r="272" spans="1:13" x14ac:dyDescent="0.35">
      <c r="A272" t="s">
        <v>327</v>
      </c>
      <c r="B272" s="1">
        <v>45503</v>
      </c>
      <c r="C272" t="s">
        <v>25</v>
      </c>
      <c r="D272" t="s">
        <v>26</v>
      </c>
      <c r="E272" t="s">
        <v>18</v>
      </c>
      <c r="F272" s="4">
        <v>1767.21</v>
      </c>
      <c r="G272" s="5">
        <v>26</v>
      </c>
      <c r="H272" t="s">
        <v>15</v>
      </c>
      <c r="I272" t="str">
        <f t="shared" si="16"/>
        <v>2024-07</v>
      </c>
      <c r="J272" s="4">
        <f t="shared" si="17"/>
        <v>67.969615384615381</v>
      </c>
      <c r="K272" t="str" cm="1">
        <f t="array" ref="K272">_xlfn.IFS(G272&lt;=5, "Small", G272&lt;=15, "Medium", G272&gt;15, "Large")</f>
        <v>Large</v>
      </c>
      <c r="L272" t="str">
        <f t="shared" si="18"/>
        <v>Standard</v>
      </c>
      <c r="M272" t="str">
        <f t="shared" si="19"/>
        <v>Weekday</v>
      </c>
    </row>
    <row r="273" spans="1:13" x14ac:dyDescent="0.35">
      <c r="A273" t="s">
        <v>328</v>
      </c>
      <c r="B273" s="1">
        <v>45490</v>
      </c>
      <c r="C273" t="s">
        <v>253</v>
      </c>
      <c r="D273" t="s">
        <v>21</v>
      </c>
      <c r="E273" t="s">
        <v>11</v>
      </c>
      <c r="F273" s="4">
        <v>8220.75</v>
      </c>
      <c r="G273" s="5">
        <v>7</v>
      </c>
      <c r="H273" t="s">
        <v>15</v>
      </c>
      <c r="I273" t="str">
        <f t="shared" si="16"/>
        <v>2024-07</v>
      </c>
      <c r="J273" s="4">
        <f t="shared" si="17"/>
        <v>1174.3928571428571</v>
      </c>
      <c r="K273" t="str" cm="1">
        <f t="array" ref="K273">_xlfn.IFS(G273&lt;=5, "Small", G273&lt;=15, "Medium", G273&gt;15, "Large")</f>
        <v>Medium</v>
      </c>
      <c r="L273" t="str">
        <f t="shared" si="18"/>
        <v>Standard</v>
      </c>
      <c r="M273" t="str">
        <f t="shared" si="19"/>
        <v>Weekday</v>
      </c>
    </row>
    <row r="274" spans="1:13" x14ac:dyDescent="0.35">
      <c r="A274" t="s">
        <v>329</v>
      </c>
      <c r="B274" s="1">
        <v>44992</v>
      </c>
      <c r="C274" t="s">
        <v>42</v>
      </c>
      <c r="D274" t="s">
        <v>10</v>
      </c>
      <c r="E274" t="s">
        <v>18</v>
      </c>
      <c r="F274" s="4">
        <v>2512.4299999999998</v>
      </c>
      <c r="G274" s="5">
        <v>26</v>
      </c>
      <c r="H274" t="s">
        <v>15</v>
      </c>
      <c r="I274" t="str">
        <f t="shared" si="16"/>
        <v>2023-03</v>
      </c>
      <c r="J274" s="4">
        <f t="shared" si="17"/>
        <v>96.631923076923073</v>
      </c>
      <c r="K274" t="str" cm="1">
        <f t="array" ref="K274">_xlfn.IFS(G274&lt;=5, "Small", G274&lt;=15, "Medium", G274&gt;15, "Large")</f>
        <v>Large</v>
      </c>
      <c r="L274" t="str">
        <f t="shared" si="18"/>
        <v>Standard</v>
      </c>
      <c r="M274" t="str">
        <f t="shared" si="19"/>
        <v>Weekday</v>
      </c>
    </row>
    <row r="275" spans="1:13" x14ac:dyDescent="0.35">
      <c r="A275" t="s">
        <v>330</v>
      </c>
      <c r="B275" s="1">
        <v>45109</v>
      </c>
      <c r="C275" t="s">
        <v>177</v>
      </c>
      <c r="D275" t="s">
        <v>26</v>
      </c>
      <c r="E275" t="s">
        <v>11</v>
      </c>
      <c r="F275" s="4">
        <v>1878.63</v>
      </c>
      <c r="G275" s="5">
        <v>4</v>
      </c>
      <c r="H275" t="s">
        <v>15</v>
      </c>
      <c r="I275" t="str">
        <f t="shared" si="16"/>
        <v>2023-07</v>
      </c>
      <c r="J275" s="4">
        <f t="shared" si="17"/>
        <v>469.65750000000003</v>
      </c>
      <c r="K275" t="str" cm="1">
        <f t="array" ref="K275">_xlfn.IFS(G275&lt;=5, "Small", G275&lt;=15, "Medium", G275&gt;15, "Large")</f>
        <v>Small</v>
      </c>
      <c r="L275" t="str">
        <f t="shared" si="18"/>
        <v>Standard</v>
      </c>
      <c r="M275" t="str">
        <f t="shared" si="19"/>
        <v>Weekend</v>
      </c>
    </row>
    <row r="276" spans="1:13" x14ac:dyDescent="0.35">
      <c r="A276" t="s">
        <v>331</v>
      </c>
      <c r="B276" s="1">
        <v>45476</v>
      </c>
      <c r="C276" t="s">
        <v>241</v>
      </c>
      <c r="D276" t="s">
        <v>31</v>
      </c>
      <c r="E276" t="s">
        <v>27</v>
      </c>
      <c r="F276" s="4">
        <v>17993.490000000002</v>
      </c>
      <c r="G276" s="5">
        <v>2</v>
      </c>
      <c r="H276" t="s">
        <v>15</v>
      </c>
      <c r="I276" t="str">
        <f t="shared" si="16"/>
        <v>2024-07</v>
      </c>
      <c r="J276" s="4">
        <f t="shared" si="17"/>
        <v>8996.7450000000008</v>
      </c>
      <c r="K276" t="str" cm="1">
        <f t="array" ref="K276">_xlfn.IFS(G276&lt;=5, "Small", G276&lt;=15, "Medium", G276&gt;15, "Large")</f>
        <v>Small</v>
      </c>
      <c r="L276" t="str">
        <f t="shared" si="18"/>
        <v>Standard</v>
      </c>
      <c r="M276" t="str">
        <f t="shared" si="19"/>
        <v>Weekday</v>
      </c>
    </row>
    <row r="277" spans="1:13" x14ac:dyDescent="0.35">
      <c r="A277" t="s">
        <v>332</v>
      </c>
      <c r="B277" s="1">
        <v>45158</v>
      </c>
      <c r="C277" t="s">
        <v>126</v>
      </c>
      <c r="D277" t="s">
        <v>21</v>
      </c>
      <c r="E277" t="s">
        <v>11</v>
      </c>
      <c r="F277" s="4">
        <v>15246.38</v>
      </c>
      <c r="G277" s="5">
        <v>2</v>
      </c>
      <c r="H277" t="s">
        <v>15</v>
      </c>
      <c r="I277" t="str">
        <f t="shared" si="16"/>
        <v>2023-08</v>
      </c>
      <c r="J277" s="4">
        <f t="shared" si="17"/>
        <v>7623.19</v>
      </c>
      <c r="K277" t="str" cm="1">
        <f t="array" ref="K277">_xlfn.IFS(G277&lt;=5, "Small", G277&lt;=15, "Medium", G277&gt;15, "Large")</f>
        <v>Small</v>
      </c>
      <c r="L277" t="str">
        <f t="shared" si="18"/>
        <v>Standard</v>
      </c>
      <c r="M277" t="str">
        <f t="shared" si="19"/>
        <v>Weekend</v>
      </c>
    </row>
    <row r="278" spans="1:13" x14ac:dyDescent="0.35">
      <c r="A278" t="s">
        <v>333</v>
      </c>
      <c r="B278" s="1">
        <v>45228</v>
      </c>
      <c r="C278" t="s">
        <v>9</v>
      </c>
      <c r="D278" t="s">
        <v>10</v>
      </c>
      <c r="E278" t="s">
        <v>18</v>
      </c>
      <c r="F278" s="4">
        <v>3350.65</v>
      </c>
      <c r="G278" s="5">
        <v>29</v>
      </c>
      <c r="H278" t="s">
        <v>15</v>
      </c>
      <c r="I278" t="str">
        <f t="shared" si="16"/>
        <v>2023-10</v>
      </c>
      <c r="J278" s="4">
        <f t="shared" si="17"/>
        <v>115.5396551724138</v>
      </c>
      <c r="K278" t="str" cm="1">
        <f t="array" ref="K278">_xlfn.IFS(G278&lt;=5, "Small", G278&lt;=15, "Medium", G278&gt;15, "Large")</f>
        <v>Large</v>
      </c>
      <c r="L278" t="str">
        <f t="shared" si="18"/>
        <v>Standard</v>
      </c>
      <c r="M278" t="str">
        <f t="shared" si="19"/>
        <v>Weekend</v>
      </c>
    </row>
    <row r="279" spans="1:13" x14ac:dyDescent="0.35">
      <c r="A279" t="s">
        <v>334</v>
      </c>
      <c r="B279" s="1">
        <v>45233</v>
      </c>
      <c r="C279" t="s">
        <v>253</v>
      </c>
      <c r="D279" t="s">
        <v>21</v>
      </c>
      <c r="E279" t="s">
        <v>27</v>
      </c>
      <c r="F279" s="4">
        <v>2173.83</v>
      </c>
      <c r="G279" s="5">
        <v>4</v>
      </c>
      <c r="H279" t="s">
        <v>15</v>
      </c>
      <c r="I279" t="str">
        <f t="shared" si="16"/>
        <v>2023-11</v>
      </c>
      <c r="J279" s="4">
        <f t="shared" si="17"/>
        <v>543.45749999999998</v>
      </c>
      <c r="K279" t="str" cm="1">
        <f t="array" ref="K279">_xlfn.IFS(G279&lt;=5, "Small", G279&lt;=15, "Medium", G279&gt;15, "Large")</f>
        <v>Small</v>
      </c>
      <c r="L279" t="str">
        <f t="shared" si="18"/>
        <v>Standard</v>
      </c>
      <c r="M279" t="str">
        <f t="shared" si="19"/>
        <v>Weekday</v>
      </c>
    </row>
    <row r="280" spans="1:13" x14ac:dyDescent="0.35">
      <c r="A280" t="s">
        <v>335</v>
      </c>
      <c r="B280" s="1">
        <v>44954</v>
      </c>
      <c r="C280" t="s">
        <v>37</v>
      </c>
      <c r="D280" t="s">
        <v>21</v>
      </c>
      <c r="E280" t="s">
        <v>18</v>
      </c>
      <c r="F280" s="4">
        <v>2636.59</v>
      </c>
      <c r="G280" s="5">
        <v>13</v>
      </c>
      <c r="H280" t="s">
        <v>15</v>
      </c>
      <c r="I280" t="str">
        <f t="shared" si="16"/>
        <v>2023-01</v>
      </c>
      <c r="J280" s="4">
        <f t="shared" si="17"/>
        <v>202.81461538461539</v>
      </c>
      <c r="K280" t="str" cm="1">
        <f t="array" ref="K280">_xlfn.IFS(G280&lt;=5, "Small", G280&lt;=15, "Medium", G280&gt;15, "Large")</f>
        <v>Medium</v>
      </c>
      <c r="L280" t="str">
        <f t="shared" si="18"/>
        <v>Standard</v>
      </c>
      <c r="M280" t="str">
        <f t="shared" si="19"/>
        <v>Weekend</v>
      </c>
    </row>
    <row r="281" spans="1:13" x14ac:dyDescent="0.35">
      <c r="A281" t="s">
        <v>336</v>
      </c>
      <c r="B281" s="1">
        <v>45390</v>
      </c>
      <c r="C281" t="s">
        <v>55</v>
      </c>
      <c r="D281" t="s">
        <v>10</v>
      </c>
      <c r="E281" t="s">
        <v>27</v>
      </c>
      <c r="F281" s="4">
        <v>6816.14</v>
      </c>
      <c r="G281" s="5">
        <v>5</v>
      </c>
      <c r="H281" t="s">
        <v>15</v>
      </c>
      <c r="I281" t="str">
        <f t="shared" si="16"/>
        <v>2024-04</v>
      </c>
      <c r="J281" s="4">
        <f t="shared" si="17"/>
        <v>1363.2280000000001</v>
      </c>
      <c r="K281" t="str" cm="1">
        <f t="array" ref="K281">_xlfn.IFS(G281&lt;=5, "Small", G281&lt;=15, "Medium", G281&gt;15, "Large")</f>
        <v>Small</v>
      </c>
      <c r="L281" t="str">
        <f t="shared" si="18"/>
        <v>Standard</v>
      </c>
      <c r="M281" t="str">
        <f t="shared" si="19"/>
        <v>Weekday</v>
      </c>
    </row>
    <row r="282" spans="1:13" x14ac:dyDescent="0.35">
      <c r="A282" t="s">
        <v>337</v>
      </c>
      <c r="B282" s="1">
        <v>45350</v>
      </c>
      <c r="C282" t="s">
        <v>50</v>
      </c>
      <c r="D282" t="s">
        <v>26</v>
      </c>
      <c r="E282" t="s">
        <v>18</v>
      </c>
      <c r="F282" s="4">
        <v>0</v>
      </c>
      <c r="G282" s="5">
        <v>29</v>
      </c>
      <c r="H282" t="s">
        <v>28</v>
      </c>
      <c r="I282" t="str">
        <f t="shared" si="16"/>
        <v>2024-02</v>
      </c>
      <c r="J282" s="4">
        <f t="shared" si="17"/>
        <v>0</v>
      </c>
      <c r="K282" t="str" cm="1">
        <f t="array" ref="K282">_xlfn.IFS(G282&lt;=5, "Small", G282&lt;=15, "Medium", G282&gt;15, "Large")</f>
        <v>Large</v>
      </c>
      <c r="L282" t="str">
        <f t="shared" si="18"/>
        <v>Standard</v>
      </c>
      <c r="M282" t="str">
        <f t="shared" si="19"/>
        <v>Weekday</v>
      </c>
    </row>
    <row r="283" spans="1:13" x14ac:dyDescent="0.35">
      <c r="A283" t="s">
        <v>338</v>
      </c>
      <c r="B283" s="1">
        <v>44978</v>
      </c>
      <c r="C283" t="s">
        <v>17</v>
      </c>
      <c r="D283" t="s">
        <v>10</v>
      </c>
      <c r="E283" t="s">
        <v>18</v>
      </c>
      <c r="F283" s="4">
        <v>2034.63</v>
      </c>
      <c r="G283" s="5">
        <v>3</v>
      </c>
      <c r="H283" t="s">
        <v>15</v>
      </c>
      <c r="I283" t="str">
        <f t="shared" si="16"/>
        <v>2023-02</v>
      </c>
      <c r="J283" s="4">
        <f t="shared" si="17"/>
        <v>678.21</v>
      </c>
      <c r="K283" t="str" cm="1">
        <f t="array" ref="K283">_xlfn.IFS(G283&lt;=5, "Small", G283&lt;=15, "Medium", G283&gt;15, "Large")</f>
        <v>Small</v>
      </c>
      <c r="L283" t="str">
        <f t="shared" si="18"/>
        <v>Standard</v>
      </c>
      <c r="M283" t="str">
        <f t="shared" si="19"/>
        <v>Weekday</v>
      </c>
    </row>
    <row r="284" spans="1:13" x14ac:dyDescent="0.35">
      <c r="A284" t="s">
        <v>339</v>
      </c>
      <c r="B284" s="1">
        <v>45176</v>
      </c>
      <c r="C284" t="s">
        <v>42</v>
      </c>
      <c r="D284" t="s">
        <v>10</v>
      </c>
      <c r="E284" t="s">
        <v>27</v>
      </c>
      <c r="F284" s="4">
        <v>15429.74</v>
      </c>
      <c r="G284" s="5">
        <v>4</v>
      </c>
      <c r="H284" t="s">
        <v>15</v>
      </c>
      <c r="I284" t="str">
        <f t="shared" si="16"/>
        <v>2023-09</v>
      </c>
      <c r="J284" s="4">
        <f t="shared" si="17"/>
        <v>3857.4349999999999</v>
      </c>
      <c r="K284" t="str" cm="1">
        <f t="array" ref="K284">_xlfn.IFS(G284&lt;=5, "Small", G284&lt;=15, "Medium", G284&gt;15, "Large")</f>
        <v>Small</v>
      </c>
      <c r="L284" t="str">
        <f t="shared" si="18"/>
        <v>Standard</v>
      </c>
      <c r="M284" t="str">
        <f t="shared" si="19"/>
        <v>Weekday</v>
      </c>
    </row>
    <row r="285" spans="1:13" x14ac:dyDescent="0.35">
      <c r="A285" t="s">
        <v>340</v>
      </c>
      <c r="B285" s="1">
        <v>45001</v>
      </c>
      <c r="C285" t="s">
        <v>62</v>
      </c>
      <c r="D285" t="s">
        <v>10</v>
      </c>
      <c r="E285" t="s">
        <v>27</v>
      </c>
      <c r="F285" s="4">
        <v>12388.59</v>
      </c>
      <c r="G285" s="5">
        <v>1</v>
      </c>
      <c r="H285" t="s">
        <v>15</v>
      </c>
      <c r="I285" t="str">
        <f t="shared" si="16"/>
        <v>2023-03</v>
      </c>
      <c r="J285" s="4">
        <f t="shared" si="17"/>
        <v>12388.59</v>
      </c>
      <c r="K285" t="str" cm="1">
        <f t="array" ref="K285">_xlfn.IFS(G285&lt;=5, "Small", G285&lt;=15, "Medium", G285&gt;15, "Large")</f>
        <v>Small</v>
      </c>
      <c r="L285" t="str">
        <f t="shared" si="18"/>
        <v>Standard</v>
      </c>
      <c r="M285" t="str">
        <f t="shared" si="19"/>
        <v>Weekday</v>
      </c>
    </row>
    <row r="286" spans="1:13" x14ac:dyDescent="0.35">
      <c r="A286" t="s">
        <v>341</v>
      </c>
      <c r="B286" s="1">
        <v>45043</v>
      </c>
      <c r="C286" t="s">
        <v>30</v>
      </c>
      <c r="D286" t="s">
        <v>31</v>
      </c>
      <c r="E286" t="s">
        <v>27</v>
      </c>
      <c r="F286" s="4">
        <v>897.11</v>
      </c>
      <c r="G286" s="5">
        <v>3</v>
      </c>
      <c r="H286" t="s">
        <v>15</v>
      </c>
      <c r="I286" t="str">
        <f t="shared" si="16"/>
        <v>2023-04</v>
      </c>
      <c r="J286" s="4">
        <f t="shared" si="17"/>
        <v>299.03666666666669</v>
      </c>
      <c r="K286" t="str" cm="1">
        <f t="array" ref="K286">_xlfn.IFS(G286&lt;=5, "Small", G286&lt;=15, "Medium", G286&gt;15, "Large")</f>
        <v>Small</v>
      </c>
      <c r="L286" t="str">
        <f t="shared" si="18"/>
        <v>Standard</v>
      </c>
      <c r="M286" t="str">
        <f t="shared" si="19"/>
        <v>Weekday</v>
      </c>
    </row>
    <row r="287" spans="1:13" x14ac:dyDescent="0.35">
      <c r="A287" t="s">
        <v>342</v>
      </c>
      <c r="B287" s="1">
        <v>45502</v>
      </c>
      <c r="C287" t="s">
        <v>55</v>
      </c>
      <c r="D287" t="s">
        <v>10</v>
      </c>
      <c r="E287" t="s">
        <v>18</v>
      </c>
      <c r="F287" s="4">
        <v>2606.0700000000002</v>
      </c>
      <c r="G287" s="5">
        <v>8</v>
      </c>
      <c r="H287" t="s">
        <v>15</v>
      </c>
      <c r="I287" t="str">
        <f t="shared" si="16"/>
        <v>2024-07</v>
      </c>
      <c r="J287" s="4">
        <f t="shared" si="17"/>
        <v>325.75875000000002</v>
      </c>
      <c r="K287" t="str" cm="1">
        <f t="array" ref="K287">_xlfn.IFS(G287&lt;=5, "Small", G287&lt;=15, "Medium", G287&gt;15, "Large")</f>
        <v>Medium</v>
      </c>
      <c r="L287" t="str">
        <f t="shared" si="18"/>
        <v>Standard</v>
      </c>
      <c r="M287" t="str">
        <f t="shared" si="19"/>
        <v>Weekday</v>
      </c>
    </row>
    <row r="288" spans="1:13" x14ac:dyDescent="0.35">
      <c r="A288" t="s">
        <v>343</v>
      </c>
      <c r="B288" s="1">
        <v>45560</v>
      </c>
      <c r="C288" t="s">
        <v>160</v>
      </c>
      <c r="D288" t="s">
        <v>26</v>
      </c>
      <c r="E288" t="s">
        <v>18</v>
      </c>
      <c r="F288" s="4">
        <v>3372.84</v>
      </c>
      <c r="G288" s="5">
        <v>22</v>
      </c>
      <c r="H288" t="s">
        <v>15</v>
      </c>
      <c r="I288" t="str">
        <f t="shared" si="16"/>
        <v>2024-09</v>
      </c>
      <c r="J288" s="4">
        <f t="shared" si="17"/>
        <v>153.31090909090909</v>
      </c>
      <c r="K288" t="str" cm="1">
        <f t="array" ref="K288">_xlfn.IFS(G288&lt;=5, "Small", G288&lt;=15, "Medium", G288&gt;15, "Large")</f>
        <v>Large</v>
      </c>
      <c r="L288" t="str">
        <f t="shared" si="18"/>
        <v>Standard</v>
      </c>
      <c r="M288" t="str">
        <f t="shared" si="19"/>
        <v>Weekday</v>
      </c>
    </row>
    <row r="289" spans="1:13" x14ac:dyDescent="0.35">
      <c r="A289" t="s">
        <v>344</v>
      </c>
      <c r="B289" s="1">
        <v>45142</v>
      </c>
      <c r="C289" t="s">
        <v>74</v>
      </c>
      <c r="D289" t="s">
        <v>31</v>
      </c>
      <c r="E289" t="s">
        <v>18</v>
      </c>
      <c r="F289" s="4">
        <v>0</v>
      </c>
      <c r="G289" s="5">
        <v>26</v>
      </c>
      <c r="H289" t="s">
        <v>12</v>
      </c>
      <c r="I289" t="str">
        <f t="shared" si="16"/>
        <v>2023-08</v>
      </c>
      <c r="J289" s="4">
        <f t="shared" si="17"/>
        <v>0</v>
      </c>
      <c r="K289" t="str" cm="1">
        <f t="array" ref="K289">_xlfn.IFS(G289&lt;=5, "Small", G289&lt;=15, "Medium", G289&gt;15, "Large")</f>
        <v>Large</v>
      </c>
      <c r="L289" t="str">
        <f t="shared" si="18"/>
        <v>Standard</v>
      </c>
      <c r="M289" t="str">
        <f t="shared" si="19"/>
        <v>Weekday</v>
      </c>
    </row>
    <row r="290" spans="1:13" x14ac:dyDescent="0.35">
      <c r="A290" t="s">
        <v>345</v>
      </c>
      <c r="B290" s="1">
        <v>45493</v>
      </c>
      <c r="C290" t="s">
        <v>115</v>
      </c>
      <c r="D290" t="s">
        <v>10</v>
      </c>
      <c r="E290" t="s">
        <v>18</v>
      </c>
      <c r="F290" s="4">
        <v>776.67</v>
      </c>
      <c r="G290" s="5">
        <v>11</v>
      </c>
      <c r="H290" t="s">
        <v>15</v>
      </c>
      <c r="I290" t="str">
        <f t="shared" si="16"/>
        <v>2024-07</v>
      </c>
      <c r="J290" s="4">
        <f t="shared" si="17"/>
        <v>70.606363636363639</v>
      </c>
      <c r="K290" t="str" cm="1">
        <f t="array" ref="K290">_xlfn.IFS(G290&lt;=5, "Small", G290&lt;=15, "Medium", G290&gt;15, "Large")</f>
        <v>Medium</v>
      </c>
      <c r="L290" t="str">
        <f t="shared" si="18"/>
        <v>Standard</v>
      </c>
      <c r="M290" t="str">
        <f t="shared" si="19"/>
        <v>Weekend</v>
      </c>
    </row>
    <row r="291" spans="1:13" x14ac:dyDescent="0.35">
      <c r="A291" t="s">
        <v>346</v>
      </c>
      <c r="B291" s="1">
        <v>45555</v>
      </c>
      <c r="C291" t="s">
        <v>42</v>
      </c>
      <c r="D291" t="s">
        <v>10</v>
      </c>
      <c r="E291" t="s">
        <v>18</v>
      </c>
      <c r="F291" s="4">
        <v>1951.34</v>
      </c>
      <c r="G291" s="5">
        <v>25</v>
      </c>
      <c r="H291" t="s">
        <v>15</v>
      </c>
      <c r="I291" t="str">
        <f t="shared" si="16"/>
        <v>2024-09</v>
      </c>
      <c r="J291" s="4">
        <f t="shared" si="17"/>
        <v>78.053600000000003</v>
      </c>
      <c r="K291" t="str" cm="1">
        <f t="array" ref="K291">_xlfn.IFS(G291&lt;=5, "Small", G291&lt;=15, "Medium", G291&gt;15, "Large")</f>
        <v>Large</v>
      </c>
      <c r="L291" t="str">
        <f t="shared" si="18"/>
        <v>Standard</v>
      </c>
      <c r="M291" t="str">
        <f t="shared" si="19"/>
        <v>Weekday</v>
      </c>
    </row>
    <row r="292" spans="1:13" x14ac:dyDescent="0.35">
      <c r="A292" t="s">
        <v>347</v>
      </c>
      <c r="B292" s="1">
        <v>45034</v>
      </c>
      <c r="C292" t="s">
        <v>17</v>
      </c>
      <c r="D292" t="s">
        <v>10</v>
      </c>
      <c r="E292" t="s">
        <v>18</v>
      </c>
      <c r="F292" s="4">
        <v>2383.9899999999998</v>
      </c>
      <c r="G292" s="5">
        <v>4</v>
      </c>
      <c r="H292" t="s">
        <v>15</v>
      </c>
      <c r="I292" t="str">
        <f t="shared" si="16"/>
        <v>2023-04</v>
      </c>
      <c r="J292" s="4">
        <f t="shared" si="17"/>
        <v>595.99749999999995</v>
      </c>
      <c r="K292" t="str" cm="1">
        <f t="array" ref="K292">_xlfn.IFS(G292&lt;=5, "Small", G292&lt;=15, "Medium", G292&gt;15, "Large")</f>
        <v>Small</v>
      </c>
      <c r="L292" t="str">
        <f t="shared" si="18"/>
        <v>Standard</v>
      </c>
      <c r="M292" t="str">
        <f t="shared" si="19"/>
        <v>Weekday</v>
      </c>
    </row>
    <row r="293" spans="1:13" x14ac:dyDescent="0.35">
      <c r="A293" t="s">
        <v>348</v>
      </c>
      <c r="B293" s="1">
        <v>45191</v>
      </c>
      <c r="C293" t="s">
        <v>162</v>
      </c>
      <c r="D293" t="s">
        <v>26</v>
      </c>
      <c r="E293" t="s">
        <v>18</v>
      </c>
      <c r="F293" s="4">
        <v>0</v>
      </c>
      <c r="G293" s="5">
        <v>23</v>
      </c>
      <c r="H293" t="s">
        <v>28</v>
      </c>
      <c r="I293" t="str">
        <f t="shared" si="16"/>
        <v>2023-09</v>
      </c>
      <c r="J293" s="4">
        <f t="shared" si="17"/>
        <v>0</v>
      </c>
      <c r="K293" t="str" cm="1">
        <f t="array" ref="K293">_xlfn.IFS(G293&lt;=5, "Small", G293&lt;=15, "Medium", G293&gt;15, "Large")</f>
        <v>Large</v>
      </c>
      <c r="L293" t="str">
        <f t="shared" si="18"/>
        <v>Standard</v>
      </c>
      <c r="M293" t="str">
        <f t="shared" si="19"/>
        <v>Weekday</v>
      </c>
    </row>
    <row r="294" spans="1:13" x14ac:dyDescent="0.35">
      <c r="A294" t="s">
        <v>349</v>
      </c>
      <c r="B294" s="1">
        <v>45045</v>
      </c>
      <c r="C294" t="s">
        <v>30</v>
      </c>
      <c r="D294" t="s">
        <v>31</v>
      </c>
      <c r="E294" t="s">
        <v>18</v>
      </c>
      <c r="F294" s="4">
        <v>518.04</v>
      </c>
      <c r="G294" s="5">
        <v>15</v>
      </c>
      <c r="H294" t="s">
        <v>15</v>
      </c>
      <c r="I294" t="str">
        <f t="shared" si="16"/>
        <v>2023-04</v>
      </c>
      <c r="J294" s="4">
        <f t="shared" si="17"/>
        <v>34.535999999999994</v>
      </c>
      <c r="K294" t="str" cm="1">
        <f t="array" ref="K294">_xlfn.IFS(G294&lt;=5, "Small", G294&lt;=15, "Medium", G294&gt;15, "Large")</f>
        <v>Medium</v>
      </c>
      <c r="L294" t="str">
        <f t="shared" si="18"/>
        <v>Standard</v>
      </c>
      <c r="M294" t="str">
        <f t="shared" si="19"/>
        <v>Weekend</v>
      </c>
    </row>
    <row r="295" spans="1:13" x14ac:dyDescent="0.35">
      <c r="A295" t="s">
        <v>350</v>
      </c>
      <c r="B295" s="1">
        <v>45196</v>
      </c>
      <c r="C295" t="s">
        <v>45</v>
      </c>
      <c r="D295" t="s">
        <v>21</v>
      </c>
      <c r="E295" t="s">
        <v>18</v>
      </c>
      <c r="F295" s="4">
        <v>3198.57</v>
      </c>
      <c r="G295" s="5">
        <v>28</v>
      </c>
      <c r="H295" t="s">
        <v>15</v>
      </c>
      <c r="I295" t="str">
        <f t="shared" si="16"/>
        <v>2023-09</v>
      </c>
      <c r="J295" s="4">
        <f t="shared" si="17"/>
        <v>114.23464285714286</v>
      </c>
      <c r="K295" t="str" cm="1">
        <f t="array" ref="K295">_xlfn.IFS(G295&lt;=5, "Small", G295&lt;=15, "Medium", G295&gt;15, "Large")</f>
        <v>Large</v>
      </c>
      <c r="L295" t="str">
        <f t="shared" si="18"/>
        <v>Standard</v>
      </c>
      <c r="M295" t="str">
        <f t="shared" si="19"/>
        <v>Weekday</v>
      </c>
    </row>
    <row r="296" spans="1:13" x14ac:dyDescent="0.35">
      <c r="A296" t="s">
        <v>351</v>
      </c>
      <c r="B296" s="1">
        <v>45196</v>
      </c>
      <c r="C296" t="s">
        <v>177</v>
      </c>
      <c r="D296" t="s">
        <v>26</v>
      </c>
      <c r="E296" t="s">
        <v>18</v>
      </c>
      <c r="F296" s="4">
        <v>1233.68</v>
      </c>
      <c r="G296" s="5">
        <v>6</v>
      </c>
      <c r="H296" t="s">
        <v>15</v>
      </c>
      <c r="I296" t="str">
        <f t="shared" si="16"/>
        <v>2023-09</v>
      </c>
      <c r="J296" s="4">
        <f t="shared" si="17"/>
        <v>205.61333333333334</v>
      </c>
      <c r="K296" t="str" cm="1">
        <f t="array" ref="K296">_xlfn.IFS(G296&lt;=5, "Small", G296&lt;=15, "Medium", G296&gt;15, "Large")</f>
        <v>Medium</v>
      </c>
      <c r="L296" t="str">
        <f t="shared" si="18"/>
        <v>Standard</v>
      </c>
      <c r="M296" t="str">
        <f t="shared" si="19"/>
        <v>Weekday</v>
      </c>
    </row>
    <row r="297" spans="1:13" x14ac:dyDescent="0.35">
      <c r="A297" t="s">
        <v>352</v>
      </c>
      <c r="B297" s="1">
        <v>44968</v>
      </c>
      <c r="C297" t="s">
        <v>33</v>
      </c>
      <c r="D297" t="s">
        <v>10</v>
      </c>
      <c r="E297" t="s">
        <v>27</v>
      </c>
      <c r="F297" s="4">
        <v>17807.330000000002</v>
      </c>
      <c r="G297" s="5">
        <v>4</v>
      </c>
      <c r="H297" t="s">
        <v>15</v>
      </c>
      <c r="I297" t="str">
        <f t="shared" si="16"/>
        <v>2023-02</v>
      </c>
      <c r="J297" s="4">
        <f t="shared" si="17"/>
        <v>4451.8325000000004</v>
      </c>
      <c r="K297" t="str" cm="1">
        <f t="array" ref="K297">_xlfn.IFS(G297&lt;=5, "Small", G297&lt;=15, "Medium", G297&gt;15, "Large")</f>
        <v>Small</v>
      </c>
      <c r="L297" t="str">
        <f t="shared" si="18"/>
        <v>Standard</v>
      </c>
      <c r="M297" t="str">
        <f t="shared" si="19"/>
        <v>Weekend</v>
      </c>
    </row>
    <row r="298" spans="1:13" x14ac:dyDescent="0.35">
      <c r="A298" t="s">
        <v>353</v>
      </c>
      <c r="B298" s="1">
        <v>45142</v>
      </c>
      <c r="C298" t="s">
        <v>50</v>
      </c>
      <c r="D298" t="s">
        <v>26</v>
      </c>
      <c r="E298" t="s">
        <v>11</v>
      </c>
      <c r="F298" s="4">
        <v>14627.93</v>
      </c>
      <c r="G298" s="5">
        <v>3</v>
      </c>
      <c r="H298" t="s">
        <v>15</v>
      </c>
      <c r="I298" t="str">
        <f t="shared" si="16"/>
        <v>2023-08</v>
      </c>
      <c r="J298" s="4">
        <f t="shared" si="17"/>
        <v>4875.9766666666665</v>
      </c>
      <c r="K298" t="str" cm="1">
        <f t="array" ref="K298">_xlfn.IFS(G298&lt;=5, "Small", G298&lt;=15, "Medium", G298&gt;15, "Large")</f>
        <v>Small</v>
      </c>
      <c r="L298" t="str">
        <f t="shared" si="18"/>
        <v>Standard</v>
      </c>
      <c r="M298" t="str">
        <f t="shared" si="19"/>
        <v>Weekday</v>
      </c>
    </row>
    <row r="299" spans="1:13" x14ac:dyDescent="0.35">
      <c r="A299" t="s">
        <v>354</v>
      </c>
      <c r="B299" s="1">
        <v>45620</v>
      </c>
      <c r="C299" t="s">
        <v>166</v>
      </c>
      <c r="D299" t="s">
        <v>26</v>
      </c>
      <c r="E299" t="s">
        <v>27</v>
      </c>
      <c r="F299" s="4">
        <v>30537.84</v>
      </c>
      <c r="G299" s="5">
        <v>1</v>
      </c>
      <c r="H299" t="s">
        <v>15</v>
      </c>
      <c r="I299" t="str">
        <f t="shared" si="16"/>
        <v>2024-11</v>
      </c>
      <c r="J299" s="4">
        <f t="shared" si="17"/>
        <v>30537.84</v>
      </c>
      <c r="K299" t="str" cm="1">
        <f t="array" ref="K299">_xlfn.IFS(G299&lt;=5, "Small", G299&lt;=15, "Medium", G299&gt;15, "Large")</f>
        <v>Small</v>
      </c>
      <c r="L299" t="str">
        <f t="shared" si="18"/>
        <v>VIP</v>
      </c>
      <c r="M299" t="str">
        <f t="shared" si="19"/>
        <v>Weekend</v>
      </c>
    </row>
    <row r="300" spans="1:13" x14ac:dyDescent="0.35">
      <c r="A300" t="s">
        <v>355</v>
      </c>
      <c r="B300" s="1">
        <v>45105</v>
      </c>
      <c r="C300" t="s">
        <v>160</v>
      </c>
      <c r="D300" t="s">
        <v>26</v>
      </c>
      <c r="E300" t="s">
        <v>11</v>
      </c>
      <c r="F300" s="4">
        <v>9998.49</v>
      </c>
      <c r="G300" s="5">
        <v>1</v>
      </c>
      <c r="H300" t="s">
        <v>15</v>
      </c>
      <c r="I300" t="str">
        <f t="shared" si="16"/>
        <v>2023-06</v>
      </c>
      <c r="J300" s="4">
        <f t="shared" si="17"/>
        <v>9998.49</v>
      </c>
      <c r="K300" t="str" cm="1">
        <f t="array" ref="K300">_xlfn.IFS(G300&lt;=5, "Small", G300&lt;=15, "Medium", G300&gt;15, "Large")</f>
        <v>Small</v>
      </c>
      <c r="L300" t="str">
        <f t="shared" si="18"/>
        <v>Standard</v>
      </c>
      <c r="M300" t="str">
        <f t="shared" si="19"/>
        <v>Weekday</v>
      </c>
    </row>
    <row r="301" spans="1:13" x14ac:dyDescent="0.35">
      <c r="A301" t="s">
        <v>356</v>
      </c>
      <c r="B301" s="1">
        <v>45431</v>
      </c>
      <c r="C301" t="s">
        <v>23</v>
      </c>
      <c r="D301" t="s">
        <v>21</v>
      </c>
      <c r="E301" t="s">
        <v>11</v>
      </c>
      <c r="F301" s="4">
        <v>2095.29</v>
      </c>
      <c r="G301" s="5">
        <v>8</v>
      </c>
      <c r="H301" t="s">
        <v>15</v>
      </c>
      <c r="I301" t="str">
        <f t="shared" si="16"/>
        <v>2024-05</v>
      </c>
      <c r="J301" s="4">
        <f t="shared" si="17"/>
        <v>261.91125</v>
      </c>
      <c r="K301" t="str" cm="1">
        <f t="array" ref="K301">_xlfn.IFS(G301&lt;=5, "Small", G301&lt;=15, "Medium", G301&gt;15, "Large")</f>
        <v>Medium</v>
      </c>
      <c r="L301" t="str">
        <f t="shared" si="18"/>
        <v>Standard</v>
      </c>
      <c r="M301" t="str">
        <f t="shared" si="19"/>
        <v>Weekend</v>
      </c>
    </row>
    <row r="302" spans="1:13" x14ac:dyDescent="0.35">
      <c r="A302" t="s">
        <v>357</v>
      </c>
      <c r="B302" s="1">
        <v>45206</v>
      </c>
      <c r="C302" t="s">
        <v>115</v>
      </c>
      <c r="D302" t="s">
        <v>10</v>
      </c>
      <c r="E302" t="s">
        <v>27</v>
      </c>
      <c r="F302" s="4">
        <v>12895.19</v>
      </c>
      <c r="G302" s="5">
        <v>1</v>
      </c>
      <c r="H302" t="s">
        <v>15</v>
      </c>
      <c r="I302" t="str">
        <f t="shared" si="16"/>
        <v>2023-10</v>
      </c>
      <c r="J302" s="4">
        <f t="shared" si="17"/>
        <v>12895.19</v>
      </c>
      <c r="K302" t="str" cm="1">
        <f t="array" ref="K302">_xlfn.IFS(G302&lt;=5, "Small", G302&lt;=15, "Medium", G302&gt;15, "Large")</f>
        <v>Small</v>
      </c>
      <c r="L302" t="str">
        <f t="shared" si="18"/>
        <v>Standard</v>
      </c>
      <c r="M302" t="str">
        <f t="shared" si="19"/>
        <v>Weekend</v>
      </c>
    </row>
    <row r="303" spans="1:13" x14ac:dyDescent="0.35">
      <c r="A303" t="s">
        <v>358</v>
      </c>
      <c r="B303" s="1">
        <v>45434</v>
      </c>
      <c r="C303" t="s">
        <v>23</v>
      </c>
      <c r="D303" t="s">
        <v>21</v>
      </c>
      <c r="E303" t="s">
        <v>27</v>
      </c>
      <c r="F303" s="4">
        <v>15737.77</v>
      </c>
      <c r="G303" s="5">
        <v>2</v>
      </c>
      <c r="H303" t="s">
        <v>15</v>
      </c>
      <c r="I303" t="str">
        <f t="shared" si="16"/>
        <v>2024-05</v>
      </c>
      <c r="J303" s="4">
        <f t="shared" si="17"/>
        <v>7868.8850000000002</v>
      </c>
      <c r="K303" t="str" cm="1">
        <f t="array" ref="K303">_xlfn.IFS(G303&lt;=5, "Small", G303&lt;=15, "Medium", G303&gt;15, "Large")</f>
        <v>Small</v>
      </c>
      <c r="L303" t="str">
        <f t="shared" si="18"/>
        <v>Standard</v>
      </c>
      <c r="M303" t="str">
        <f t="shared" si="19"/>
        <v>Weekday</v>
      </c>
    </row>
    <row r="304" spans="1:13" x14ac:dyDescent="0.35">
      <c r="A304" t="s">
        <v>359</v>
      </c>
      <c r="B304" s="1">
        <v>45173</v>
      </c>
      <c r="C304" t="s">
        <v>14</v>
      </c>
      <c r="D304" t="s">
        <v>10</v>
      </c>
      <c r="E304" t="s">
        <v>27</v>
      </c>
      <c r="F304" s="4">
        <v>3033.89</v>
      </c>
      <c r="G304" s="5">
        <v>4</v>
      </c>
      <c r="H304" t="s">
        <v>15</v>
      </c>
      <c r="I304" t="str">
        <f t="shared" si="16"/>
        <v>2023-09</v>
      </c>
      <c r="J304" s="4">
        <f t="shared" si="17"/>
        <v>758.47249999999997</v>
      </c>
      <c r="K304" t="str" cm="1">
        <f t="array" ref="K304">_xlfn.IFS(G304&lt;=5, "Small", G304&lt;=15, "Medium", G304&gt;15, "Large")</f>
        <v>Small</v>
      </c>
      <c r="L304" t="str">
        <f t="shared" si="18"/>
        <v>Standard</v>
      </c>
      <c r="M304" t="str">
        <f t="shared" si="19"/>
        <v>Weekday</v>
      </c>
    </row>
    <row r="305" spans="1:13" x14ac:dyDescent="0.35">
      <c r="A305" t="s">
        <v>360</v>
      </c>
      <c r="B305" s="1">
        <v>45300</v>
      </c>
      <c r="C305" t="s">
        <v>74</v>
      </c>
      <c r="D305" t="s">
        <v>31</v>
      </c>
      <c r="E305" t="s">
        <v>27</v>
      </c>
      <c r="F305" s="4">
        <v>30421.74</v>
      </c>
      <c r="G305" s="5">
        <v>1</v>
      </c>
      <c r="H305" t="s">
        <v>15</v>
      </c>
      <c r="I305" t="str">
        <f t="shared" si="16"/>
        <v>2024-01</v>
      </c>
      <c r="J305" s="4">
        <f t="shared" si="17"/>
        <v>30421.74</v>
      </c>
      <c r="K305" t="str" cm="1">
        <f t="array" ref="K305">_xlfn.IFS(G305&lt;=5, "Small", G305&lt;=15, "Medium", G305&gt;15, "Large")</f>
        <v>Small</v>
      </c>
      <c r="L305" t="str">
        <f t="shared" si="18"/>
        <v>VIP</v>
      </c>
      <c r="M305" t="str">
        <f t="shared" si="19"/>
        <v>Weekday</v>
      </c>
    </row>
    <row r="306" spans="1:13" x14ac:dyDescent="0.35">
      <c r="A306" t="s">
        <v>361</v>
      </c>
      <c r="B306" s="1">
        <v>44966</v>
      </c>
      <c r="C306" t="s">
        <v>48</v>
      </c>
      <c r="D306" t="s">
        <v>31</v>
      </c>
      <c r="E306" t="s">
        <v>27</v>
      </c>
      <c r="F306" s="4">
        <v>30639.74</v>
      </c>
      <c r="G306" s="5">
        <v>3</v>
      </c>
      <c r="H306" t="s">
        <v>15</v>
      </c>
      <c r="I306" t="str">
        <f t="shared" si="16"/>
        <v>2023-02</v>
      </c>
      <c r="J306" s="4">
        <f t="shared" si="17"/>
        <v>10213.246666666668</v>
      </c>
      <c r="K306" t="str" cm="1">
        <f t="array" ref="K306">_xlfn.IFS(G306&lt;=5, "Small", G306&lt;=15, "Medium", G306&gt;15, "Large")</f>
        <v>Small</v>
      </c>
      <c r="L306" t="str">
        <f t="shared" si="18"/>
        <v>VIP</v>
      </c>
      <c r="M306" t="str">
        <f t="shared" si="19"/>
        <v>Weekday</v>
      </c>
    </row>
    <row r="307" spans="1:13" x14ac:dyDescent="0.35">
      <c r="A307" t="s">
        <v>362</v>
      </c>
      <c r="B307" s="1">
        <v>45048</v>
      </c>
      <c r="C307" t="s">
        <v>111</v>
      </c>
      <c r="D307" t="s">
        <v>31</v>
      </c>
      <c r="E307" t="s">
        <v>11</v>
      </c>
      <c r="F307" s="4">
        <v>0</v>
      </c>
      <c r="G307" s="5">
        <v>8</v>
      </c>
      <c r="H307" t="s">
        <v>28</v>
      </c>
      <c r="I307" t="str">
        <f t="shared" si="16"/>
        <v>2023-05</v>
      </c>
      <c r="J307" s="4">
        <f t="shared" si="17"/>
        <v>0</v>
      </c>
      <c r="K307" t="str" cm="1">
        <f t="array" ref="K307">_xlfn.IFS(G307&lt;=5, "Small", G307&lt;=15, "Medium", G307&gt;15, "Large")</f>
        <v>Medium</v>
      </c>
      <c r="L307" t="str">
        <f t="shared" si="18"/>
        <v>Standard</v>
      </c>
      <c r="M307" t="str">
        <f t="shared" si="19"/>
        <v>Weekday</v>
      </c>
    </row>
    <row r="308" spans="1:13" x14ac:dyDescent="0.35">
      <c r="A308" t="s">
        <v>363</v>
      </c>
      <c r="B308" s="1">
        <v>44994</v>
      </c>
      <c r="C308" t="s">
        <v>50</v>
      </c>
      <c r="D308" t="s">
        <v>26</v>
      </c>
      <c r="E308" t="s">
        <v>27</v>
      </c>
      <c r="F308" s="4">
        <v>35380.79</v>
      </c>
      <c r="G308" s="5">
        <v>5</v>
      </c>
      <c r="H308" t="s">
        <v>15</v>
      </c>
      <c r="I308" t="str">
        <f t="shared" si="16"/>
        <v>2023-03</v>
      </c>
      <c r="J308" s="4">
        <f t="shared" si="17"/>
        <v>7076.1580000000004</v>
      </c>
      <c r="K308" t="str" cm="1">
        <f t="array" ref="K308">_xlfn.IFS(G308&lt;=5, "Small", G308&lt;=15, "Medium", G308&gt;15, "Large")</f>
        <v>Small</v>
      </c>
      <c r="L308" t="str">
        <f t="shared" si="18"/>
        <v>VIP</v>
      </c>
      <c r="M308" t="str">
        <f t="shared" si="19"/>
        <v>Weekday</v>
      </c>
    </row>
    <row r="309" spans="1:13" x14ac:dyDescent="0.35">
      <c r="A309" t="s">
        <v>364</v>
      </c>
      <c r="B309" s="1">
        <v>45066</v>
      </c>
      <c r="C309" t="s">
        <v>53</v>
      </c>
      <c r="D309" t="s">
        <v>31</v>
      </c>
      <c r="E309" t="s">
        <v>11</v>
      </c>
      <c r="F309" s="4">
        <v>0</v>
      </c>
      <c r="G309" s="5">
        <v>5</v>
      </c>
      <c r="H309" t="s">
        <v>28</v>
      </c>
      <c r="I309" t="str">
        <f t="shared" si="16"/>
        <v>2023-05</v>
      </c>
      <c r="J309" s="4">
        <f t="shared" si="17"/>
        <v>0</v>
      </c>
      <c r="K309" t="str" cm="1">
        <f t="array" ref="K309">_xlfn.IFS(G309&lt;=5, "Small", G309&lt;=15, "Medium", G309&gt;15, "Large")</f>
        <v>Small</v>
      </c>
      <c r="L309" t="str">
        <f t="shared" si="18"/>
        <v>Standard</v>
      </c>
      <c r="M309" t="str">
        <f t="shared" si="19"/>
        <v>Weekend</v>
      </c>
    </row>
    <row r="310" spans="1:13" x14ac:dyDescent="0.35">
      <c r="A310" t="s">
        <v>365</v>
      </c>
      <c r="B310" s="1">
        <v>45578</v>
      </c>
      <c r="C310" t="s">
        <v>33</v>
      </c>
      <c r="D310" t="s">
        <v>10</v>
      </c>
      <c r="E310" t="s">
        <v>18</v>
      </c>
      <c r="F310" s="4">
        <v>2254.9</v>
      </c>
      <c r="G310" s="5">
        <v>29</v>
      </c>
      <c r="H310" t="s">
        <v>15</v>
      </c>
      <c r="I310" t="str">
        <f t="shared" si="16"/>
        <v>2024-10</v>
      </c>
      <c r="J310" s="4">
        <f t="shared" si="17"/>
        <v>77.755172413793105</v>
      </c>
      <c r="K310" t="str" cm="1">
        <f t="array" ref="K310">_xlfn.IFS(G310&lt;=5, "Small", G310&lt;=15, "Medium", G310&gt;15, "Large")</f>
        <v>Large</v>
      </c>
      <c r="L310" t="str">
        <f t="shared" si="18"/>
        <v>Standard</v>
      </c>
      <c r="M310" t="str">
        <f t="shared" si="19"/>
        <v>Weekend</v>
      </c>
    </row>
    <row r="311" spans="1:13" x14ac:dyDescent="0.35">
      <c r="A311" t="s">
        <v>366</v>
      </c>
      <c r="B311" s="1">
        <v>45107</v>
      </c>
      <c r="C311" t="s">
        <v>84</v>
      </c>
      <c r="D311" t="s">
        <v>26</v>
      </c>
      <c r="E311" t="s">
        <v>27</v>
      </c>
      <c r="F311" s="4">
        <v>9552.51</v>
      </c>
      <c r="G311" s="5">
        <v>2</v>
      </c>
      <c r="H311" t="s">
        <v>15</v>
      </c>
      <c r="I311" t="str">
        <f t="shared" si="16"/>
        <v>2023-06</v>
      </c>
      <c r="J311" s="4">
        <f t="shared" si="17"/>
        <v>4776.2550000000001</v>
      </c>
      <c r="K311" t="str" cm="1">
        <f t="array" ref="K311">_xlfn.IFS(G311&lt;=5, "Small", G311&lt;=15, "Medium", G311&gt;15, "Large")</f>
        <v>Small</v>
      </c>
      <c r="L311" t="str">
        <f t="shared" si="18"/>
        <v>Standard</v>
      </c>
      <c r="M311" t="str">
        <f t="shared" si="19"/>
        <v>Weekday</v>
      </c>
    </row>
    <row r="312" spans="1:13" x14ac:dyDescent="0.35">
      <c r="A312" t="s">
        <v>367</v>
      </c>
      <c r="B312" s="1">
        <v>45470</v>
      </c>
      <c r="C312" t="s">
        <v>72</v>
      </c>
      <c r="D312" t="s">
        <v>26</v>
      </c>
      <c r="E312" t="s">
        <v>11</v>
      </c>
      <c r="F312" s="4">
        <v>15147.05</v>
      </c>
      <c r="G312" s="5">
        <v>8</v>
      </c>
      <c r="H312" t="s">
        <v>15</v>
      </c>
      <c r="I312" t="str">
        <f t="shared" si="16"/>
        <v>2024-06</v>
      </c>
      <c r="J312" s="4">
        <f t="shared" si="17"/>
        <v>1893.3812499999999</v>
      </c>
      <c r="K312" t="str" cm="1">
        <f t="array" ref="K312">_xlfn.IFS(G312&lt;=5, "Small", G312&lt;=15, "Medium", G312&gt;15, "Large")</f>
        <v>Medium</v>
      </c>
      <c r="L312" t="str">
        <f t="shared" si="18"/>
        <v>Standard</v>
      </c>
      <c r="M312" t="str">
        <f t="shared" si="19"/>
        <v>Weekday</v>
      </c>
    </row>
    <row r="313" spans="1:13" x14ac:dyDescent="0.35">
      <c r="A313" t="s">
        <v>368</v>
      </c>
      <c r="B313" s="1">
        <v>45053</v>
      </c>
      <c r="C313" t="s">
        <v>78</v>
      </c>
      <c r="D313" t="s">
        <v>26</v>
      </c>
      <c r="E313" t="s">
        <v>18</v>
      </c>
      <c r="F313" s="4">
        <v>1938.96</v>
      </c>
      <c r="G313" s="5">
        <v>3</v>
      </c>
      <c r="H313" t="s">
        <v>15</v>
      </c>
      <c r="I313" t="str">
        <f t="shared" si="16"/>
        <v>2023-05</v>
      </c>
      <c r="J313" s="4">
        <f t="shared" si="17"/>
        <v>646.32000000000005</v>
      </c>
      <c r="K313" t="str" cm="1">
        <f t="array" ref="K313">_xlfn.IFS(G313&lt;=5, "Small", G313&lt;=15, "Medium", G313&gt;15, "Large")</f>
        <v>Small</v>
      </c>
      <c r="L313" t="str">
        <f t="shared" si="18"/>
        <v>Standard</v>
      </c>
      <c r="M313" t="str">
        <f t="shared" si="19"/>
        <v>Weekend</v>
      </c>
    </row>
    <row r="314" spans="1:13" x14ac:dyDescent="0.35">
      <c r="A314" t="s">
        <v>369</v>
      </c>
      <c r="B314" s="1">
        <v>45105</v>
      </c>
      <c r="C314" t="s">
        <v>9</v>
      </c>
      <c r="D314" t="s">
        <v>10</v>
      </c>
      <c r="E314" t="s">
        <v>27</v>
      </c>
      <c r="F314" s="4">
        <v>8691.5300000000007</v>
      </c>
      <c r="G314" s="5">
        <v>1</v>
      </c>
      <c r="H314" t="s">
        <v>15</v>
      </c>
      <c r="I314" t="str">
        <f t="shared" si="16"/>
        <v>2023-06</v>
      </c>
      <c r="J314" s="4">
        <f t="shared" si="17"/>
        <v>8691.5300000000007</v>
      </c>
      <c r="K314" t="str" cm="1">
        <f t="array" ref="K314">_xlfn.IFS(G314&lt;=5, "Small", G314&lt;=15, "Medium", G314&gt;15, "Large")</f>
        <v>Small</v>
      </c>
      <c r="L314" t="str">
        <f t="shared" si="18"/>
        <v>Standard</v>
      </c>
      <c r="M314" t="str">
        <f t="shared" si="19"/>
        <v>Weekday</v>
      </c>
    </row>
    <row r="315" spans="1:13" x14ac:dyDescent="0.35">
      <c r="A315" t="s">
        <v>370</v>
      </c>
      <c r="B315" s="1">
        <v>45211</v>
      </c>
      <c r="C315" t="s">
        <v>20</v>
      </c>
      <c r="D315" t="s">
        <v>21</v>
      </c>
      <c r="E315" t="s">
        <v>27</v>
      </c>
      <c r="F315" s="4">
        <v>0</v>
      </c>
      <c r="G315" s="5">
        <v>5</v>
      </c>
      <c r="H315" t="s">
        <v>28</v>
      </c>
      <c r="I315" t="str">
        <f t="shared" si="16"/>
        <v>2023-10</v>
      </c>
      <c r="J315" s="4">
        <f t="shared" si="17"/>
        <v>0</v>
      </c>
      <c r="K315" t="str" cm="1">
        <f t="array" ref="K315">_xlfn.IFS(G315&lt;=5, "Small", G315&lt;=15, "Medium", G315&gt;15, "Large")</f>
        <v>Small</v>
      </c>
      <c r="L315" t="str">
        <f t="shared" si="18"/>
        <v>Standard</v>
      </c>
      <c r="M315" t="str">
        <f t="shared" si="19"/>
        <v>Weekday</v>
      </c>
    </row>
    <row r="316" spans="1:13" x14ac:dyDescent="0.35">
      <c r="A316" t="s">
        <v>371</v>
      </c>
      <c r="B316" s="1">
        <v>45517</v>
      </c>
      <c r="C316" t="s">
        <v>126</v>
      </c>
      <c r="D316" t="s">
        <v>26</v>
      </c>
      <c r="E316" t="s">
        <v>11</v>
      </c>
      <c r="F316" s="4">
        <v>16931.88</v>
      </c>
      <c r="G316" s="5">
        <v>1</v>
      </c>
      <c r="H316" t="s">
        <v>15</v>
      </c>
      <c r="I316" t="str">
        <f t="shared" si="16"/>
        <v>2024-08</v>
      </c>
      <c r="J316" s="4">
        <f t="shared" si="17"/>
        <v>16931.88</v>
      </c>
      <c r="K316" t="str" cm="1">
        <f t="array" ref="K316">_xlfn.IFS(G316&lt;=5, "Small", G316&lt;=15, "Medium", G316&gt;15, "Large")</f>
        <v>Small</v>
      </c>
      <c r="L316" t="str">
        <f t="shared" si="18"/>
        <v>Standard</v>
      </c>
      <c r="M316" t="str">
        <f t="shared" si="19"/>
        <v>Weekday</v>
      </c>
    </row>
    <row r="317" spans="1:13" x14ac:dyDescent="0.35">
      <c r="A317" t="s">
        <v>372</v>
      </c>
      <c r="B317" s="1">
        <v>45596</v>
      </c>
      <c r="C317" t="s">
        <v>53</v>
      </c>
      <c r="D317" t="s">
        <v>31</v>
      </c>
      <c r="E317" t="s">
        <v>11</v>
      </c>
      <c r="F317" s="4">
        <v>16350.24</v>
      </c>
      <c r="G317" s="5">
        <v>4</v>
      </c>
      <c r="H317" t="s">
        <v>15</v>
      </c>
      <c r="I317" t="str">
        <f t="shared" si="16"/>
        <v>2024-10</v>
      </c>
      <c r="J317" s="4">
        <f t="shared" si="17"/>
        <v>4087.56</v>
      </c>
      <c r="K317" t="str" cm="1">
        <f t="array" ref="K317">_xlfn.IFS(G317&lt;=5, "Small", G317&lt;=15, "Medium", G317&gt;15, "Large")</f>
        <v>Small</v>
      </c>
      <c r="L317" t="str">
        <f t="shared" si="18"/>
        <v>Standard</v>
      </c>
      <c r="M317" t="str">
        <f t="shared" si="19"/>
        <v>Weekday</v>
      </c>
    </row>
    <row r="318" spans="1:13" x14ac:dyDescent="0.35">
      <c r="A318" t="s">
        <v>373</v>
      </c>
      <c r="B318" s="1">
        <v>45348</v>
      </c>
      <c r="C318" t="s">
        <v>162</v>
      </c>
      <c r="D318" t="s">
        <v>26</v>
      </c>
      <c r="E318" t="s">
        <v>11</v>
      </c>
      <c r="F318" s="4">
        <v>1654.65</v>
      </c>
      <c r="G318" s="5">
        <v>2</v>
      </c>
      <c r="H318" t="s">
        <v>15</v>
      </c>
      <c r="I318" t="str">
        <f t="shared" si="16"/>
        <v>2024-02</v>
      </c>
      <c r="J318" s="4">
        <f t="shared" si="17"/>
        <v>827.32500000000005</v>
      </c>
      <c r="K318" t="str" cm="1">
        <f t="array" ref="K318">_xlfn.IFS(G318&lt;=5, "Small", G318&lt;=15, "Medium", G318&gt;15, "Large")</f>
        <v>Small</v>
      </c>
      <c r="L318" t="str">
        <f t="shared" si="18"/>
        <v>Standard</v>
      </c>
      <c r="M318" t="str">
        <f t="shared" si="19"/>
        <v>Weekday</v>
      </c>
    </row>
    <row r="319" spans="1:13" x14ac:dyDescent="0.35">
      <c r="A319" t="s">
        <v>374</v>
      </c>
      <c r="B319" s="1">
        <v>45400</v>
      </c>
      <c r="C319" t="s">
        <v>84</v>
      </c>
      <c r="D319" t="s">
        <v>26</v>
      </c>
      <c r="E319" t="s">
        <v>11</v>
      </c>
      <c r="F319" s="4">
        <v>0</v>
      </c>
      <c r="G319" s="5">
        <v>1</v>
      </c>
      <c r="H319" t="s">
        <v>12</v>
      </c>
      <c r="I319" t="str">
        <f t="shared" si="16"/>
        <v>2024-04</v>
      </c>
      <c r="J319" s="4">
        <f t="shared" si="17"/>
        <v>0</v>
      </c>
      <c r="K319" t="str" cm="1">
        <f t="array" ref="K319">_xlfn.IFS(G319&lt;=5, "Small", G319&lt;=15, "Medium", G319&gt;15, "Large")</f>
        <v>Small</v>
      </c>
      <c r="L319" t="str">
        <f t="shared" si="18"/>
        <v>Standard</v>
      </c>
      <c r="M319" t="str">
        <f t="shared" si="19"/>
        <v>Weekday</v>
      </c>
    </row>
    <row r="320" spans="1:13" x14ac:dyDescent="0.35">
      <c r="A320" t="s">
        <v>375</v>
      </c>
      <c r="B320" s="1">
        <v>44950</v>
      </c>
      <c r="C320" t="s">
        <v>82</v>
      </c>
      <c r="D320" t="s">
        <v>10</v>
      </c>
      <c r="E320" t="s">
        <v>18</v>
      </c>
      <c r="F320" s="4">
        <v>0</v>
      </c>
      <c r="G320" s="5">
        <v>23</v>
      </c>
      <c r="H320" t="s">
        <v>12</v>
      </c>
      <c r="I320" t="str">
        <f t="shared" si="16"/>
        <v>2023-01</v>
      </c>
      <c r="J320" s="4">
        <f t="shared" si="17"/>
        <v>0</v>
      </c>
      <c r="K320" t="str" cm="1">
        <f t="array" ref="K320">_xlfn.IFS(G320&lt;=5, "Small", G320&lt;=15, "Medium", G320&gt;15, "Large")</f>
        <v>Large</v>
      </c>
      <c r="L320" t="str">
        <f t="shared" si="18"/>
        <v>Standard</v>
      </c>
      <c r="M320" t="str">
        <f t="shared" si="19"/>
        <v>Weekday</v>
      </c>
    </row>
    <row r="321" spans="1:13" x14ac:dyDescent="0.35">
      <c r="A321" t="s">
        <v>376</v>
      </c>
      <c r="B321" s="1">
        <v>45628</v>
      </c>
      <c r="C321" t="s">
        <v>64</v>
      </c>
      <c r="D321" t="s">
        <v>10</v>
      </c>
      <c r="E321" t="s">
        <v>11</v>
      </c>
      <c r="F321" s="4">
        <v>11481.72</v>
      </c>
      <c r="G321" s="5">
        <v>3</v>
      </c>
      <c r="H321" t="s">
        <v>15</v>
      </c>
      <c r="I321" t="str">
        <f t="shared" si="16"/>
        <v>2024-12</v>
      </c>
      <c r="J321" s="4">
        <f t="shared" si="17"/>
        <v>3827.24</v>
      </c>
      <c r="K321" t="str" cm="1">
        <f t="array" ref="K321">_xlfn.IFS(G321&lt;=5, "Small", G321&lt;=15, "Medium", G321&gt;15, "Large")</f>
        <v>Small</v>
      </c>
      <c r="L321" t="str">
        <f t="shared" si="18"/>
        <v>Standard</v>
      </c>
      <c r="M321" t="str">
        <f t="shared" si="19"/>
        <v>Weekday</v>
      </c>
    </row>
    <row r="322" spans="1:13" x14ac:dyDescent="0.35">
      <c r="A322" t="s">
        <v>377</v>
      </c>
      <c r="B322" s="1">
        <v>45234</v>
      </c>
      <c r="C322" t="s">
        <v>177</v>
      </c>
      <c r="D322" t="s">
        <v>26</v>
      </c>
      <c r="E322" t="s">
        <v>11</v>
      </c>
      <c r="F322" s="4">
        <v>10363.08</v>
      </c>
      <c r="G322" s="5">
        <v>2</v>
      </c>
      <c r="H322" t="s">
        <v>15</v>
      </c>
      <c r="I322" t="str">
        <f t="shared" si="16"/>
        <v>2023-11</v>
      </c>
      <c r="J322" s="4">
        <f t="shared" si="17"/>
        <v>5181.54</v>
      </c>
      <c r="K322" t="str" cm="1">
        <f t="array" ref="K322">_xlfn.IFS(G322&lt;=5, "Small", G322&lt;=15, "Medium", G322&gt;15, "Large")</f>
        <v>Small</v>
      </c>
      <c r="L322" t="str">
        <f t="shared" si="18"/>
        <v>Standard</v>
      </c>
      <c r="M322" t="str">
        <f t="shared" si="19"/>
        <v>Weekend</v>
      </c>
    </row>
    <row r="323" spans="1:13" x14ac:dyDescent="0.35">
      <c r="A323" t="s">
        <v>378</v>
      </c>
      <c r="B323" s="1">
        <v>45329</v>
      </c>
      <c r="C323" t="s">
        <v>20</v>
      </c>
      <c r="D323" t="s">
        <v>21</v>
      </c>
      <c r="E323" t="s">
        <v>11</v>
      </c>
      <c r="F323" s="4">
        <v>3018.54</v>
      </c>
      <c r="G323" s="5">
        <v>6</v>
      </c>
      <c r="H323" t="s">
        <v>15</v>
      </c>
      <c r="I323" t="str">
        <f t="shared" ref="I323:I386" si="20">TEXT(B323, "YYYY-MM")</f>
        <v>2024-02</v>
      </c>
      <c r="J323" s="4">
        <f t="shared" ref="J323:J386" si="21">IFERROR(F323/G323, 0)</f>
        <v>503.09</v>
      </c>
      <c r="K323" t="str" cm="1">
        <f t="array" ref="K323">_xlfn.IFS(G323&lt;=5, "Small", G323&lt;=15, "Medium", G323&gt;15, "Large")</f>
        <v>Medium</v>
      </c>
      <c r="L323" t="str">
        <f t="shared" ref="L323:L386" si="22">IF(F323&gt;_xlfn.PERCENTILE.INC($F$2:$F$10000, 0.9), "VIP", "Standard")</f>
        <v>Standard</v>
      </c>
      <c r="M323" t="str">
        <f t="shared" ref="M323:M386" si="23">IF(WEEKDAY(B323, 2)&gt;5, "Weekend", "Weekday")</f>
        <v>Weekday</v>
      </c>
    </row>
    <row r="324" spans="1:13" x14ac:dyDescent="0.35">
      <c r="A324" t="s">
        <v>379</v>
      </c>
      <c r="B324" s="1">
        <v>45388</v>
      </c>
      <c r="C324" t="s">
        <v>177</v>
      </c>
      <c r="D324" t="s">
        <v>26</v>
      </c>
      <c r="E324" t="s">
        <v>18</v>
      </c>
      <c r="F324" s="4">
        <v>2155.64</v>
      </c>
      <c r="G324" s="5">
        <v>13</v>
      </c>
      <c r="H324" t="s">
        <v>15</v>
      </c>
      <c r="I324" t="str">
        <f t="shared" si="20"/>
        <v>2024-04</v>
      </c>
      <c r="J324" s="4">
        <f t="shared" si="21"/>
        <v>165.81846153846152</v>
      </c>
      <c r="K324" t="str" cm="1">
        <f t="array" ref="K324">_xlfn.IFS(G324&lt;=5, "Small", G324&lt;=15, "Medium", G324&gt;15, "Large")</f>
        <v>Medium</v>
      </c>
      <c r="L324" t="str">
        <f t="shared" si="22"/>
        <v>Standard</v>
      </c>
      <c r="M324" t="str">
        <f t="shared" si="23"/>
        <v>Weekend</v>
      </c>
    </row>
    <row r="325" spans="1:13" x14ac:dyDescent="0.35">
      <c r="A325" t="s">
        <v>380</v>
      </c>
      <c r="B325" s="1">
        <v>45065</v>
      </c>
      <c r="C325" t="s">
        <v>48</v>
      </c>
      <c r="D325" t="s">
        <v>31</v>
      </c>
      <c r="E325" t="s">
        <v>18</v>
      </c>
      <c r="F325" s="4">
        <v>1625.07</v>
      </c>
      <c r="G325" s="5">
        <v>24</v>
      </c>
      <c r="H325" t="s">
        <v>15</v>
      </c>
      <c r="I325" t="str">
        <f t="shared" si="20"/>
        <v>2023-05</v>
      </c>
      <c r="J325" s="4">
        <f t="shared" si="21"/>
        <v>67.711249999999993</v>
      </c>
      <c r="K325" t="str" cm="1">
        <f t="array" ref="K325">_xlfn.IFS(G325&lt;=5, "Small", G325&lt;=15, "Medium", G325&gt;15, "Large")</f>
        <v>Large</v>
      </c>
      <c r="L325" t="str">
        <f t="shared" si="22"/>
        <v>Standard</v>
      </c>
      <c r="M325" t="str">
        <f t="shared" si="23"/>
        <v>Weekday</v>
      </c>
    </row>
    <row r="326" spans="1:13" x14ac:dyDescent="0.35">
      <c r="A326" t="s">
        <v>381</v>
      </c>
      <c r="B326" s="1">
        <v>44986</v>
      </c>
      <c r="C326" t="s">
        <v>30</v>
      </c>
      <c r="D326" t="s">
        <v>31</v>
      </c>
      <c r="E326" t="s">
        <v>18</v>
      </c>
      <c r="F326" s="4">
        <v>1874.87</v>
      </c>
      <c r="G326" s="5">
        <v>3</v>
      </c>
      <c r="H326" t="s">
        <v>15</v>
      </c>
      <c r="I326" t="str">
        <f t="shared" si="20"/>
        <v>2023-03</v>
      </c>
      <c r="J326" s="4">
        <f t="shared" si="21"/>
        <v>624.95666666666659</v>
      </c>
      <c r="K326" t="str" cm="1">
        <f t="array" ref="K326">_xlfn.IFS(G326&lt;=5, "Small", G326&lt;=15, "Medium", G326&gt;15, "Large")</f>
        <v>Small</v>
      </c>
      <c r="L326" t="str">
        <f t="shared" si="22"/>
        <v>Standard</v>
      </c>
      <c r="M326" t="str">
        <f t="shared" si="23"/>
        <v>Weekday</v>
      </c>
    </row>
    <row r="327" spans="1:13" x14ac:dyDescent="0.35">
      <c r="A327" t="s">
        <v>382</v>
      </c>
      <c r="B327" s="1">
        <v>44970</v>
      </c>
      <c r="C327" t="s">
        <v>40</v>
      </c>
      <c r="D327" t="s">
        <v>26</v>
      </c>
      <c r="E327" t="s">
        <v>27</v>
      </c>
      <c r="F327" s="4">
        <v>44879.3</v>
      </c>
      <c r="G327" s="5">
        <v>2</v>
      </c>
      <c r="H327" t="s">
        <v>15</v>
      </c>
      <c r="I327" t="str">
        <f t="shared" si="20"/>
        <v>2023-02</v>
      </c>
      <c r="J327" s="4">
        <f t="shared" si="21"/>
        <v>22439.65</v>
      </c>
      <c r="K327" t="str" cm="1">
        <f t="array" ref="K327">_xlfn.IFS(G327&lt;=5, "Small", G327&lt;=15, "Medium", G327&gt;15, "Large")</f>
        <v>Small</v>
      </c>
      <c r="L327" t="str">
        <f t="shared" si="22"/>
        <v>VIP</v>
      </c>
      <c r="M327" t="str">
        <f t="shared" si="23"/>
        <v>Weekday</v>
      </c>
    </row>
    <row r="328" spans="1:13" x14ac:dyDescent="0.35">
      <c r="A328" t="s">
        <v>383</v>
      </c>
      <c r="B328" s="1">
        <v>44969</v>
      </c>
      <c r="C328" t="s">
        <v>97</v>
      </c>
      <c r="D328" t="s">
        <v>21</v>
      </c>
      <c r="E328" t="s">
        <v>18</v>
      </c>
      <c r="F328" s="4">
        <v>2298.84</v>
      </c>
      <c r="G328" s="5">
        <v>11</v>
      </c>
      <c r="H328" t="s">
        <v>15</v>
      </c>
      <c r="I328" t="str">
        <f t="shared" si="20"/>
        <v>2023-02</v>
      </c>
      <c r="J328" s="4">
        <f t="shared" si="21"/>
        <v>208.98545454545456</v>
      </c>
      <c r="K328" t="str" cm="1">
        <f t="array" ref="K328">_xlfn.IFS(G328&lt;=5, "Small", G328&lt;=15, "Medium", G328&gt;15, "Large")</f>
        <v>Medium</v>
      </c>
      <c r="L328" t="str">
        <f t="shared" si="22"/>
        <v>Standard</v>
      </c>
      <c r="M328" t="str">
        <f t="shared" si="23"/>
        <v>Weekend</v>
      </c>
    </row>
    <row r="329" spans="1:13" x14ac:dyDescent="0.35">
      <c r="A329" t="s">
        <v>384</v>
      </c>
      <c r="B329" s="1">
        <v>45076</v>
      </c>
      <c r="C329" t="s">
        <v>253</v>
      </c>
      <c r="D329" t="s">
        <v>21</v>
      </c>
      <c r="E329" t="s">
        <v>18</v>
      </c>
      <c r="F329" s="4">
        <v>577.4</v>
      </c>
      <c r="G329" s="5">
        <v>25</v>
      </c>
      <c r="H329" t="s">
        <v>15</v>
      </c>
      <c r="I329" t="str">
        <f t="shared" si="20"/>
        <v>2023-05</v>
      </c>
      <c r="J329" s="4">
        <f t="shared" si="21"/>
        <v>23.096</v>
      </c>
      <c r="K329" t="str" cm="1">
        <f t="array" ref="K329">_xlfn.IFS(G329&lt;=5, "Small", G329&lt;=15, "Medium", G329&gt;15, "Large")</f>
        <v>Large</v>
      </c>
      <c r="L329" t="str">
        <f t="shared" si="22"/>
        <v>Standard</v>
      </c>
      <c r="M329" t="str">
        <f t="shared" si="23"/>
        <v>Weekday</v>
      </c>
    </row>
    <row r="330" spans="1:13" x14ac:dyDescent="0.35">
      <c r="A330" t="s">
        <v>385</v>
      </c>
      <c r="B330" s="1">
        <v>45595</v>
      </c>
      <c r="C330" t="s">
        <v>35</v>
      </c>
      <c r="D330" t="s">
        <v>31</v>
      </c>
      <c r="E330" t="s">
        <v>18</v>
      </c>
      <c r="F330" s="4">
        <v>2732.09</v>
      </c>
      <c r="G330" s="5">
        <v>13</v>
      </c>
      <c r="H330" t="s">
        <v>15</v>
      </c>
      <c r="I330" t="str">
        <f t="shared" si="20"/>
        <v>2024-10</v>
      </c>
      <c r="J330" s="4">
        <f t="shared" si="21"/>
        <v>210.16076923076923</v>
      </c>
      <c r="K330" t="str" cm="1">
        <f t="array" ref="K330">_xlfn.IFS(G330&lt;=5, "Small", G330&lt;=15, "Medium", G330&gt;15, "Large")</f>
        <v>Medium</v>
      </c>
      <c r="L330" t="str">
        <f t="shared" si="22"/>
        <v>Standard</v>
      </c>
      <c r="M330" t="str">
        <f t="shared" si="23"/>
        <v>Weekday</v>
      </c>
    </row>
    <row r="331" spans="1:13" x14ac:dyDescent="0.35">
      <c r="A331" t="s">
        <v>386</v>
      </c>
      <c r="B331" s="1">
        <v>45500</v>
      </c>
      <c r="C331" t="s">
        <v>45</v>
      </c>
      <c r="D331" t="s">
        <v>21</v>
      </c>
      <c r="E331" t="s">
        <v>18</v>
      </c>
      <c r="F331" s="4">
        <v>1258.5999999999999</v>
      </c>
      <c r="G331" s="5">
        <v>11</v>
      </c>
      <c r="H331" t="s">
        <v>15</v>
      </c>
      <c r="I331" t="str">
        <f t="shared" si="20"/>
        <v>2024-07</v>
      </c>
      <c r="J331" s="4">
        <f t="shared" si="21"/>
        <v>114.41818181818181</v>
      </c>
      <c r="K331" t="str" cm="1">
        <f t="array" ref="K331">_xlfn.IFS(G331&lt;=5, "Small", G331&lt;=15, "Medium", G331&gt;15, "Large")</f>
        <v>Medium</v>
      </c>
      <c r="L331" t="str">
        <f t="shared" si="22"/>
        <v>Standard</v>
      </c>
      <c r="M331" t="str">
        <f t="shared" si="23"/>
        <v>Weekend</v>
      </c>
    </row>
    <row r="332" spans="1:13" x14ac:dyDescent="0.35">
      <c r="A332" t="s">
        <v>387</v>
      </c>
      <c r="B332" s="1">
        <v>45104</v>
      </c>
      <c r="C332" t="s">
        <v>64</v>
      </c>
      <c r="D332" t="s">
        <v>10</v>
      </c>
      <c r="E332" t="s">
        <v>11</v>
      </c>
      <c r="F332" s="4">
        <v>9969.0400000000009</v>
      </c>
      <c r="G332" s="5">
        <v>5</v>
      </c>
      <c r="H332" t="s">
        <v>15</v>
      </c>
      <c r="I332" t="str">
        <f t="shared" si="20"/>
        <v>2023-06</v>
      </c>
      <c r="J332" s="4">
        <f t="shared" si="21"/>
        <v>1993.8080000000002</v>
      </c>
      <c r="K332" t="str" cm="1">
        <f t="array" ref="K332">_xlfn.IFS(G332&lt;=5, "Small", G332&lt;=15, "Medium", G332&gt;15, "Large")</f>
        <v>Small</v>
      </c>
      <c r="L332" t="str">
        <f t="shared" si="22"/>
        <v>Standard</v>
      </c>
      <c r="M332" t="str">
        <f t="shared" si="23"/>
        <v>Weekday</v>
      </c>
    </row>
    <row r="333" spans="1:13" x14ac:dyDescent="0.35">
      <c r="A333" t="s">
        <v>388</v>
      </c>
      <c r="B333" s="1">
        <v>45480</v>
      </c>
      <c r="C333" t="s">
        <v>53</v>
      </c>
      <c r="D333" t="s">
        <v>31</v>
      </c>
      <c r="E333" t="s">
        <v>18</v>
      </c>
      <c r="F333" s="4">
        <v>1953.66</v>
      </c>
      <c r="G333" s="5">
        <v>17</v>
      </c>
      <c r="H333" t="s">
        <v>15</v>
      </c>
      <c r="I333" t="str">
        <f t="shared" si="20"/>
        <v>2024-07</v>
      </c>
      <c r="J333" s="4">
        <f t="shared" si="21"/>
        <v>114.92117647058824</v>
      </c>
      <c r="K333" t="str" cm="1">
        <f t="array" ref="K333">_xlfn.IFS(G333&lt;=5, "Small", G333&lt;=15, "Medium", G333&gt;15, "Large")</f>
        <v>Large</v>
      </c>
      <c r="L333" t="str">
        <f t="shared" si="22"/>
        <v>Standard</v>
      </c>
      <c r="M333" t="str">
        <f t="shared" si="23"/>
        <v>Weekend</v>
      </c>
    </row>
    <row r="334" spans="1:13" x14ac:dyDescent="0.35">
      <c r="A334" t="s">
        <v>389</v>
      </c>
      <c r="B334" s="1">
        <v>45632</v>
      </c>
      <c r="C334" t="s">
        <v>35</v>
      </c>
      <c r="D334" t="s">
        <v>31</v>
      </c>
      <c r="E334" t="s">
        <v>27</v>
      </c>
      <c r="F334" s="4">
        <v>9595.74</v>
      </c>
      <c r="G334" s="5">
        <v>4</v>
      </c>
      <c r="H334" t="s">
        <v>15</v>
      </c>
      <c r="I334" t="str">
        <f t="shared" si="20"/>
        <v>2024-12</v>
      </c>
      <c r="J334" s="4">
        <f t="shared" si="21"/>
        <v>2398.9349999999999</v>
      </c>
      <c r="K334" t="str" cm="1">
        <f t="array" ref="K334">_xlfn.IFS(G334&lt;=5, "Small", G334&lt;=15, "Medium", G334&gt;15, "Large")</f>
        <v>Small</v>
      </c>
      <c r="L334" t="str">
        <f t="shared" si="22"/>
        <v>Standard</v>
      </c>
      <c r="M334" t="str">
        <f t="shared" si="23"/>
        <v>Weekday</v>
      </c>
    </row>
    <row r="335" spans="1:13" x14ac:dyDescent="0.35">
      <c r="A335" t="s">
        <v>390</v>
      </c>
      <c r="B335" s="1">
        <v>45193</v>
      </c>
      <c r="C335" t="s">
        <v>115</v>
      </c>
      <c r="D335" t="s">
        <v>10</v>
      </c>
      <c r="E335" t="s">
        <v>27</v>
      </c>
      <c r="F335" s="4">
        <v>23930.58</v>
      </c>
      <c r="G335" s="5">
        <v>2</v>
      </c>
      <c r="H335" t="s">
        <v>15</v>
      </c>
      <c r="I335" t="str">
        <f t="shared" si="20"/>
        <v>2023-09</v>
      </c>
      <c r="J335" s="4">
        <f t="shared" si="21"/>
        <v>11965.29</v>
      </c>
      <c r="K335" t="str" cm="1">
        <f t="array" ref="K335">_xlfn.IFS(G335&lt;=5, "Small", G335&lt;=15, "Medium", G335&gt;15, "Large")</f>
        <v>Small</v>
      </c>
      <c r="L335" t="str">
        <f t="shared" si="22"/>
        <v>Standard</v>
      </c>
      <c r="M335" t="str">
        <f t="shared" si="23"/>
        <v>Weekend</v>
      </c>
    </row>
    <row r="336" spans="1:13" x14ac:dyDescent="0.35">
      <c r="A336" t="s">
        <v>391</v>
      </c>
      <c r="B336" s="1">
        <v>45392</v>
      </c>
      <c r="C336" t="s">
        <v>33</v>
      </c>
      <c r="D336" t="s">
        <v>10</v>
      </c>
      <c r="E336" t="s">
        <v>18</v>
      </c>
      <c r="F336" s="4">
        <v>2287.59</v>
      </c>
      <c r="G336" s="5">
        <v>23</v>
      </c>
      <c r="H336" t="s">
        <v>15</v>
      </c>
      <c r="I336" t="str">
        <f t="shared" si="20"/>
        <v>2024-04</v>
      </c>
      <c r="J336" s="4">
        <f t="shared" si="21"/>
        <v>99.460434782608701</v>
      </c>
      <c r="K336" t="str" cm="1">
        <f t="array" ref="K336">_xlfn.IFS(G336&lt;=5, "Small", G336&lt;=15, "Medium", G336&gt;15, "Large")</f>
        <v>Large</v>
      </c>
      <c r="L336" t="str">
        <f t="shared" si="22"/>
        <v>Standard</v>
      </c>
      <c r="M336" t="str">
        <f t="shared" si="23"/>
        <v>Weekday</v>
      </c>
    </row>
    <row r="337" spans="1:13" x14ac:dyDescent="0.35">
      <c r="A337" t="s">
        <v>392</v>
      </c>
      <c r="B337" s="1">
        <v>45125</v>
      </c>
      <c r="C337" t="s">
        <v>175</v>
      </c>
      <c r="D337" t="s">
        <v>21</v>
      </c>
      <c r="E337" t="s">
        <v>11</v>
      </c>
      <c r="F337" s="4">
        <v>0</v>
      </c>
      <c r="G337" s="5">
        <v>5</v>
      </c>
      <c r="H337" t="s">
        <v>28</v>
      </c>
      <c r="I337" t="str">
        <f t="shared" si="20"/>
        <v>2023-07</v>
      </c>
      <c r="J337" s="4">
        <f t="shared" si="21"/>
        <v>0</v>
      </c>
      <c r="K337" t="str" cm="1">
        <f t="array" ref="K337">_xlfn.IFS(G337&lt;=5, "Small", G337&lt;=15, "Medium", G337&gt;15, "Large")</f>
        <v>Small</v>
      </c>
      <c r="L337" t="str">
        <f t="shared" si="22"/>
        <v>Standard</v>
      </c>
      <c r="M337" t="str">
        <f t="shared" si="23"/>
        <v>Weekday</v>
      </c>
    </row>
    <row r="338" spans="1:13" x14ac:dyDescent="0.35">
      <c r="A338" t="s">
        <v>393</v>
      </c>
      <c r="B338" s="1">
        <v>45049</v>
      </c>
      <c r="C338" t="s">
        <v>48</v>
      </c>
      <c r="D338" t="s">
        <v>31</v>
      </c>
      <c r="E338" t="s">
        <v>18</v>
      </c>
      <c r="F338" s="4">
        <v>0</v>
      </c>
      <c r="G338" s="5">
        <v>7</v>
      </c>
      <c r="H338" t="s">
        <v>28</v>
      </c>
      <c r="I338" t="str">
        <f t="shared" si="20"/>
        <v>2023-05</v>
      </c>
      <c r="J338" s="4">
        <f t="shared" si="21"/>
        <v>0</v>
      </c>
      <c r="K338" t="str" cm="1">
        <f t="array" ref="K338">_xlfn.IFS(G338&lt;=5, "Small", G338&lt;=15, "Medium", G338&gt;15, "Large")</f>
        <v>Medium</v>
      </c>
      <c r="L338" t="str">
        <f t="shared" si="22"/>
        <v>Standard</v>
      </c>
      <c r="M338" t="str">
        <f t="shared" si="23"/>
        <v>Weekday</v>
      </c>
    </row>
    <row r="339" spans="1:13" x14ac:dyDescent="0.35">
      <c r="A339" t="s">
        <v>394</v>
      </c>
      <c r="B339" s="1">
        <v>44946</v>
      </c>
      <c r="C339" t="s">
        <v>97</v>
      </c>
      <c r="D339" t="s">
        <v>21</v>
      </c>
      <c r="E339" t="s">
        <v>27</v>
      </c>
      <c r="F339" s="4">
        <v>19052.84</v>
      </c>
      <c r="G339" s="5">
        <v>2</v>
      </c>
      <c r="H339" t="s">
        <v>15</v>
      </c>
      <c r="I339" t="str">
        <f t="shared" si="20"/>
        <v>2023-01</v>
      </c>
      <c r="J339" s="4">
        <f t="shared" si="21"/>
        <v>9526.42</v>
      </c>
      <c r="K339" t="str" cm="1">
        <f t="array" ref="K339">_xlfn.IFS(G339&lt;=5, "Small", G339&lt;=15, "Medium", G339&gt;15, "Large")</f>
        <v>Small</v>
      </c>
      <c r="L339" t="str">
        <f t="shared" si="22"/>
        <v>Standard</v>
      </c>
      <c r="M339" t="str">
        <f t="shared" si="23"/>
        <v>Weekday</v>
      </c>
    </row>
    <row r="340" spans="1:13" x14ac:dyDescent="0.35">
      <c r="A340" t="s">
        <v>395</v>
      </c>
      <c r="B340" s="1">
        <v>45503</v>
      </c>
      <c r="C340" t="s">
        <v>35</v>
      </c>
      <c r="D340" t="s">
        <v>31</v>
      </c>
      <c r="E340" t="s">
        <v>11</v>
      </c>
      <c r="F340" s="4">
        <v>14654.6</v>
      </c>
      <c r="G340" s="5">
        <v>3</v>
      </c>
      <c r="H340" t="s">
        <v>15</v>
      </c>
      <c r="I340" t="str">
        <f t="shared" si="20"/>
        <v>2024-07</v>
      </c>
      <c r="J340" s="4">
        <f t="shared" si="21"/>
        <v>4884.8666666666668</v>
      </c>
      <c r="K340" t="str" cm="1">
        <f t="array" ref="K340">_xlfn.IFS(G340&lt;=5, "Small", G340&lt;=15, "Medium", G340&gt;15, "Large")</f>
        <v>Small</v>
      </c>
      <c r="L340" t="str">
        <f t="shared" si="22"/>
        <v>Standard</v>
      </c>
      <c r="M340" t="str">
        <f t="shared" si="23"/>
        <v>Weekday</v>
      </c>
    </row>
    <row r="341" spans="1:13" x14ac:dyDescent="0.35">
      <c r="A341" t="s">
        <v>396</v>
      </c>
      <c r="B341" s="1">
        <v>45589</v>
      </c>
      <c r="C341" t="s">
        <v>111</v>
      </c>
      <c r="D341" t="s">
        <v>31</v>
      </c>
      <c r="E341" t="s">
        <v>11</v>
      </c>
      <c r="F341" s="4">
        <v>0</v>
      </c>
      <c r="G341" s="5">
        <v>1</v>
      </c>
      <c r="H341" t="s">
        <v>12</v>
      </c>
      <c r="I341" t="str">
        <f t="shared" si="20"/>
        <v>2024-10</v>
      </c>
      <c r="J341" s="4">
        <f t="shared" si="21"/>
        <v>0</v>
      </c>
      <c r="K341" t="str" cm="1">
        <f t="array" ref="K341">_xlfn.IFS(G341&lt;=5, "Small", G341&lt;=15, "Medium", G341&gt;15, "Large")</f>
        <v>Small</v>
      </c>
      <c r="L341" t="str">
        <f t="shared" si="22"/>
        <v>Standard</v>
      </c>
      <c r="M341" t="str">
        <f t="shared" si="23"/>
        <v>Weekday</v>
      </c>
    </row>
    <row r="342" spans="1:13" x14ac:dyDescent="0.35">
      <c r="A342" t="s">
        <v>397</v>
      </c>
      <c r="B342" s="1">
        <v>45219</v>
      </c>
      <c r="C342" t="s">
        <v>162</v>
      </c>
      <c r="D342" t="s">
        <v>26</v>
      </c>
      <c r="E342" t="s">
        <v>27</v>
      </c>
      <c r="F342" s="4">
        <v>0</v>
      </c>
      <c r="G342" s="5">
        <v>4</v>
      </c>
      <c r="H342" t="s">
        <v>28</v>
      </c>
      <c r="I342" t="str">
        <f t="shared" si="20"/>
        <v>2023-10</v>
      </c>
      <c r="J342" s="4">
        <f t="shared" si="21"/>
        <v>0</v>
      </c>
      <c r="K342" t="str" cm="1">
        <f t="array" ref="K342">_xlfn.IFS(G342&lt;=5, "Small", G342&lt;=15, "Medium", G342&gt;15, "Large")</f>
        <v>Small</v>
      </c>
      <c r="L342" t="str">
        <f t="shared" si="22"/>
        <v>Standard</v>
      </c>
      <c r="M342" t="str">
        <f t="shared" si="23"/>
        <v>Weekday</v>
      </c>
    </row>
    <row r="343" spans="1:13" x14ac:dyDescent="0.35">
      <c r="A343" t="s">
        <v>398</v>
      </c>
      <c r="B343" s="1">
        <v>45391</v>
      </c>
      <c r="C343" t="s">
        <v>37</v>
      </c>
      <c r="D343" t="s">
        <v>21</v>
      </c>
      <c r="E343" t="s">
        <v>27</v>
      </c>
      <c r="F343" s="4">
        <v>20230.560000000001</v>
      </c>
      <c r="G343" s="5">
        <v>4</v>
      </c>
      <c r="H343" t="s">
        <v>15</v>
      </c>
      <c r="I343" t="str">
        <f t="shared" si="20"/>
        <v>2024-04</v>
      </c>
      <c r="J343" s="4">
        <f t="shared" si="21"/>
        <v>5057.6400000000003</v>
      </c>
      <c r="K343" t="str" cm="1">
        <f t="array" ref="K343">_xlfn.IFS(G343&lt;=5, "Small", G343&lt;=15, "Medium", G343&gt;15, "Large")</f>
        <v>Small</v>
      </c>
      <c r="L343" t="str">
        <f t="shared" si="22"/>
        <v>Standard</v>
      </c>
      <c r="M343" t="str">
        <f t="shared" si="23"/>
        <v>Weekday</v>
      </c>
    </row>
    <row r="344" spans="1:13" x14ac:dyDescent="0.35">
      <c r="A344" t="s">
        <v>399</v>
      </c>
      <c r="B344" s="1">
        <v>45567</v>
      </c>
      <c r="C344" t="s">
        <v>14</v>
      </c>
      <c r="D344" t="s">
        <v>10</v>
      </c>
      <c r="E344" t="s">
        <v>27</v>
      </c>
      <c r="F344" s="4">
        <v>7741.92</v>
      </c>
      <c r="G344" s="5">
        <v>2</v>
      </c>
      <c r="H344" t="s">
        <v>15</v>
      </c>
      <c r="I344" t="str">
        <f t="shared" si="20"/>
        <v>2024-10</v>
      </c>
      <c r="J344" s="4">
        <f t="shared" si="21"/>
        <v>3870.96</v>
      </c>
      <c r="K344" t="str" cm="1">
        <f t="array" ref="K344">_xlfn.IFS(G344&lt;=5, "Small", G344&lt;=15, "Medium", G344&gt;15, "Large")</f>
        <v>Small</v>
      </c>
      <c r="L344" t="str">
        <f t="shared" si="22"/>
        <v>Standard</v>
      </c>
      <c r="M344" t="str">
        <f t="shared" si="23"/>
        <v>Weekday</v>
      </c>
    </row>
    <row r="345" spans="1:13" x14ac:dyDescent="0.35">
      <c r="A345" t="s">
        <v>400</v>
      </c>
      <c r="B345" s="1">
        <v>45179</v>
      </c>
      <c r="C345" t="s">
        <v>42</v>
      </c>
      <c r="D345" t="s">
        <v>10</v>
      </c>
      <c r="E345" t="s">
        <v>18</v>
      </c>
      <c r="F345" s="4">
        <v>3083.38</v>
      </c>
      <c r="G345" s="5">
        <v>15</v>
      </c>
      <c r="H345" t="s">
        <v>15</v>
      </c>
      <c r="I345" t="str">
        <f t="shared" si="20"/>
        <v>2023-09</v>
      </c>
      <c r="J345" s="4">
        <f t="shared" si="21"/>
        <v>205.55866666666668</v>
      </c>
      <c r="K345" t="str" cm="1">
        <f t="array" ref="K345">_xlfn.IFS(G345&lt;=5, "Small", G345&lt;=15, "Medium", G345&gt;15, "Large")</f>
        <v>Medium</v>
      </c>
      <c r="L345" t="str">
        <f t="shared" si="22"/>
        <v>Standard</v>
      </c>
      <c r="M345" t="str">
        <f t="shared" si="23"/>
        <v>Weekend</v>
      </c>
    </row>
    <row r="346" spans="1:13" x14ac:dyDescent="0.35">
      <c r="A346" t="s">
        <v>401</v>
      </c>
      <c r="B346" s="1">
        <v>45087</v>
      </c>
      <c r="C346" t="s">
        <v>53</v>
      </c>
      <c r="D346" t="s">
        <v>31</v>
      </c>
      <c r="E346" t="s">
        <v>18</v>
      </c>
      <c r="F346" s="4">
        <v>1769.45</v>
      </c>
      <c r="G346" s="5">
        <v>28</v>
      </c>
      <c r="H346" t="s">
        <v>15</v>
      </c>
      <c r="I346" t="str">
        <f t="shared" si="20"/>
        <v>2023-06</v>
      </c>
      <c r="J346" s="4">
        <f t="shared" si="21"/>
        <v>63.19464285714286</v>
      </c>
      <c r="K346" t="str" cm="1">
        <f t="array" ref="K346">_xlfn.IFS(G346&lt;=5, "Small", G346&lt;=15, "Medium", G346&gt;15, "Large")</f>
        <v>Large</v>
      </c>
      <c r="L346" t="str">
        <f t="shared" si="22"/>
        <v>Standard</v>
      </c>
      <c r="M346" t="str">
        <f t="shared" si="23"/>
        <v>Weekend</v>
      </c>
    </row>
    <row r="347" spans="1:13" x14ac:dyDescent="0.35">
      <c r="A347" t="s">
        <v>402</v>
      </c>
      <c r="B347" s="1">
        <v>45467</v>
      </c>
      <c r="C347" t="s">
        <v>241</v>
      </c>
      <c r="D347" t="s">
        <v>31</v>
      </c>
      <c r="E347" t="s">
        <v>27</v>
      </c>
      <c r="F347" s="4">
        <v>36215.660000000003</v>
      </c>
      <c r="G347" s="5">
        <v>2</v>
      </c>
      <c r="H347" t="s">
        <v>15</v>
      </c>
      <c r="I347" t="str">
        <f t="shared" si="20"/>
        <v>2024-06</v>
      </c>
      <c r="J347" s="4">
        <f t="shared" si="21"/>
        <v>18107.830000000002</v>
      </c>
      <c r="K347" t="str" cm="1">
        <f t="array" ref="K347">_xlfn.IFS(G347&lt;=5, "Small", G347&lt;=15, "Medium", G347&gt;15, "Large")</f>
        <v>Small</v>
      </c>
      <c r="L347" t="str">
        <f t="shared" si="22"/>
        <v>VIP</v>
      </c>
      <c r="M347" t="str">
        <f t="shared" si="23"/>
        <v>Weekday</v>
      </c>
    </row>
    <row r="348" spans="1:13" x14ac:dyDescent="0.35">
      <c r="A348" t="s">
        <v>403</v>
      </c>
      <c r="B348" s="1">
        <v>45221</v>
      </c>
      <c r="C348" t="s">
        <v>72</v>
      </c>
      <c r="D348" t="s">
        <v>26</v>
      </c>
      <c r="E348" t="s">
        <v>11</v>
      </c>
      <c r="F348" s="4">
        <v>7673.22</v>
      </c>
      <c r="G348" s="5">
        <v>6</v>
      </c>
      <c r="H348" t="s">
        <v>15</v>
      </c>
      <c r="I348" t="str">
        <f t="shared" si="20"/>
        <v>2023-10</v>
      </c>
      <c r="J348" s="4">
        <f t="shared" si="21"/>
        <v>1278.8700000000001</v>
      </c>
      <c r="K348" t="str" cm="1">
        <f t="array" ref="K348">_xlfn.IFS(G348&lt;=5, "Small", G348&lt;=15, "Medium", G348&gt;15, "Large")</f>
        <v>Medium</v>
      </c>
      <c r="L348" t="str">
        <f t="shared" si="22"/>
        <v>Standard</v>
      </c>
      <c r="M348" t="str">
        <f t="shared" si="23"/>
        <v>Weekend</v>
      </c>
    </row>
    <row r="349" spans="1:13" x14ac:dyDescent="0.35">
      <c r="A349" t="s">
        <v>404</v>
      </c>
      <c r="B349" s="1">
        <v>45352</v>
      </c>
      <c r="C349" t="s">
        <v>30</v>
      </c>
      <c r="D349" t="s">
        <v>31</v>
      </c>
      <c r="E349" t="s">
        <v>11</v>
      </c>
      <c r="F349" s="4">
        <v>12072.41</v>
      </c>
      <c r="G349" s="5">
        <v>6</v>
      </c>
      <c r="H349" t="s">
        <v>15</v>
      </c>
      <c r="I349" t="str">
        <f t="shared" si="20"/>
        <v>2024-03</v>
      </c>
      <c r="J349" s="4">
        <f t="shared" si="21"/>
        <v>2012.0683333333334</v>
      </c>
      <c r="K349" t="str" cm="1">
        <f t="array" ref="K349">_xlfn.IFS(G349&lt;=5, "Small", G349&lt;=15, "Medium", G349&gt;15, "Large")</f>
        <v>Medium</v>
      </c>
      <c r="L349" t="str">
        <f t="shared" si="22"/>
        <v>Standard</v>
      </c>
      <c r="M349" t="str">
        <f t="shared" si="23"/>
        <v>Weekday</v>
      </c>
    </row>
    <row r="350" spans="1:13" x14ac:dyDescent="0.35">
      <c r="A350" t="s">
        <v>405</v>
      </c>
      <c r="B350" s="1">
        <v>45062</v>
      </c>
      <c r="C350" t="s">
        <v>14</v>
      </c>
      <c r="D350" t="s">
        <v>10</v>
      </c>
      <c r="E350" t="s">
        <v>11</v>
      </c>
      <c r="F350" s="4">
        <v>7160.31</v>
      </c>
      <c r="G350" s="5">
        <v>2</v>
      </c>
      <c r="H350" t="s">
        <v>15</v>
      </c>
      <c r="I350" t="str">
        <f t="shared" si="20"/>
        <v>2023-05</v>
      </c>
      <c r="J350" s="4">
        <f t="shared" si="21"/>
        <v>3580.1550000000002</v>
      </c>
      <c r="K350" t="str" cm="1">
        <f t="array" ref="K350">_xlfn.IFS(G350&lt;=5, "Small", G350&lt;=15, "Medium", G350&gt;15, "Large")</f>
        <v>Small</v>
      </c>
      <c r="L350" t="str">
        <f t="shared" si="22"/>
        <v>Standard</v>
      </c>
      <c r="M350" t="str">
        <f t="shared" si="23"/>
        <v>Weekday</v>
      </c>
    </row>
    <row r="351" spans="1:13" x14ac:dyDescent="0.35">
      <c r="A351" t="s">
        <v>406</v>
      </c>
      <c r="B351" s="1">
        <v>45292</v>
      </c>
      <c r="C351" t="s">
        <v>126</v>
      </c>
      <c r="D351" t="s">
        <v>21</v>
      </c>
      <c r="E351" t="s">
        <v>27</v>
      </c>
      <c r="F351" s="4">
        <v>5221.99</v>
      </c>
      <c r="G351" s="5">
        <v>5</v>
      </c>
      <c r="H351" t="s">
        <v>15</v>
      </c>
      <c r="I351" t="str">
        <f t="shared" si="20"/>
        <v>2024-01</v>
      </c>
      <c r="J351" s="4">
        <f t="shared" si="21"/>
        <v>1044.3979999999999</v>
      </c>
      <c r="K351" t="str" cm="1">
        <f t="array" ref="K351">_xlfn.IFS(G351&lt;=5, "Small", G351&lt;=15, "Medium", G351&gt;15, "Large")</f>
        <v>Small</v>
      </c>
      <c r="L351" t="str">
        <f t="shared" si="22"/>
        <v>Standard</v>
      </c>
      <c r="M351" t="str">
        <f t="shared" si="23"/>
        <v>Weekday</v>
      </c>
    </row>
    <row r="352" spans="1:13" x14ac:dyDescent="0.35">
      <c r="A352" t="s">
        <v>407</v>
      </c>
      <c r="B352" s="1">
        <v>45305</v>
      </c>
      <c r="C352" t="s">
        <v>166</v>
      </c>
      <c r="D352" t="s">
        <v>26</v>
      </c>
      <c r="E352" t="s">
        <v>18</v>
      </c>
      <c r="F352" s="4">
        <v>864.88</v>
      </c>
      <c r="G352" s="5">
        <v>6</v>
      </c>
      <c r="H352" t="s">
        <v>15</v>
      </c>
      <c r="I352" t="str">
        <f t="shared" si="20"/>
        <v>2024-01</v>
      </c>
      <c r="J352" s="4">
        <f t="shared" si="21"/>
        <v>144.14666666666668</v>
      </c>
      <c r="K352" t="str" cm="1">
        <f t="array" ref="K352">_xlfn.IFS(G352&lt;=5, "Small", G352&lt;=15, "Medium", G352&gt;15, "Large")</f>
        <v>Medium</v>
      </c>
      <c r="L352" t="str">
        <f t="shared" si="22"/>
        <v>Standard</v>
      </c>
      <c r="M352" t="str">
        <f t="shared" si="23"/>
        <v>Weekend</v>
      </c>
    </row>
    <row r="353" spans="1:13" x14ac:dyDescent="0.35">
      <c r="A353" t="s">
        <v>408</v>
      </c>
      <c r="B353" s="1">
        <v>45247</v>
      </c>
      <c r="C353" t="s">
        <v>84</v>
      </c>
      <c r="D353" t="s">
        <v>26</v>
      </c>
      <c r="E353" t="s">
        <v>27</v>
      </c>
      <c r="F353" s="4">
        <v>17716.27</v>
      </c>
      <c r="G353" s="5">
        <v>2</v>
      </c>
      <c r="H353" t="s">
        <v>15</v>
      </c>
      <c r="I353" t="str">
        <f t="shared" si="20"/>
        <v>2023-11</v>
      </c>
      <c r="J353" s="4">
        <f t="shared" si="21"/>
        <v>8858.1350000000002</v>
      </c>
      <c r="K353" t="str" cm="1">
        <f t="array" ref="K353">_xlfn.IFS(G353&lt;=5, "Small", G353&lt;=15, "Medium", G353&gt;15, "Large")</f>
        <v>Small</v>
      </c>
      <c r="L353" t="str">
        <f t="shared" si="22"/>
        <v>Standard</v>
      </c>
      <c r="M353" t="str">
        <f t="shared" si="23"/>
        <v>Weekday</v>
      </c>
    </row>
    <row r="354" spans="1:13" x14ac:dyDescent="0.35">
      <c r="A354" t="s">
        <v>409</v>
      </c>
      <c r="B354" s="1">
        <v>45165</v>
      </c>
      <c r="C354" t="s">
        <v>48</v>
      </c>
      <c r="D354" t="s">
        <v>31</v>
      </c>
      <c r="E354" t="s">
        <v>18</v>
      </c>
      <c r="F354" s="4">
        <v>3076.34</v>
      </c>
      <c r="G354" s="5">
        <v>11</v>
      </c>
      <c r="H354" t="s">
        <v>15</v>
      </c>
      <c r="I354" t="str">
        <f t="shared" si="20"/>
        <v>2023-08</v>
      </c>
      <c r="J354" s="4">
        <f t="shared" si="21"/>
        <v>279.66727272727275</v>
      </c>
      <c r="K354" t="str" cm="1">
        <f t="array" ref="K354">_xlfn.IFS(G354&lt;=5, "Small", G354&lt;=15, "Medium", G354&gt;15, "Large")</f>
        <v>Medium</v>
      </c>
      <c r="L354" t="str">
        <f t="shared" si="22"/>
        <v>Standard</v>
      </c>
      <c r="M354" t="str">
        <f t="shared" si="23"/>
        <v>Weekend</v>
      </c>
    </row>
    <row r="355" spans="1:13" x14ac:dyDescent="0.35">
      <c r="A355" t="s">
        <v>410</v>
      </c>
      <c r="B355" s="1">
        <v>45494</v>
      </c>
      <c r="C355" t="s">
        <v>82</v>
      </c>
      <c r="D355" t="s">
        <v>10</v>
      </c>
      <c r="E355" t="s">
        <v>27</v>
      </c>
      <c r="F355" s="4">
        <v>34523.64</v>
      </c>
      <c r="G355" s="5">
        <v>2</v>
      </c>
      <c r="H355" t="s">
        <v>15</v>
      </c>
      <c r="I355" t="str">
        <f t="shared" si="20"/>
        <v>2024-07</v>
      </c>
      <c r="J355" s="4">
        <f t="shared" si="21"/>
        <v>17261.82</v>
      </c>
      <c r="K355" t="str" cm="1">
        <f t="array" ref="K355">_xlfn.IFS(G355&lt;=5, "Small", G355&lt;=15, "Medium", G355&gt;15, "Large")</f>
        <v>Small</v>
      </c>
      <c r="L355" t="str">
        <f t="shared" si="22"/>
        <v>VIP</v>
      </c>
      <c r="M355" t="str">
        <f t="shared" si="23"/>
        <v>Weekend</v>
      </c>
    </row>
    <row r="356" spans="1:13" x14ac:dyDescent="0.35">
      <c r="A356" t="s">
        <v>411</v>
      </c>
      <c r="B356" s="1">
        <v>45382</v>
      </c>
      <c r="C356" t="s">
        <v>64</v>
      </c>
      <c r="D356" t="s">
        <v>10</v>
      </c>
      <c r="E356" t="s">
        <v>27</v>
      </c>
      <c r="F356" s="4">
        <v>40504.06</v>
      </c>
      <c r="G356" s="5">
        <v>3</v>
      </c>
      <c r="H356" t="s">
        <v>15</v>
      </c>
      <c r="I356" t="str">
        <f t="shared" si="20"/>
        <v>2024-03</v>
      </c>
      <c r="J356" s="4">
        <f t="shared" si="21"/>
        <v>13501.353333333333</v>
      </c>
      <c r="K356" t="str" cm="1">
        <f t="array" ref="K356">_xlfn.IFS(G356&lt;=5, "Small", G356&lt;=15, "Medium", G356&gt;15, "Large")</f>
        <v>Small</v>
      </c>
      <c r="L356" t="str">
        <f t="shared" si="22"/>
        <v>VIP</v>
      </c>
      <c r="M356" t="str">
        <f t="shared" si="23"/>
        <v>Weekend</v>
      </c>
    </row>
    <row r="357" spans="1:13" x14ac:dyDescent="0.35">
      <c r="A357" t="s">
        <v>412</v>
      </c>
      <c r="B357" s="1">
        <v>45491</v>
      </c>
      <c r="C357" t="s">
        <v>14</v>
      </c>
      <c r="D357" t="s">
        <v>10</v>
      </c>
      <c r="E357" t="s">
        <v>27</v>
      </c>
      <c r="F357" s="4">
        <v>19090.560000000001</v>
      </c>
      <c r="G357" s="5">
        <v>4</v>
      </c>
      <c r="H357" t="s">
        <v>15</v>
      </c>
      <c r="I357" t="str">
        <f t="shared" si="20"/>
        <v>2024-07</v>
      </c>
      <c r="J357" s="4">
        <f t="shared" si="21"/>
        <v>4772.6400000000003</v>
      </c>
      <c r="K357" t="str" cm="1">
        <f t="array" ref="K357">_xlfn.IFS(G357&lt;=5, "Small", G357&lt;=15, "Medium", G357&gt;15, "Large")</f>
        <v>Small</v>
      </c>
      <c r="L357" t="str">
        <f t="shared" si="22"/>
        <v>Standard</v>
      </c>
      <c r="M357" t="str">
        <f t="shared" si="23"/>
        <v>Weekday</v>
      </c>
    </row>
    <row r="358" spans="1:13" x14ac:dyDescent="0.35">
      <c r="A358" t="s">
        <v>413</v>
      </c>
      <c r="B358" s="1">
        <v>45223</v>
      </c>
      <c r="C358" t="s">
        <v>53</v>
      </c>
      <c r="D358" t="s">
        <v>31</v>
      </c>
      <c r="E358" t="s">
        <v>27</v>
      </c>
      <c r="F358" s="4">
        <v>0</v>
      </c>
      <c r="G358" s="5">
        <v>2</v>
      </c>
      <c r="H358" t="s">
        <v>12</v>
      </c>
      <c r="I358" t="str">
        <f t="shared" si="20"/>
        <v>2023-10</v>
      </c>
      <c r="J358" s="4">
        <f t="shared" si="21"/>
        <v>0</v>
      </c>
      <c r="K358" t="str" cm="1">
        <f t="array" ref="K358">_xlfn.IFS(G358&lt;=5, "Small", G358&lt;=15, "Medium", G358&gt;15, "Large")</f>
        <v>Small</v>
      </c>
      <c r="L358" t="str">
        <f t="shared" si="22"/>
        <v>Standard</v>
      </c>
      <c r="M358" t="str">
        <f t="shared" si="23"/>
        <v>Weekday</v>
      </c>
    </row>
    <row r="359" spans="1:13" x14ac:dyDescent="0.35">
      <c r="A359" t="s">
        <v>414</v>
      </c>
      <c r="B359" s="1">
        <v>45420</v>
      </c>
      <c r="C359" t="s">
        <v>48</v>
      </c>
      <c r="D359" t="s">
        <v>31</v>
      </c>
      <c r="E359" t="s">
        <v>27</v>
      </c>
      <c r="F359" s="4">
        <v>20330.23</v>
      </c>
      <c r="G359" s="5">
        <v>3</v>
      </c>
      <c r="H359" t="s">
        <v>15</v>
      </c>
      <c r="I359" t="str">
        <f t="shared" si="20"/>
        <v>2024-05</v>
      </c>
      <c r="J359" s="4">
        <f t="shared" si="21"/>
        <v>6776.7433333333329</v>
      </c>
      <c r="K359" t="str" cm="1">
        <f t="array" ref="K359">_xlfn.IFS(G359&lt;=5, "Small", G359&lt;=15, "Medium", G359&gt;15, "Large")</f>
        <v>Small</v>
      </c>
      <c r="L359" t="str">
        <f t="shared" si="22"/>
        <v>Standard</v>
      </c>
      <c r="M359" t="str">
        <f t="shared" si="23"/>
        <v>Weekday</v>
      </c>
    </row>
    <row r="360" spans="1:13" x14ac:dyDescent="0.35">
      <c r="A360" t="s">
        <v>415</v>
      </c>
      <c r="B360" s="1">
        <v>45293</v>
      </c>
      <c r="C360" t="s">
        <v>14</v>
      </c>
      <c r="D360" t="s">
        <v>10</v>
      </c>
      <c r="E360" t="s">
        <v>11</v>
      </c>
      <c r="F360" s="4">
        <v>4990.6400000000003</v>
      </c>
      <c r="G360" s="5">
        <v>2</v>
      </c>
      <c r="H360" t="s">
        <v>15</v>
      </c>
      <c r="I360" t="str">
        <f t="shared" si="20"/>
        <v>2024-01</v>
      </c>
      <c r="J360" s="4">
        <f t="shared" si="21"/>
        <v>2495.3200000000002</v>
      </c>
      <c r="K360" t="str" cm="1">
        <f t="array" ref="K360">_xlfn.IFS(G360&lt;=5, "Small", G360&lt;=15, "Medium", G360&gt;15, "Large")</f>
        <v>Small</v>
      </c>
      <c r="L360" t="str">
        <f t="shared" si="22"/>
        <v>Standard</v>
      </c>
      <c r="M360" t="str">
        <f t="shared" si="23"/>
        <v>Weekday</v>
      </c>
    </row>
    <row r="361" spans="1:13" x14ac:dyDescent="0.35">
      <c r="A361" t="s">
        <v>416</v>
      </c>
      <c r="B361" s="1">
        <v>45492</v>
      </c>
      <c r="C361" t="s">
        <v>97</v>
      </c>
      <c r="D361" t="s">
        <v>21</v>
      </c>
      <c r="E361" t="s">
        <v>27</v>
      </c>
      <c r="F361" s="4">
        <v>9011.9599999999991</v>
      </c>
      <c r="G361" s="5">
        <v>5</v>
      </c>
      <c r="H361" t="s">
        <v>15</v>
      </c>
      <c r="I361" t="str">
        <f t="shared" si="20"/>
        <v>2024-07</v>
      </c>
      <c r="J361" s="4">
        <f t="shared" si="21"/>
        <v>1802.3919999999998</v>
      </c>
      <c r="K361" t="str" cm="1">
        <f t="array" ref="K361">_xlfn.IFS(G361&lt;=5, "Small", G361&lt;=15, "Medium", G361&gt;15, "Large")</f>
        <v>Small</v>
      </c>
      <c r="L361" t="str">
        <f t="shared" si="22"/>
        <v>Standard</v>
      </c>
      <c r="M361" t="str">
        <f t="shared" si="23"/>
        <v>Weekday</v>
      </c>
    </row>
    <row r="362" spans="1:13" x14ac:dyDescent="0.35">
      <c r="A362" t="s">
        <v>417</v>
      </c>
      <c r="B362" s="1">
        <v>44988</v>
      </c>
      <c r="C362" t="s">
        <v>53</v>
      </c>
      <c r="D362" t="s">
        <v>31</v>
      </c>
      <c r="E362" t="s">
        <v>18</v>
      </c>
      <c r="F362" s="4">
        <v>2181.98</v>
      </c>
      <c r="G362" s="5">
        <v>2</v>
      </c>
      <c r="H362" t="s">
        <v>15</v>
      </c>
      <c r="I362" t="str">
        <f t="shared" si="20"/>
        <v>2023-03</v>
      </c>
      <c r="J362" s="4">
        <f t="shared" si="21"/>
        <v>1090.99</v>
      </c>
      <c r="K362" t="str" cm="1">
        <f t="array" ref="K362">_xlfn.IFS(G362&lt;=5, "Small", G362&lt;=15, "Medium", G362&gt;15, "Large")</f>
        <v>Small</v>
      </c>
      <c r="L362" t="str">
        <f t="shared" si="22"/>
        <v>Standard</v>
      </c>
      <c r="M362" t="str">
        <f t="shared" si="23"/>
        <v>Weekday</v>
      </c>
    </row>
    <row r="363" spans="1:13" x14ac:dyDescent="0.35">
      <c r="A363" t="s">
        <v>418</v>
      </c>
      <c r="B363" s="1">
        <v>45650</v>
      </c>
      <c r="C363" t="s">
        <v>35</v>
      </c>
      <c r="D363" t="s">
        <v>31</v>
      </c>
      <c r="E363" t="s">
        <v>27</v>
      </c>
      <c r="F363" s="4">
        <v>44304.45</v>
      </c>
      <c r="G363" s="5">
        <v>4</v>
      </c>
      <c r="H363" t="s">
        <v>15</v>
      </c>
      <c r="I363" t="str">
        <f t="shared" si="20"/>
        <v>2024-12</v>
      </c>
      <c r="J363" s="4">
        <f t="shared" si="21"/>
        <v>11076.112499999999</v>
      </c>
      <c r="K363" t="str" cm="1">
        <f t="array" ref="K363">_xlfn.IFS(G363&lt;=5, "Small", G363&lt;=15, "Medium", G363&gt;15, "Large")</f>
        <v>Small</v>
      </c>
      <c r="L363" t="str">
        <f t="shared" si="22"/>
        <v>VIP</v>
      </c>
      <c r="M363" t="str">
        <f t="shared" si="23"/>
        <v>Weekday</v>
      </c>
    </row>
    <row r="364" spans="1:13" x14ac:dyDescent="0.35">
      <c r="A364" t="s">
        <v>419</v>
      </c>
      <c r="B364" s="1">
        <v>45640</v>
      </c>
      <c r="C364" t="s">
        <v>241</v>
      </c>
      <c r="D364" t="s">
        <v>31</v>
      </c>
      <c r="E364" t="s">
        <v>18</v>
      </c>
      <c r="F364" s="4">
        <v>1044.77</v>
      </c>
      <c r="G364" s="5">
        <v>14</v>
      </c>
      <c r="H364" t="s">
        <v>15</v>
      </c>
      <c r="I364" t="str">
        <f t="shared" si="20"/>
        <v>2024-12</v>
      </c>
      <c r="J364" s="4">
        <f t="shared" si="21"/>
        <v>74.626428571428576</v>
      </c>
      <c r="K364" t="str" cm="1">
        <f t="array" ref="K364">_xlfn.IFS(G364&lt;=5, "Small", G364&lt;=15, "Medium", G364&gt;15, "Large")</f>
        <v>Medium</v>
      </c>
      <c r="L364" t="str">
        <f t="shared" si="22"/>
        <v>Standard</v>
      </c>
      <c r="M364" t="str">
        <f t="shared" si="23"/>
        <v>Weekend</v>
      </c>
    </row>
    <row r="365" spans="1:13" x14ac:dyDescent="0.35">
      <c r="A365" t="s">
        <v>420</v>
      </c>
      <c r="B365" s="1">
        <v>45082</v>
      </c>
      <c r="C365" t="s">
        <v>9</v>
      </c>
      <c r="D365" t="s">
        <v>10</v>
      </c>
      <c r="E365" t="s">
        <v>18</v>
      </c>
      <c r="F365" s="4">
        <v>523.54999999999995</v>
      </c>
      <c r="G365" s="5">
        <v>24</v>
      </c>
      <c r="H365" t="s">
        <v>15</v>
      </c>
      <c r="I365" t="str">
        <f t="shared" si="20"/>
        <v>2023-06</v>
      </c>
      <c r="J365" s="4">
        <f t="shared" si="21"/>
        <v>21.814583333333331</v>
      </c>
      <c r="K365" t="str" cm="1">
        <f t="array" ref="K365">_xlfn.IFS(G365&lt;=5, "Small", G365&lt;=15, "Medium", G365&gt;15, "Large")</f>
        <v>Large</v>
      </c>
      <c r="L365" t="str">
        <f t="shared" si="22"/>
        <v>Standard</v>
      </c>
      <c r="M365" t="str">
        <f t="shared" si="23"/>
        <v>Weekday</v>
      </c>
    </row>
    <row r="366" spans="1:13" x14ac:dyDescent="0.35">
      <c r="A366" t="s">
        <v>421</v>
      </c>
      <c r="B366" s="1">
        <v>45218</v>
      </c>
      <c r="C366" t="s">
        <v>48</v>
      </c>
      <c r="D366" t="s">
        <v>31</v>
      </c>
      <c r="E366" t="s">
        <v>11</v>
      </c>
      <c r="F366" s="4">
        <v>3627.61</v>
      </c>
      <c r="G366" s="5">
        <v>2</v>
      </c>
      <c r="H366" t="s">
        <v>15</v>
      </c>
      <c r="I366" t="str">
        <f t="shared" si="20"/>
        <v>2023-10</v>
      </c>
      <c r="J366" s="4">
        <f t="shared" si="21"/>
        <v>1813.8050000000001</v>
      </c>
      <c r="K366" t="str" cm="1">
        <f t="array" ref="K366">_xlfn.IFS(G366&lt;=5, "Small", G366&lt;=15, "Medium", G366&gt;15, "Large")</f>
        <v>Small</v>
      </c>
      <c r="L366" t="str">
        <f t="shared" si="22"/>
        <v>Standard</v>
      </c>
      <c r="M366" t="str">
        <f t="shared" si="23"/>
        <v>Weekday</v>
      </c>
    </row>
    <row r="367" spans="1:13" x14ac:dyDescent="0.35">
      <c r="A367" t="s">
        <v>422</v>
      </c>
      <c r="B367" s="1">
        <v>45071</v>
      </c>
      <c r="C367" t="s">
        <v>53</v>
      </c>
      <c r="D367" t="s">
        <v>31</v>
      </c>
      <c r="E367" t="s">
        <v>27</v>
      </c>
      <c r="F367" s="4">
        <v>3948.93</v>
      </c>
      <c r="G367" s="5">
        <v>5</v>
      </c>
      <c r="H367" t="s">
        <v>15</v>
      </c>
      <c r="I367" t="str">
        <f t="shared" si="20"/>
        <v>2023-05</v>
      </c>
      <c r="J367" s="4">
        <f t="shared" si="21"/>
        <v>789.78599999999994</v>
      </c>
      <c r="K367" t="str" cm="1">
        <f t="array" ref="K367">_xlfn.IFS(G367&lt;=5, "Small", G367&lt;=15, "Medium", G367&gt;15, "Large")</f>
        <v>Small</v>
      </c>
      <c r="L367" t="str">
        <f t="shared" si="22"/>
        <v>Standard</v>
      </c>
      <c r="M367" t="str">
        <f t="shared" si="23"/>
        <v>Weekday</v>
      </c>
    </row>
    <row r="368" spans="1:13" x14ac:dyDescent="0.35">
      <c r="A368" t="s">
        <v>423</v>
      </c>
      <c r="B368" s="1">
        <v>44953</v>
      </c>
      <c r="C368" t="s">
        <v>69</v>
      </c>
      <c r="D368" t="s">
        <v>26</v>
      </c>
      <c r="E368" t="s">
        <v>27</v>
      </c>
      <c r="F368" s="4">
        <v>23002.75</v>
      </c>
      <c r="G368" s="5">
        <v>5</v>
      </c>
      <c r="H368" t="s">
        <v>15</v>
      </c>
      <c r="I368" t="str">
        <f t="shared" si="20"/>
        <v>2023-01</v>
      </c>
      <c r="J368" s="4">
        <f t="shared" si="21"/>
        <v>4600.55</v>
      </c>
      <c r="K368" t="str" cm="1">
        <f t="array" ref="K368">_xlfn.IFS(G368&lt;=5, "Small", G368&lt;=15, "Medium", G368&gt;15, "Large")</f>
        <v>Small</v>
      </c>
      <c r="L368" t="str">
        <f t="shared" si="22"/>
        <v>Standard</v>
      </c>
      <c r="M368" t="str">
        <f t="shared" si="23"/>
        <v>Weekday</v>
      </c>
    </row>
    <row r="369" spans="1:13" x14ac:dyDescent="0.35">
      <c r="A369" t="s">
        <v>424</v>
      </c>
      <c r="B369" s="1">
        <v>45342</v>
      </c>
      <c r="C369" t="s">
        <v>69</v>
      </c>
      <c r="D369" t="s">
        <v>31</v>
      </c>
      <c r="E369" t="s">
        <v>11</v>
      </c>
      <c r="F369" s="4">
        <v>8917.4500000000007</v>
      </c>
      <c r="G369" s="5">
        <v>8</v>
      </c>
      <c r="H369" t="s">
        <v>15</v>
      </c>
      <c r="I369" t="str">
        <f t="shared" si="20"/>
        <v>2024-02</v>
      </c>
      <c r="J369" s="4">
        <f t="shared" si="21"/>
        <v>1114.6812500000001</v>
      </c>
      <c r="K369" t="str" cm="1">
        <f t="array" ref="K369">_xlfn.IFS(G369&lt;=5, "Small", G369&lt;=15, "Medium", G369&gt;15, "Large")</f>
        <v>Medium</v>
      </c>
      <c r="L369" t="str">
        <f t="shared" si="22"/>
        <v>Standard</v>
      </c>
      <c r="M369" t="str">
        <f t="shared" si="23"/>
        <v>Weekday</v>
      </c>
    </row>
    <row r="370" spans="1:13" x14ac:dyDescent="0.35">
      <c r="A370" t="s">
        <v>425</v>
      </c>
      <c r="B370" s="1">
        <v>45603</v>
      </c>
      <c r="C370" t="s">
        <v>175</v>
      </c>
      <c r="D370" t="s">
        <v>21</v>
      </c>
      <c r="E370" t="s">
        <v>18</v>
      </c>
      <c r="F370" s="4">
        <v>137.82</v>
      </c>
      <c r="G370" s="5">
        <v>16</v>
      </c>
      <c r="H370" t="s">
        <v>15</v>
      </c>
      <c r="I370" t="str">
        <f t="shared" si="20"/>
        <v>2024-11</v>
      </c>
      <c r="J370" s="4">
        <f t="shared" si="21"/>
        <v>8.6137499999999996</v>
      </c>
      <c r="K370" t="str" cm="1">
        <f t="array" ref="K370">_xlfn.IFS(G370&lt;=5, "Small", G370&lt;=15, "Medium", G370&gt;15, "Large")</f>
        <v>Large</v>
      </c>
      <c r="L370" t="str">
        <f t="shared" si="22"/>
        <v>Standard</v>
      </c>
      <c r="M370" t="str">
        <f t="shared" si="23"/>
        <v>Weekday</v>
      </c>
    </row>
    <row r="371" spans="1:13" x14ac:dyDescent="0.35">
      <c r="A371" t="s">
        <v>426</v>
      </c>
      <c r="B371" s="1">
        <v>45131</v>
      </c>
      <c r="C371" t="s">
        <v>91</v>
      </c>
      <c r="D371" t="s">
        <v>26</v>
      </c>
      <c r="E371" t="s">
        <v>27</v>
      </c>
      <c r="F371" s="4">
        <v>20780.29</v>
      </c>
      <c r="G371" s="5">
        <v>4</v>
      </c>
      <c r="H371" t="s">
        <v>15</v>
      </c>
      <c r="I371" t="str">
        <f t="shared" si="20"/>
        <v>2023-07</v>
      </c>
      <c r="J371" s="4">
        <f t="shared" si="21"/>
        <v>5195.0725000000002</v>
      </c>
      <c r="K371" t="str" cm="1">
        <f t="array" ref="K371">_xlfn.IFS(G371&lt;=5, "Small", G371&lt;=15, "Medium", G371&gt;15, "Large")</f>
        <v>Small</v>
      </c>
      <c r="L371" t="str">
        <f t="shared" si="22"/>
        <v>Standard</v>
      </c>
      <c r="M371" t="str">
        <f t="shared" si="23"/>
        <v>Weekday</v>
      </c>
    </row>
    <row r="372" spans="1:13" x14ac:dyDescent="0.35">
      <c r="A372" t="s">
        <v>427</v>
      </c>
      <c r="B372" s="1">
        <v>45298</v>
      </c>
      <c r="C372" t="s">
        <v>58</v>
      </c>
      <c r="D372" t="s">
        <v>31</v>
      </c>
      <c r="E372" t="s">
        <v>11</v>
      </c>
      <c r="F372" s="4">
        <v>0</v>
      </c>
      <c r="G372" s="5">
        <v>1</v>
      </c>
      <c r="H372" t="s">
        <v>28</v>
      </c>
      <c r="I372" t="str">
        <f t="shared" si="20"/>
        <v>2024-01</v>
      </c>
      <c r="J372" s="4">
        <f t="shared" si="21"/>
        <v>0</v>
      </c>
      <c r="K372" t="str" cm="1">
        <f t="array" ref="K372">_xlfn.IFS(G372&lt;=5, "Small", G372&lt;=15, "Medium", G372&gt;15, "Large")</f>
        <v>Small</v>
      </c>
      <c r="L372" t="str">
        <f t="shared" si="22"/>
        <v>Standard</v>
      </c>
      <c r="M372" t="str">
        <f t="shared" si="23"/>
        <v>Weekend</v>
      </c>
    </row>
    <row r="373" spans="1:13" x14ac:dyDescent="0.35">
      <c r="A373" t="s">
        <v>428</v>
      </c>
      <c r="B373" s="1">
        <v>45453</v>
      </c>
      <c r="C373" t="s">
        <v>91</v>
      </c>
      <c r="D373" t="s">
        <v>26</v>
      </c>
      <c r="E373" t="s">
        <v>11</v>
      </c>
      <c r="F373" s="4">
        <v>5240.29</v>
      </c>
      <c r="G373" s="5">
        <v>5</v>
      </c>
      <c r="H373" t="s">
        <v>15</v>
      </c>
      <c r="I373" t="str">
        <f t="shared" si="20"/>
        <v>2024-06</v>
      </c>
      <c r="J373" s="4">
        <f t="shared" si="21"/>
        <v>1048.058</v>
      </c>
      <c r="K373" t="str" cm="1">
        <f t="array" ref="K373">_xlfn.IFS(G373&lt;=5, "Small", G373&lt;=15, "Medium", G373&gt;15, "Large")</f>
        <v>Small</v>
      </c>
      <c r="L373" t="str">
        <f t="shared" si="22"/>
        <v>Standard</v>
      </c>
      <c r="M373" t="str">
        <f t="shared" si="23"/>
        <v>Weekday</v>
      </c>
    </row>
    <row r="374" spans="1:13" x14ac:dyDescent="0.35">
      <c r="A374" t="s">
        <v>429</v>
      </c>
      <c r="B374" s="1">
        <v>45630</v>
      </c>
      <c r="C374" t="s">
        <v>126</v>
      </c>
      <c r="D374" t="s">
        <v>21</v>
      </c>
      <c r="E374" t="s">
        <v>11</v>
      </c>
      <c r="F374" s="4">
        <v>6658.74</v>
      </c>
      <c r="G374" s="5">
        <v>4</v>
      </c>
      <c r="H374" t="s">
        <v>15</v>
      </c>
      <c r="I374" t="str">
        <f t="shared" si="20"/>
        <v>2024-12</v>
      </c>
      <c r="J374" s="4">
        <f t="shared" si="21"/>
        <v>1664.6849999999999</v>
      </c>
      <c r="K374" t="str" cm="1">
        <f t="array" ref="K374">_xlfn.IFS(G374&lt;=5, "Small", G374&lt;=15, "Medium", G374&gt;15, "Large")</f>
        <v>Small</v>
      </c>
      <c r="L374" t="str">
        <f t="shared" si="22"/>
        <v>Standard</v>
      </c>
      <c r="M374" t="str">
        <f t="shared" si="23"/>
        <v>Weekday</v>
      </c>
    </row>
    <row r="375" spans="1:13" x14ac:dyDescent="0.35">
      <c r="A375" t="s">
        <v>430</v>
      </c>
      <c r="B375" s="1">
        <v>45516</v>
      </c>
      <c r="C375" t="s">
        <v>40</v>
      </c>
      <c r="D375" t="s">
        <v>26</v>
      </c>
      <c r="E375" t="s">
        <v>18</v>
      </c>
      <c r="F375" s="4">
        <v>2258.4899999999998</v>
      </c>
      <c r="G375" s="5">
        <v>10</v>
      </c>
      <c r="H375" t="s">
        <v>15</v>
      </c>
      <c r="I375" t="str">
        <f t="shared" si="20"/>
        <v>2024-08</v>
      </c>
      <c r="J375" s="4">
        <f t="shared" si="21"/>
        <v>225.84899999999999</v>
      </c>
      <c r="K375" t="str" cm="1">
        <f t="array" ref="K375">_xlfn.IFS(G375&lt;=5, "Small", G375&lt;=15, "Medium", G375&gt;15, "Large")</f>
        <v>Medium</v>
      </c>
      <c r="L375" t="str">
        <f t="shared" si="22"/>
        <v>Standard</v>
      </c>
      <c r="M375" t="str">
        <f t="shared" si="23"/>
        <v>Weekday</v>
      </c>
    </row>
    <row r="376" spans="1:13" x14ac:dyDescent="0.35">
      <c r="A376" t="s">
        <v>431</v>
      </c>
      <c r="B376" s="1">
        <v>45652</v>
      </c>
      <c r="C376" t="s">
        <v>14</v>
      </c>
      <c r="D376" t="s">
        <v>10</v>
      </c>
      <c r="E376" t="s">
        <v>11</v>
      </c>
      <c r="F376" s="4">
        <v>15013.69</v>
      </c>
      <c r="G376" s="5">
        <v>2</v>
      </c>
      <c r="H376" t="s">
        <v>15</v>
      </c>
      <c r="I376" t="str">
        <f t="shared" si="20"/>
        <v>2024-12</v>
      </c>
      <c r="J376" s="4">
        <f t="shared" si="21"/>
        <v>7506.8450000000003</v>
      </c>
      <c r="K376" t="str" cm="1">
        <f t="array" ref="K376">_xlfn.IFS(G376&lt;=5, "Small", G376&lt;=15, "Medium", G376&gt;15, "Large")</f>
        <v>Small</v>
      </c>
      <c r="L376" t="str">
        <f t="shared" si="22"/>
        <v>Standard</v>
      </c>
      <c r="M376" t="str">
        <f t="shared" si="23"/>
        <v>Weekday</v>
      </c>
    </row>
    <row r="377" spans="1:13" x14ac:dyDescent="0.35">
      <c r="A377" t="s">
        <v>432</v>
      </c>
      <c r="B377" s="1">
        <v>45610</v>
      </c>
      <c r="C377" t="s">
        <v>58</v>
      </c>
      <c r="D377" t="s">
        <v>31</v>
      </c>
      <c r="E377" t="s">
        <v>11</v>
      </c>
      <c r="F377" s="4">
        <v>10915.79</v>
      </c>
      <c r="G377" s="5">
        <v>6</v>
      </c>
      <c r="H377" t="s">
        <v>15</v>
      </c>
      <c r="I377" t="str">
        <f t="shared" si="20"/>
        <v>2024-11</v>
      </c>
      <c r="J377" s="4">
        <f t="shared" si="21"/>
        <v>1819.2983333333334</v>
      </c>
      <c r="K377" t="str" cm="1">
        <f t="array" ref="K377">_xlfn.IFS(G377&lt;=5, "Small", G377&lt;=15, "Medium", G377&gt;15, "Large")</f>
        <v>Medium</v>
      </c>
      <c r="L377" t="str">
        <f t="shared" si="22"/>
        <v>Standard</v>
      </c>
      <c r="M377" t="str">
        <f t="shared" si="23"/>
        <v>Weekday</v>
      </c>
    </row>
    <row r="378" spans="1:13" x14ac:dyDescent="0.35">
      <c r="A378" t="s">
        <v>433</v>
      </c>
      <c r="B378" s="1">
        <v>45111</v>
      </c>
      <c r="C378" t="s">
        <v>62</v>
      </c>
      <c r="D378" t="s">
        <v>10</v>
      </c>
      <c r="E378" t="s">
        <v>18</v>
      </c>
      <c r="F378" s="4">
        <v>3026.35</v>
      </c>
      <c r="G378" s="5">
        <v>19</v>
      </c>
      <c r="H378" t="s">
        <v>15</v>
      </c>
      <c r="I378" t="str">
        <f t="shared" si="20"/>
        <v>2023-07</v>
      </c>
      <c r="J378" s="4">
        <f t="shared" si="21"/>
        <v>159.28157894736842</v>
      </c>
      <c r="K378" t="str" cm="1">
        <f t="array" ref="K378">_xlfn.IFS(G378&lt;=5, "Small", G378&lt;=15, "Medium", G378&gt;15, "Large")</f>
        <v>Large</v>
      </c>
      <c r="L378" t="str">
        <f t="shared" si="22"/>
        <v>Standard</v>
      </c>
      <c r="M378" t="str">
        <f t="shared" si="23"/>
        <v>Weekday</v>
      </c>
    </row>
    <row r="379" spans="1:13" x14ac:dyDescent="0.35">
      <c r="A379" t="s">
        <v>434</v>
      </c>
      <c r="B379" s="1">
        <v>45359</v>
      </c>
      <c r="C379" t="s">
        <v>35</v>
      </c>
      <c r="D379" t="s">
        <v>26</v>
      </c>
      <c r="E379" t="s">
        <v>18</v>
      </c>
      <c r="F379" s="4">
        <v>3486.62</v>
      </c>
      <c r="G379" s="5">
        <v>17</v>
      </c>
      <c r="H379" t="s">
        <v>15</v>
      </c>
      <c r="I379" t="str">
        <f t="shared" si="20"/>
        <v>2024-03</v>
      </c>
      <c r="J379" s="4">
        <f t="shared" si="21"/>
        <v>205.09529411764706</v>
      </c>
      <c r="K379" t="str" cm="1">
        <f t="array" ref="K379">_xlfn.IFS(G379&lt;=5, "Small", G379&lt;=15, "Medium", G379&gt;15, "Large")</f>
        <v>Large</v>
      </c>
      <c r="L379" t="str">
        <f t="shared" si="22"/>
        <v>Standard</v>
      </c>
      <c r="M379" t="str">
        <f t="shared" si="23"/>
        <v>Weekday</v>
      </c>
    </row>
    <row r="380" spans="1:13" x14ac:dyDescent="0.35">
      <c r="A380" t="s">
        <v>435</v>
      </c>
      <c r="B380" s="1">
        <v>45501</v>
      </c>
      <c r="C380" t="s">
        <v>25</v>
      </c>
      <c r="D380" t="s">
        <v>26</v>
      </c>
      <c r="E380" t="s">
        <v>27</v>
      </c>
      <c r="F380" s="4">
        <v>38186.06</v>
      </c>
      <c r="G380" s="5">
        <v>2</v>
      </c>
      <c r="H380" t="s">
        <v>15</v>
      </c>
      <c r="I380" t="str">
        <f t="shared" si="20"/>
        <v>2024-07</v>
      </c>
      <c r="J380" s="4">
        <f t="shared" si="21"/>
        <v>19093.03</v>
      </c>
      <c r="K380" t="str" cm="1">
        <f t="array" ref="K380">_xlfn.IFS(G380&lt;=5, "Small", G380&lt;=15, "Medium", G380&gt;15, "Large")</f>
        <v>Small</v>
      </c>
      <c r="L380" t="str">
        <f t="shared" si="22"/>
        <v>VIP</v>
      </c>
      <c r="M380" t="str">
        <f t="shared" si="23"/>
        <v>Weekend</v>
      </c>
    </row>
    <row r="381" spans="1:13" x14ac:dyDescent="0.35">
      <c r="A381" t="s">
        <v>436</v>
      </c>
      <c r="B381" s="1">
        <v>45639</v>
      </c>
      <c r="C381" t="s">
        <v>166</v>
      </c>
      <c r="D381" t="s">
        <v>26</v>
      </c>
      <c r="E381" t="s">
        <v>11</v>
      </c>
      <c r="F381" s="4">
        <v>11990.46</v>
      </c>
      <c r="G381" s="5">
        <v>2</v>
      </c>
      <c r="H381" t="s">
        <v>15</v>
      </c>
      <c r="I381" t="str">
        <f t="shared" si="20"/>
        <v>2024-12</v>
      </c>
      <c r="J381" s="4">
        <f t="shared" si="21"/>
        <v>5995.23</v>
      </c>
      <c r="K381" t="str" cm="1">
        <f t="array" ref="K381">_xlfn.IFS(G381&lt;=5, "Small", G381&lt;=15, "Medium", G381&gt;15, "Large")</f>
        <v>Small</v>
      </c>
      <c r="L381" t="str">
        <f t="shared" si="22"/>
        <v>Standard</v>
      </c>
      <c r="M381" t="str">
        <f t="shared" si="23"/>
        <v>Weekday</v>
      </c>
    </row>
    <row r="382" spans="1:13" x14ac:dyDescent="0.35">
      <c r="A382" t="s">
        <v>437</v>
      </c>
      <c r="B382" s="1">
        <v>45389</v>
      </c>
      <c r="C382" t="s">
        <v>78</v>
      </c>
      <c r="D382" t="s">
        <v>26</v>
      </c>
      <c r="E382" t="s">
        <v>18</v>
      </c>
      <c r="F382" s="4">
        <v>1047.9100000000001</v>
      </c>
      <c r="G382" s="5">
        <v>6</v>
      </c>
      <c r="H382" t="s">
        <v>15</v>
      </c>
      <c r="I382" t="str">
        <f t="shared" si="20"/>
        <v>2024-04</v>
      </c>
      <c r="J382" s="4">
        <f t="shared" si="21"/>
        <v>174.65166666666667</v>
      </c>
      <c r="K382" t="str" cm="1">
        <f t="array" ref="K382">_xlfn.IFS(G382&lt;=5, "Small", G382&lt;=15, "Medium", G382&gt;15, "Large")</f>
        <v>Medium</v>
      </c>
      <c r="L382" t="str">
        <f t="shared" si="22"/>
        <v>Standard</v>
      </c>
      <c r="M382" t="str">
        <f t="shared" si="23"/>
        <v>Weekend</v>
      </c>
    </row>
    <row r="383" spans="1:13" x14ac:dyDescent="0.35">
      <c r="A383" t="s">
        <v>438</v>
      </c>
      <c r="B383" s="1">
        <v>45257</v>
      </c>
      <c r="C383" t="s">
        <v>162</v>
      </c>
      <c r="D383" t="s">
        <v>26</v>
      </c>
      <c r="E383" t="s">
        <v>18</v>
      </c>
      <c r="F383" s="4">
        <v>764.56</v>
      </c>
      <c r="G383" s="5">
        <v>18</v>
      </c>
      <c r="H383" t="s">
        <v>15</v>
      </c>
      <c r="I383" t="str">
        <f t="shared" si="20"/>
        <v>2023-11</v>
      </c>
      <c r="J383" s="4">
        <f t="shared" si="21"/>
        <v>42.475555555555552</v>
      </c>
      <c r="K383" t="str" cm="1">
        <f t="array" ref="K383">_xlfn.IFS(G383&lt;=5, "Small", G383&lt;=15, "Medium", G383&gt;15, "Large")</f>
        <v>Large</v>
      </c>
      <c r="L383" t="str">
        <f t="shared" si="22"/>
        <v>Standard</v>
      </c>
      <c r="M383" t="str">
        <f t="shared" si="23"/>
        <v>Weekday</v>
      </c>
    </row>
    <row r="384" spans="1:13" x14ac:dyDescent="0.35">
      <c r="A384" t="s">
        <v>439</v>
      </c>
      <c r="B384" s="1">
        <v>44973</v>
      </c>
      <c r="C384" t="s">
        <v>9</v>
      </c>
      <c r="D384" t="s">
        <v>10</v>
      </c>
      <c r="E384" t="s">
        <v>18</v>
      </c>
      <c r="F384" s="4">
        <v>782.57</v>
      </c>
      <c r="G384" s="5">
        <v>21</v>
      </c>
      <c r="H384" t="s">
        <v>15</v>
      </c>
      <c r="I384" t="str">
        <f t="shared" si="20"/>
        <v>2023-02</v>
      </c>
      <c r="J384" s="4">
        <f t="shared" si="21"/>
        <v>37.265238095238097</v>
      </c>
      <c r="K384" t="str" cm="1">
        <f t="array" ref="K384">_xlfn.IFS(G384&lt;=5, "Small", G384&lt;=15, "Medium", G384&gt;15, "Large")</f>
        <v>Large</v>
      </c>
      <c r="L384" t="str">
        <f t="shared" si="22"/>
        <v>Standard</v>
      </c>
      <c r="M384" t="str">
        <f t="shared" si="23"/>
        <v>Weekday</v>
      </c>
    </row>
    <row r="385" spans="1:13" x14ac:dyDescent="0.35">
      <c r="A385" t="s">
        <v>440</v>
      </c>
      <c r="B385" s="1">
        <v>45256</v>
      </c>
      <c r="C385" t="s">
        <v>45</v>
      </c>
      <c r="D385" t="s">
        <v>21</v>
      </c>
      <c r="E385" t="s">
        <v>11</v>
      </c>
      <c r="F385" s="4">
        <v>17637.16</v>
      </c>
      <c r="G385" s="5">
        <v>4</v>
      </c>
      <c r="H385" t="s">
        <v>15</v>
      </c>
      <c r="I385" t="str">
        <f t="shared" si="20"/>
        <v>2023-11</v>
      </c>
      <c r="J385" s="4">
        <f t="shared" si="21"/>
        <v>4409.29</v>
      </c>
      <c r="K385" t="str" cm="1">
        <f t="array" ref="K385">_xlfn.IFS(G385&lt;=5, "Small", G385&lt;=15, "Medium", G385&gt;15, "Large")</f>
        <v>Small</v>
      </c>
      <c r="L385" t="str">
        <f t="shared" si="22"/>
        <v>Standard</v>
      </c>
      <c r="M385" t="str">
        <f t="shared" si="23"/>
        <v>Weekend</v>
      </c>
    </row>
    <row r="386" spans="1:13" x14ac:dyDescent="0.35">
      <c r="A386" t="s">
        <v>441</v>
      </c>
      <c r="B386" s="1">
        <v>45633</v>
      </c>
      <c r="C386" t="s">
        <v>53</v>
      </c>
      <c r="D386" t="s">
        <v>31</v>
      </c>
      <c r="E386" t="s">
        <v>27</v>
      </c>
      <c r="F386" s="4">
        <v>14403.55</v>
      </c>
      <c r="G386" s="5">
        <v>5</v>
      </c>
      <c r="H386" t="s">
        <v>15</v>
      </c>
      <c r="I386" t="str">
        <f t="shared" si="20"/>
        <v>2024-12</v>
      </c>
      <c r="J386" s="4">
        <f t="shared" si="21"/>
        <v>2880.71</v>
      </c>
      <c r="K386" t="str" cm="1">
        <f t="array" ref="K386">_xlfn.IFS(G386&lt;=5, "Small", G386&lt;=15, "Medium", G386&gt;15, "Large")</f>
        <v>Small</v>
      </c>
      <c r="L386" t="str">
        <f t="shared" si="22"/>
        <v>Standard</v>
      </c>
      <c r="M386" t="str">
        <f t="shared" si="23"/>
        <v>Weekend</v>
      </c>
    </row>
    <row r="387" spans="1:13" x14ac:dyDescent="0.35">
      <c r="A387" t="s">
        <v>442</v>
      </c>
      <c r="B387" s="1">
        <v>45444</v>
      </c>
      <c r="C387" t="s">
        <v>25</v>
      </c>
      <c r="D387" t="s">
        <v>26</v>
      </c>
      <c r="E387" t="s">
        <v>11</v>
      </c>
      <c r="F387" s="4">
        <v>7656.66</v>
      </c>
      <c r="G387" s="5">
        <v>8</v>
      </c>
      <c r="H387" t="s">
        <v>15</v>
      </c>
      <c r="I387" t="str">
        <f t="shared" ref="I387:I450" si="24">TEXT(B387, "YYYY-MM")</f>
        <v>2024-06</v>
      </c>
      <c r="J387" s="4">
        <f t="shared" ref="J387:J450" si="25">IFERROR(F387/G387, 0)</f>
        <v>957.08249999999998</v>
      </c>
      <c r="K387" t="str" cm="1">
        <f t="array" ref="K387">_xlfn.IFS(G387&lt;=5, "Small", G387&lt;=15, "Medium", G387&gt;15, "Large")</f>
        <v>Medium</v>
      </c>
      <c r="L387" t="str">
        <f t="shared" ref="L387:L450" si="26">IF(F387&gt;_xlfn.PERCENTILE.INC($F$2:$F$10000, 0.9), "VIP", "Standard")</f>
        <v>Standard</v>
      </c>
      <c r="M387" t="str">
        <f t="shared" ref="M387:M450" si="27">IF(WEEKDAY(B387, 2)&gt;5, "Weekend", "Weekday")</f>
        <v>Weekend</v>
      </c>
    </row>
    <row r="388" spans="1:13" x14ac:dyDescent="0.35">
      <c r="A388" t="s">
        <v>443</v>
      </c>
      <c r="B388" s="1">
        <v>45586</v>
      </c>
      <c r="C388" t="s">
        <v>241</v>
      </c>
      <c r="D388" t="s">
        <v>31</v>
      </c>
      <c r="E388" t="s">
        <v>11</v>
      </c>
      <c r="F388" s="4">
        <v>15636.07</v>
      </c>
      <c r="G388" s="5">
        <v>8</v>
      </c>
      <c r="H388" t="s">
        <v>15</v>
      </c>
      <c r="I388" t="str">
        <f t="shared" si="24"/>
        <v>2024-10</v>
      </c>
      <c r="J388" s="4">
        <f t="shared" si="25"/>
        <v>1954.50875</v>
      </c>
      <c r="K388" t="str" cm="1">
        <f t="array" ref="K388">_xlfn.IFS(G388&lt;=5, "Small", G388&lt;=15, "Medium", G388&gt;15, "Large")</f>
        <v>Medium</v>
      </c>
      <c r="L388" t="str">
        <f t="shared" si="26"/>
        <v>Standard</v>
      </c>
      <c r="M388" t="str">
        <f t="shared" si="27"/>
        <v>Weekday</v>
      </c>
    </row>
    <row r="389" spans="1:13" x14ac:dyDescent="0.35">
      <c r="A389" t="s">
        <v>444</v>
      </c>
      <c r="B389" s="1">
        <v>45420</v>
      </c>
      <c r="C389" t="s">
        <v>111</v>
      </c>
      <c r="D389" t="s">
        <v>31</v>
      </c>
      <c r="E389" t="s">
        <v>11</v>
      </c>
      <c r="F389" s="4">
        <v>15263.11</v>
      </c>
      <c r="G389" s="5">
        <v>6</v>
      </c>
      <c r="H389" t="s">
        <v>15</v>
      </c>
      <c r="I389" t="str">
        <f t="shared" si="24"/>
        <v>2024-05</v>
      </c>
      <c r="J389" s="4">
        <f t="shared" si="25"/>
        <v>2543.8516666666669</v>
      </c>
      <c r="K389" t="str" cm="1">
        <f t="array" ref="K389">_xlfn.IFS(G389&lt;=5, "Small", G389&lt;=15, "Medium", G389&gt;15, "Large")</f>
        <v>Medium</v>
      </c>
      <c r="L389" t="str">
        <f t="shared" si="26"/>
        <v>Standard</v>
      </c>
      <c r="M389" t="str">
        <f t="shared" si="27"/>
        <v>Weekday</v>
      </c>
    </row>
    <row r="390" spans="1:13" x14ac:dyDescent="0.35">
      <c r="A390" t="s">
        <v>445</v>
      </c>
      <c r="B390" s="1">
        <v>45278</v>
      </c>
      <c r="C390" t="s">
        <v>175</v>
      </c>
      <c r="D390" t="s">
        <v>21</v>
      </c>
      <c r="E390" t="s">
        <v>18</v>
      </c>
      <c r="F390" s="4">
        <v>2454.1799999999998</v>
      </c>
      <c r="G390" s="5">
        <v>27</v>
      </c>
      <c r="H390" t="s">
        <v>15</v>
      </c>
      <c r="I390" t="str">
        <f t="shared" si="24"/>
        <v>2023-12</v>
      </c>
      <c r="J390" s="4">
        <f t="shared" si="25"/>
        <v>90.895555555555546</v>
      </c>
      <c r="K390" t="str" cm="1">
        <f t="array" ref="K390">_xlfn.IFS(G390&lt;=5, "Small", G390&lt;=15, "Medium", G390&gt;15, "Large")</f>
        <v>Large</v>
      </c>
      <c r="L390" t="str">
        <f t="shared" si="26"/>
        <v>Standard</v>
      </c>
      <c r="M390" t="str">
        <f t="shared" si="27"/>
        <v>Weekday</v>
      </c>
    </row>
    <row r="391" spans="1:13" x14ac:dyDescent="0.35">
      <c r="A391" t="s">
        <v>446</v>
      </c>
      <c r="B391" s="1">
        <v>45412</v>
      </c>
      <c r="C391" t="s">
        <v>25</v>
      </c>
      <c r="D391" t="s">
        <v>26</v>
      </c>
      <c r="E391" t="s">
        <v>18</v>
      </c>
      <c r="F391" s="4">
        <v>3233.22</v>
      </c>
      <c r="G391" s="5">
        <v>2</v>
      </c>
      <c r="H391" t="s">
        <v>15</v>
      </c>
      <c r="I391" t="str">
        <f t="shared" si="24"/>
        <v>2024-04</v>
      </c>
      <c r="J391" s="4">
        <f t="shared" si="25"/>
        <v>1616.61</v>
      </c>
      <c r="K391" t="str" cm="1">
        <f t="array" ref="K391">_xlfn.IFS(G391&lt;=5, "Small", G391&lt;=15, "Medium", G391&gt;15, "Large")</f>
        <v>Small</v>
      </c>
      <c r="L391" t="str">
        <f t="shared" si="26"/>
        <v>Standard</v>
      </c>
      <c r="M391" t="str">
        <f t="shared" si="27"/>
        <v>Weekday</v>
      </c>
    </row>
    <row r="392" spans="1:13" x14ac:dyDescent="0.35">
      <c r="A392" t="s">
        <v>447</v>
      </c>
      <c r="B392" s="1">
        <v>45586</v>
      </c>
      <c r="C392" t="s">
        <v>162</v>
      </c>
      <c r="D392" t="s">
        <v>26</v>
      </c>
      <c r="E392" t="s">
        <v>18</v>
      </c>
      <c r="F392" s="4">
        <v>1919.33</v>
      </c>
      <c r="G392" s="5">
        <v>25</v>
      </c>
      <c r="H392" t="s">
        <v>15</v>
      </c>
      <c r="I392" t="str">
        <f t="shared" si="24"/>
        <v>2024-10</v>
      </c>
      <c r="J392" s="4">
        <f t="shared" si="25"/>
        <v>76.773200000000003</v>
      </c>
      <c r="K392" t="str" cm="1">
        <f t="array" ref="K392">_xlfn.IFS(G392&lt;=5, "Small", G392&lt;=15, "Medium", G392&gt;15, "Large")</f>
        <v>Large</v>
      </c>
      <c r="L392" t="str">
        <f t="shared" si="26"/>
        <v>Standard</v>
      </c>
      <c r="M392" t="str">
        <f t="shared" si="27"/>
        <v>Weekday</v>
      </c>
    </row>
    <row r="393" spans="1:13" x14ac:dyDescent="0.35">
      <c r="A393" t="s">
        <v>448</v>
      </c>
      <c r="B393" s="1">
        <v>44961</v>
      </c>
      <c r="C393" t="s">
        <v>82</v>
      </c>
      <c r="D393" t="s">
        <v>10</v>
      </c>
      <c r="E393" t="s">
        <v>27</v>
      </c>
      <c r="F393" s="4">
        <v>4783.8999999999996</v>
      </c>
      <c r="G393" s="5">
        <v>3</v>
      </c>
      <c r="H393" t="s">
        <v>15</v>
      </c>
      <c r="I393" t="str">
        <f t="shared" si="24"/>
        <v>2023-02</v>
      </c>
      <c r="J393" s="4">
        <f t="shared" si="25"/>
        <v>1594.6333333333332</v>
      </c>
      <c r="K393" t="str" cm="1">
        <f t="array" ref="K393">_xlfn.IFS(G393&lt;=5, "Small", G393&lt;=15, "Medium", G393&gt;15, "Large")</f>
        <v>Small</v>
      </c>
      <c r="L393" t="str">
        <f t="shared" si="26"/>
        <v>Standard</v>
      </c>
      <c r="M393" t="str">
        <f t="shared" si="27"/>
        <v>Weekend</v>
      </c>
    </row>
    <row r="394" spans="1:13" x14ac:dyDescent="0.35">
      <c r="A394" t="s">
        <v>449</v>
      </c>
      <c r="B394" s="1">
        <v>45491</v>
      </c>
      <c r="C394" t="s">
        <v>115</v>
      </c>
      <c r="D394" t="s">
        <v>10</v>
      </c>
      <c r="E394" t="s">
        <v>18</v>
      </c>
      <c r="F394" s="4">
        <v>1803.43</v>
      </c>
      <c r="G394" s="5">
        <v>29</v>
      </c>
      <c r="H394" t="s">
        <v>15</v>
      </c>
      <c r="I394" t="str">
        <f t="shared" si="24"/>
        <v>2024-07</v>
      </c>
      <c r="J394" s="4">
        <f t="shared" si="25"/>
        <v>62.18724137931035</v>
      </c>
      <c r="K394" t="str" cm="1">
        <f t="array" ref="K394">_xlfn.IFS(G394&lt;=5, "Small", G394&lt;=15, "Medium", G394&gt;15, "Large")</f>
        <v>Large</v>
      </c>
      <c r="L394" t="str">
        <f t="shared" si="26"/>
        <v>Standard</v>
      </c>
      <c r="M394" t="str">
        <f t="shared" si="27"/>
        <v>Weekday</v>
      </c>
    </row>
    <row r="395" spans="1:13" x14ac:dyDescent="0.35">
      <c r="A395" t="s">
        <v>450</v>
      </c>
      <c r="B395" s="1">
        <v>45225</v>
      </c>
      <c r="C395" t="s">
        <v>115</v>
      </c>
      <c r="D395" t="s">
        <v>10</v>
      </c>
      <c r="E395" t="s">
        <v>18</v>
      </c>
      <c r="F395" s="4">
        <v>725.01</v>
      </c>
      <c r="G395" s="5">
        <v>21</v>
      </c>
      <c r="H395" t="s">
        <v>15</v>
      </c>
      <c r="I395" t="str">
        <f t="shared" si="24"/>
        <v>2023-10</v>
      </c>
      <c r="J395" s="4">
        <f t="shared" si="25"/>
        <v>34.52428571428571</v>
      </c>
      <c r="K395" t="str" cm="1">
        <f t="array" ref="K395">_xlfn.IFS(G395&lt;=5, "Small", G395&lt;=15, "Medium", G395&gt;15, "Large")</f>
        <v>Large</v>
      </c>
      <c r="L395" t="str">
        <f t="shared" si="26"/>
        <v>Standard</v>
      </c>
      <c r="M395" t="str">
        <f t="shared" si="27"/>
        <v>Weekday</v>
      </c>
    </row>
    <row r="396" spans="1:13" x14ac:dyDescent="0.35">
      <c r="A396" t="s">
        <v>451</v>
      </c>
      <c r="B396" s="1">
        <v>45320</v>
      </c>
      <c r="C396" t="s">
        <v>17</v>
      </c>
      <c r="D396" t="s">
        <v>10</v>
      </c>
      <c r="E396" t="s">
        <v>18</v>
      </c>
      <c r="F396" s="4">
        <v>1038.32</v>
      </c>
      <c r="G396" s="5">
        <v>20</v>
      </c>
      <c r="H396" t="s">
        <v>15</v>
      </c>
      <c r="I396" t="str">
        <f t="shared" si="24"/>
        <v>2024-01</v>
      </c>
      <c r="J396" s="4">
        <f t="shared" si="25"/>
        <v>51.915999999999997</v>
      </c>
      <c r="K396" t="str" cm="1">
        <f t="array" ref="K396">_xlfn.IFS(G396&lt;=5, "Small", G396&lt;=15, "Medium", G396&gt;15, "Large")</f>
        <v>Large</v>
      </c>
      <c r="L396" t="str">
        <f t="shared" si="26"/>
        <v>Standard</v>
      </c>
      <c r="M396" t="str">
        <f t="shared" si="27"/>
        <v>Weekday</v>
      </c>
    </row>
    <row r="397" spans="1:13" x14ac:dyDescent="0.35">
      <c r="A397" t="s">
        <v>452</v>
      </c>
      <c r="B397" s="1">
        <v>45341</v>
      </c>
      <c r="C397" t="s">
        <v>25</v>
      </c>
      <c r="D397" t="s">
        <v>26</v>
      </c>
      <c r="E397" t="s">
        <v>11</v>
      </c>
      <c r="F397" s="4">
        <v>16722.259999999998</v>
      </c>
      <c r="G397" s="5">
        <v>3</v>
      </c>
      <c r="H397" t="s">
        <v>15</v>
      </c>
      <c r="I397" t="str">
        <f t="shared" si="24"/>
        <v>2024-02</v>
      </c>
      <c r="J397" s="4">
        <f t="shared" si="25"/>
        <v>5574.0866666666661</v>
      </c>
      <c r="K397" t="str" cm="1">
        <f t="array" ref="K397">_xlfn.IFS(G397&lt;=5, "Small", G397&lt;=15, "Medium", G397&gt;15, "Large")</f>
        <v>Small</v>
      </c>
      <c r="L397" t="str">
        <f t="shared" si="26"/>
        <v>Standard</v>
      </c>
      <c r="M397" t="str">
        <f t="shared" si="27"/>
        <v>Weekday</v>
      </c>
    </row>
    <row r="398" spans="1:13" x14ac:dyDescent="0.35">
      <c r="A398" t="s">
        <v>453</v>
      </c>
      <c r="B398" s="1">
        <v>45419</v>
      </c>
      <c r="C398" t="s">
        <v>9</v>
      </c>
      <c r="D398" t="s">
        <v>10</v>
      </c>
      <c r="E398" t="s">
        <v>27</v>
      </c>
      <c r="F398" s="4">
        <v>30486.18</v>
      </c>
      <c r="G398" s="5">
        <v>1</v>
      </c>
      <c r="H398" t="s">
        <v>15</v>
      </c>
      <c r="I398" t="str">
        <f t="shared" si="24"/>
        <v>2024-05</v>
      </c>
      <c r="J398" s="4">
        <f t="shared" si="25"/>
        <v>30486.18</v>
      </c>
      <c r="K398" t="str" cm="1">
        <f t="array" ref="K398">_xlfn.IFS(G398&lt;=5, "Small", G398&lt;=15, "Medium", G398&gt;15, "Large")</f>
        <v>Small</v>
      </c>
      <c r="L398" t="str">
        <f t="shared" si="26"/>
        <v>VIP</v>
      </c>
      <c r="M398" t="str">
        <f t="shared" si="27"/>
        <v>Weekday</v>
      </c>
    </row>
    <row r="399" spans="1:13" x14ac:dyDescent="0.35">
      <c r="A399" t="s">
        <v>454</v>
      </c>
      <c r="B399" s="1">
        <v>45335</v>
      </c>
      <c r="C399" t="s">
        <v>60</v>
      </c>
      <c r="D399" t="s">
        <v>21</v>
      </c>
      <c r="E399" t="s">
        <v>27</v>
      </c>
      <c r="F399" s="4">
        <v>11876.77</v>
      </c>
      <c r="G399" s="5">
        <v>2</v>
      </c>
      <c r="H399" t="s">
        <v>15</v>
      </c>
      <c r="I399" t="str">
        <f t="shared" si="24"/>
        <v>2024-02</v>
      </c>
      <c r="J399" s="4">
        <f t="shared" si="25"/>
        <v>5938.3850000000002</v>
      </c>
      <c r="K399" t="str" cm="1">
        <f t="array" ref="K399">_xlfn.IFS(G399&lt;=5, "Small", G399&lt;=15, "Medium", G399&gt;15, "Large")</f>
        <v>Small</v>
      </c>
      <c r="L399" t="str">
        <f t="shared" si="26"/>
        <v>Standard</v>
      </c>
      <c r="M399" t="str">
        <f t="shared" si="27"/>
        <v>Weekday</v>
      </c>
    </row>
    <row r="400" spans="1:13" x14ac:dyDescent="0.35">
      <c r="A400" t="s">
        <v>455</v>
      </c>
      <c r="B400" s="1">
        <v>45086</v>
      </c>
      <c r="C400" t="s">
        <v>30</v>
      </c>
      <c r="D400" t="s">
        <v>31</v>
      </c>
      <c r="E400" t="s">
        <v>11</v>
      </c>
      <c r="F400" s="4">
        <v>5858.39</v>
      </c>
      <c r="G400" s="5">
        <v>2</v>
      </c>
      <c r="H400" t="s">
        <v>15</v>
      </c>
      <c r="I400" t="str">
        <f t="shared" si="24"/>
        <v>2023-06</v>
      </c>
      <c r="J400" s="4">
        <f t="shared" si="25"/>
        <v>2929.1950000000002</v>
      </c>
      <c r="K400" t="str" cm="1">
        <f t="array" ref="K400">_xlfn.IFS(G400&lt;=5, "Small", G400&lt;=15, "Medium", G400&gt;15, "Large")</f>
        <v>Small</v>
      </c>
      <c r="L400" t="str">
        <f t="shared" si="26"/>
        <v>Standard</v>
      </c>
      <c r="M400" t="str">
        <f t="shared" si="27"/>
        <v>Weekday</v>
      </c>
    </row>
    <row r="401" spans="1:13" x14ac:dyDescent="0.35">
      <c r="A401" t="s">
        <v>456</v>
      </c>
      <c r="B401" s="1">
        <v>45443</v>
      </c>
      <c r="C401" t="s">
        <v>23</v>
      </c>
      <c r="D401" t="s">
        <v>21</v>
      </c>
      <c r="E401" t="s">
        <v>11</v>
      </c>
      <c r="F401" s="4">
        <v>1373.19</v>
      </c>
      <c r="G401" s="5">
        <v>8</v>
      </c>
      <c r="H401" t="s">
        <v>15</v>
      </c>
      <c r="I401" t="str">
        <f t="shared" si="24"/>
        <v>2024-05</v>
      </c>
      <c r="J401" s="4">
        <f t="shared" si="25"/>
        <v>171.64875000000001</v>
      </c>
      <c r="K401" t="str" cm="1">
        <f t="array" ref="K401">_xlfn.IFS(G401&lt;=5, "Small", G401&lt;=15, "Medium", G401&gt;15, "Large")</f>
        <v>Medium</v>
      </c>
      <c r="L401" t="str">
        <f t="shared" si="26"/>
        <v>Standard</v>
      </c>
      <c r="M401" t="str">
        <f t="shared" si="27"/>
        <v>Weekday</v>
      </c>
    </row>
    <row r="402" spans="1:13" x14ac:dyDescent="0.35">
      <c r="A402" t="s">
        <v>457</v>
      </c>
      <c r="B402" s="1">
        <v>45022</v>
      </c>
      <c r="C402" t="s">
        <v>84</v>
      </c>
      <c r="D402" t="s">
        <v>26</v>
      </c>
      <c r="E402" t="s">
        <v>27</v>
      </c>
      <c r="F402" s="4">
        <v>5831.37</v>
      </c>
      <c r="G402" s="5">
        <v>4</v>
      </c>
      <c r="H402" t="s">
        <v>15</v>
      </c>
      <c r="I402" t="str">
        <f t="shared" si="24"/>
        <v>2023-04</v>
      </c>
      <c r="J402" s="4">
        <f t="shared" si="25"/>
        <v>1457.8425</v>
      </c>
      <c r="K402" t="str" cm="1">
        <f t="array" ref="K402">_xlfn.IFS(G402&lt;=5, "Small", G402&lt;=15, "Medium", G402&gt;15, "Large")</f>
        <v>Small</v>
      </c>
      <c r="L402" t="str">
        <f t="shared" si="26"/>
        <v>Standard</v>
      </c>
      <c r="M402" t="str">
        <f t="shared" si="27"/>
        <v>Weekday</v>
      </c>
    </row>
    <row r="403" spans="1:13" x14ac:dyDescent="0.35">
      <c r="A403" t="s">
        <v>458</v>
      </c>
      <c r="B403" s="1">
        <v>45026</v>
      </c>
      <c r="C403" t="s">
        <v>30</v>
      </c>
      <c r="D403" t="s">
        <v>31</v>
      </c>
      <c r="E403" t="s">
        <v>18</v>
      </c>
      <c r="F403" s="4">
        <v>1379.39</v>
      </c>
      <c r="G403" s="5">
        <v>7</v>
      </c>
      <c r="H403" t="s">
        <v>15</v>
      </c>
      <c r="I403" t="str">
        <f t="shared" si="24"/>
        <v>2023-04</v>
      </c>
      <c r="J403" s="4">
        <f t="shared" si="25"/>
        <v>197.05571428571429</v>
      </c>
      <c r="K403" t="str" cm="1">
        <f t="array" ref="K403">_xlfn.IFS(G403&lt;=5, "Small", G403&lt;=15, "Medium", G403&gt;15, "Large")</f>
        <v>Medium</v>
      </c>
      <c r="L403" t="str">
        <f t="shared" si="26"/>
        <v>Standard</v>
      </c>
      <c r="M403" t="str">
        <f t="shared" si="27"/>
        <v>Weekday</v>
      </c>
    </row>
    <row r="404" spans="1:13" x14ac:dyDescent="0.35">
      <c r="A404" t="s">
        <v>459</v>
      </c>
      <c r="B404" s="1">
        <v>45028</v>
      </c>
      <c r="C404" t="s">
        <v>74</v>
      </c>
      <c r="D404" t="s">
        <v>31</v>
      </c>
      <c r="E404" t="s">
        <v>11</v>
      </c>
      <c r="F404" s="4">
        <v>15149.8</v>
      </c>
      <c r="G404" s="5">
        <v>2</v>
      </c>
      <c r="H404" t="s">
        <v>15</v>
      </c>
      <c r="I404" t="str">
        <f t="shared" si="24"/>
        <v>2023-04</v>
      </c>
      <c r="J404" s="4">
        <f t="shared" si="25"/>
        <v>7574.9</v>
      </c>
      <c r="K404" t="str" cm="1">
        <f t="array" ref="K404">_xlfn.IFS(G404&lt;=5, "Small", G404&lt;=15, "Medium", G404&gt;15, "Large")</f>
        <v>Small</v>
      </c>
      <c r="L404" t="str">
        <f t="shared" si="26"/>
        <v>Standard</v>
      </c>
      <c r="M404" t="str">
        <f t="shared" si="27"/>
        <v>Weekday</v>
      </c>
    </row>
    <row r="405" spans="1:13" x14ac:dyDescent="0.35">
      <c r="A405" t="s">
        <v>460</v>
      </c>
      <c r="B405" s="1">
        <v>44929</v>
      </c>
      <c r="C405" t="s">
        <v>115</v>
      </c>
      <c r="D405" t="s">
        <v>10</v>
      </c>
      <c r="E405" t="s">
        <v>18</v>
      </c>
      <c r="F405" s="4">
        <v>2928.14</v>
      </c>
      <c r="G405" s="5">
        <v>16</v>
      </c>
      <c r="H405" t="s">
        <v>15</v>
      </c>
      <c r="I405" t="str">
        <f t="shared" si="24"/>
        <v>2023-01</v>
      </c>
      <c r="J405" s="4">
        <f t="shared" si="25"/>
        <v>183.00874999999999</v>
      </c>
      <c r="K405" t="str" cm="1">
        <f t="array" ref="K405">_xlfn.IFS(G405&lt;=5, "Small", G405&lt;=15, "Medium", G405&gt;15, "Large")</f>
        <v>Large</v>
      </c>
      <c r="L405" t="str">
        <f t="shared" si="26"/>
        <v>Standard</v>
      </c>
      <c r="M405" t="str">
        <f t="shared" si="27"/>
        <v>Weekday</v>
      </c>
    </row>
    <row r="406" spans="1:13" x14ac:dyDescent="0.35">
      <c r="A406" t="s">
        <v>461</v>
      </c>
      <c r="B406" s="1">
        <v>45200</v>
      </c>
      <c r="C406" t="s">
        <v>72</v>
      </c>
      <c r="D406" t="s">
        <v>26</v>
      </c>
      <c r="E406" t="s">
        <v>18</v>
      </c>
      <c r="F406" s="4">
        <v>0</v>
      </c>
      <c r="G406" s="5">
        <v>23</v>
      </c>
      <c r="H406" t="s">
        <v>12</v>
      </c>
      <c r="I406" t="str">
        <f t="shared" si="24"/>
        <v>2023-10</v>
      </c>
      <c r="J406" s="4">
        <f t="shared" si="25"/>
        <v>0</v>
      </c>
      <c r="K406" t="str" cm="1">
        <f t="array" ref="K406">_xlfn.IFS(G406&lt;=5, "Small", G406&lt;=15, "Medium", G406&gt;15, "Large")</f>
        <v>Large</v>
      </c>
      <c r="L406" t="str">
        <f t="shared" si="26"/>
        <v>Standard</v>
      </c>
      <c r="M406" t="str">
        <f t="shared" si="27"/>
        <v>Weekend</v>
      </c>
    </row>
    <row r="407" spans="1:13" x14ac:dyDescent="0.35">
      <c r="A407" t="s">
        <v>462</v>
      </c>
      <c r="B407" s="1">
        <v>45490</v>
      </c>
      <c r="C407" t="s">
        <v>55</v>
      </c>
      <c r="D407" t="s">
        <v>10</v>
      </c>
      <c r="E407" t="s">
        <v>18</v>
      </c>
      <c r="F407" s="4">
        <v>2397.38</v>
      </c>
      <c r="G407" s="5">
        <v>4</v>
      </c>
      <c r="H407" t="s">
        <v>15</v>
      </c>
      <c r="I407" t="str">
        <f t="shared" si="24"/>
        <v>2024-07</v>
      </c>
      <c r="J407" s="4">
        <f t="shared" si="25"/>
        <v>599.34500000000003</v>
      </c>
      <c r="K407" t="str" cm="1">
        <f t="array" ref="K407">_xlfn.IFS(G407&lt;=5, "Small", G407&lt;=15, "Medium", G407&gt;15, "Large")</f>
        <v>Small</v>
      </c>
      <c r="L407" t="str">
        <f t="shared" si="26"/>
        <v>Standard</v>
      </c>
      <c r="M407" t="str">
        <f t="shared" si="27"/>
        <v>Weekday</v>
      </c>
    </row>
    <row r="408" spans="1:13" x14ac:dyDescent="0.35">
      <c r="A408" t="s">
        <v>463</v>
      </c>
      <c r="B408" s="1">
        <v>45327</v>
      </c>
      <c r="C408" t="s">
        <v>20</v>
      </c>
      <c r="D408" t="s">
        <v>31</v>
      </c>
      <c r="E408" t="s">
        <v>18</v>
      </c>
      <c r="F408" s="4">
        <v>812.09</v>
      </c>
      <c r="G408" s="5">
        <v>19</v>
      </c>
      <c r="H408" t="s">
        <v>15</v>
      </c>
      <c r="I408" t="str">
        <f t="shared" si="24"/>
        <v>2024-02</v>
      </c>
      <c r="J408" s="4">
        <f t="shared" si="25"/>
        <v>42.741578947368424</v>
      </c>
      <c r="K408" t="str" cm="1">
        <f t="array" ref="K408">_xlfn.IFS(G408&lt;=5, "Small", G408&lt;=15, "Medium", G408&gt;15, "Large")</f>
        <v>Large</v>
      </c>
      <c r="L408" t="str">
        <f t="shared" si="26"/>
        <v>Standard</v>
      </c>
      <c r="M408" t="str">
        <f t="shared" si="27"/>
        <v>Weekday</v>
      </c>
    </row>
    <row r="409" spans="1:13" x14ac:dyDescent="0.35">
      <c r="A409" t="s">
        <v>464</v>
      </c>
      <c r="B409" s="1">
        <v>45276</v>
      </c>
      <c r="C409" t="s">
        <v>74</v>
      </c>
      <c r="D409" t="s">
        <v>31</v>
      </c>
      <c r="E409" t="s">
        <v>18</v>
      </c>
      <c r="F409" s="4">
        <v>1169.1199999999999</v>
      </c>
      <c r="G409" s="5">
        <v>19</v>
      </c>
      <c r="H409" t="s">
        <v>15</v>
      </c>
      <c r="I409" t="str">
        <f t="shared" si="24"/>
        <v>2023-12</v>
      </c>
      <c r="J409" s="4">
        <f t="shared" si="25"/>
        <v>61.53263157894736</v>
      </c>
      <c r="K409" t="str" cm="1">
        <f t="array" ref="K409">_xlfn.IFS(G409&lt;=5, "Small", G409&lt;=15, "Medium", G409&gt;15, "Large")</f>
        <v>Large</v>
      </c>
      <c r="L409" t="str">
        <f t="shared" si="26"/>
        <v>Standard</v>
      </c>
      <c r="M409" t="str">
        <f t="shared" si="27"/>
        <v>Weekend</v>
      </c>
    </row>
    <row r="410" spans="1:13" x14ac:dyDescent="0.35">
      <c r="A410" t="s">
        <v>465</v>
      </c>
      <c r="B410" s="1">
        <v>45594</v>
      </c>
      <c r="C410" t="s">
        <v>20</v>
      </c>
      <c r="D410" t="s">
        <v>21</v>
      </c>
      <c r="E410" t="s">
        <v>18</v>
      </c>
      <c r="F410" s="4">
        <v>3489.92</v>
      </c>
      <c r="G410" s="5">
        <v>17</v>
      </c>
      <c r="H410" t="s">
        <v>15</v>
      </c>
      <c r="I410" t="str">
        <f t="shared" si="24"/>
        <v>2024-10</v>
      </c>
      <c r="J410" s="4">
        <f t="shared" si="25"/>
        <v>205.28941176470587</v>
      </c>
      <c r="K410" t="str" cm="1">
        <f t="array" ref="K410">_xlfn.IFS(G410&lt;=5, "Small", G410&lt;=15, "Medium", G410&gt;15, "Large")</f>
        <v>Large</v>
      </c>
      <c r="L410" t="str">
        <f t="shared" si="26"/>
        <v>Standard</v>
      </c>
      <c r="M410" t="str">
        <f t="shared" si="27"/>
        <v>Weekday</v>
      </c>
    </row>
    <row r="411" spans="1:13" x14ac:dyDescent="0.35">
      <c r="A411" t="s">
        <v>466</v>
      </c>
      <c r="B411" s="1">
        <v>45490</v>
      </c>
      <c r="C411" t="s">
        <v>9</v>
      </c>
      <c r="D411" t="s">
        <v>10</v>
      </c>
      <c r="E411" t="s">
        <v>11</v>
      </c>
      <c r="F411" s="4">
        <v>17407.2</v>
      </c>
      <c r="G411" s="5">
        <v>8</v>
      </c>
      <c r="H411" t="s">
        <v>15</v>
      </c>
      <c r="I411" t="str">
        <f t="shared" si="24"/>
        <v>2024-07</v>
      </c>
      <c r="J411" s="4">
        <f t="shared" si="25"/>
        <v>2175.9</v>
      </c>
      <c r="K411" t="str" cm="1">
        <f t="array" ref="K411">_xlfn.IFS(G411&lt;=5, "Small", G411&lt;=15, "Medium", G411&gt;15, "Large")</f>
        <v>Medium</v>
      </c>
      <c r="L411" t="str">
        <f t="shared" si="26"/>
        <v>Standard</v>
      </c>
      <c r="M411" t="str">
        <f t="shared" si="27"/>
        <v>Weekday</v>
      </c>
    </row>
    <row r="412" spans="1:13" x14ac:dyDescent="0.35">
      <c r="A412" t="s">
        <v>467</v>
      </c>
      <c r="B412" s="1">
        <v>45097</v>
      </c>
      <c r="C412" t="s">
        <v>160</v>
      </c>
      <c r="D412" t="s">
        <v>26</v>
      </c>
      <c r="E412" t="s">
        <v>11</v>
      </c>
      <c r="F412" s="4">
        <v>3871.13</v>
      </c>
      <c r="G412" s="5">
        <v>2</v>
      </c>
      <c r="H412" t="s">
        <v>15</v>
      </c>
      <c r="I412" t="str">
        <f t="shared" si="24"/>
        <v>2023-06</v>
      </c>
      <c r="J412" s="4">
        <f t="shared" si="25"/>
        <v>1935.5650000000001</v>
      </c>
      <c r="K412" t="str" cm="1">
        <f t="array" ref="K412">_xlfn.IFS(G412&lt;=5, "Small", G412&lt;=15, "Medium", G412&gt;15, "Large")</f>
        <v>Small</v>
      </c>
      <c r="L412" t="str">
        <f t="shared" si="26"/>
        <v>Standard</v>
      </c>
      <c r="M412" t="str">
        <f t="shared" si="27"/>
        <v>Weekday</v>
      </c>
    </row>
    <row r="413" spans="1:13" x14ac:dyDescent="0.35">
      <c r="A413" t="s">
        <v>468</v>
      </c>
      <c r="B413" s="1">
        <v>44973</v>
      </c>
      <c r="C413" t="s">
        <v>25</v>
      </c>
      <c r="D413" t="s">
        <v>26</v>
      </c>
      <c r="E413" t="s">
        <v>27</v>
      </c>
      <c r="F413" s="4">
        <v>15826.08</v>
      </c>
      <c r="G413" s="5">
        <v>2</v>
      </c>
      <c r="H413" t="s">
        <v>15</v>
      </c>
      <c r="I413" t="str">
        <f t="shared" si="24"/>
        <v>2023-02</v>
      </c>
      <c r="J413" s="4">
        <f t="shared" si="25"/>
        <v>7913.04</v>
      </c>
      <c r="K413" t="str" cm="1">
        <f t="array" ref="K413">_xlfn.IFS(G413&lt;=5, "Small", G413&lt;=15, "Medium", G413&gt;15, "Large")</f>
        <v>Small</v>
      </c>
      <c r="L413" t="str">
        <f t="shared" si="26"/>
        <v>Standard</v>
      </c>
      <c r="M413" t="str">
        <f t="shared" si="27"/>
        <v>Weekday</v>
      </c>
    </row>
    <row r="414" spans="1:13" x14ac:dyDescent="0.35">
      <c r="A414" t="s">
        <v>469</v>
      </c>
      <c r="B414" s="1">
        <v>45451</v>
      </c>
      <c r="C414" t="s">
        <v>160</v>
      </c>
      <c r="D414" t="s">
        <v>26</v>
      </c>
      <c r="E414" t="s">
        <v>11</v>
      </c>
      <c r="F414" s="4">
        <v>8575.65</v>
      </c>
      <c r="G414" s="5">
        <v>7</v>
      </c>
      <c r="H414" t="s">
        <v>15</v>
      </c>
      <c r="I414" t="str">
        <f t="shared" si="24"/>
        <v>2024-06</v>
      </c>
      <c r="J414" s="4">
        <f t="shared" si="25"/>
        <v>1225.0928571428572</v>
      </c>
      <c r="K414" t="str" cm="1">
        <f t="array" ref="K414">_xlfn.IFS(G414&lt;=5, "Small", G414&lt;=15, "Medium", G414&gt;15, "Large")</f>
        <v>Medium</v>
      </c>
      <c r="L414" t="str">
        <f t="shared" si="26"/>
        <v>Standard</v>
      </c>
      <c r="M414" t="str">
        <f t="shared" si="27"/>
        <v>Weekend</v>
      </c>
    </row>
    <row r="415" spans="1:13" x14ac:dyDescent="0.35">
      <c r="A415" t="s">
        <v>470</v>
      </c>
      <c r="B415" s="1">
        <v>45105</v>
      </c>
      <c r="C415" t="s">
        <v>160</v>
      </c>
      <c r="D415" t="s">
        <v>26</v>
      </c>
      <c r="E415" t="s">
        <v>18</v>
      </c>
      <c r="F415" s="4">
        <v>671</v>
      </c>
      <c r="G415" s="5">
        <v>16</v>
      </c>
      <c r="H415" t="s">
        <v>15</v>
      </c>
      <c r="I415" t="str">
        <f t="shared" si="24"/>
        <v>2023-06</v>
      </c>
      <c r="J415" s="4">
        <f t="shared" si="25"/>
        <v>41.9375</v>
      </c>
      <c r="K415" t="str" cm="1">
        <f t="array" ref="K415">_xlfn.IFS(G415&lt;=5, "Small", G415&lt;=15, "Medium", G415&gt;15, "Large")</f>
        <v>Large</v>
      </c>
      <c r="L415" t="str">
        <f t="shared" si="26"/>
        <v>Standard</v>
      </c>
      <c r="M415" t="str">
        <f t="shared" si="27"/>
        <v>Weekday</v>
      </c>
    </row>
    <row r="416" spans="1:13" x14ac:dyDescent="0.35">
      <c r="A416" t="s">
        <v>471</v>
      </c>
      <c r="B416" s="1">
        <v>45614</v>
      </c>
      <c r="C416" t="s">
        <v>241</v>
      </c>
      <c r="D416" t="s">
        <v>31</v>
      </c>
      <c r="E416" t="s">
        <v>11</v>
      </c>
      <c r="F416" s="4">
        <v>3671.67</v>
      </c>
      <c r="G416" s="5">
        <v>6</v>
      </c>
      <c r="H416" t="s">
        <v>15</v>
      </c>
      <c r="I416" t="str">
        <f t="shared" si="24"/>
        <v>2024-11</v>
      </c>
      <c r="J416" s="4">
        <f t="shared" si="25"/>
        <v>611.94500000000005</v>
      </c>
      <c r="K416" t="str" cm="1">
        <f t="array" ref="K416">_xlfn.IFS(G416&lt;=5, "Small", G416&lt;=15, "Medium", G416&gt;15, "Large")</f>
        <v>Medium</v>
      </c>
      <c r="L416" t="str">
        <f t="shared" si="26"/>
        <v>Standard</v>
      </c>
      <c r="M416" t="str">
        <f t="shared" si="27"/>
        <v>Weekday</v>
      </c>
    </row>
    <row r="417" spans="1:13" x14ac:dyDescent="0.35">
      <c r="A417" t="s">
        <v>472</v>
      </c>
      <c r="B417" s="1">
        <v>45551</v>
      </c>
      <c r="C417" t="s">
        <v>64</v>
      </c>
      <c r="D417" t="s">
        <v>10</v>
      </c>
      <c r="E417" t="s">
        <v>11</v>
      </c>
      <c r="F417" s="4">
        <v>2714.36</v>
      </c>
      <c r="G417" s="5">
        <v>4</v>
      </c>
      <c r="H417" t="s">
        <v>15</v>
      </c>
      <c r="I417" t="str">
        <f t="shared" si="24"/>
        <v>2024-09</v>
      </c>
      <c r="J417" s="4">
        <f t="shared" si="25"/>
        <v>678.59</v>
      </c>
      <c r="K417" t="str" cm="1">
        <f t="array" ref="K417">_xlfn.IFS(G417&lt;=5, "Small", G417&lt;=15, "Medium", G417&gt;15, "Large")</f>
        <v>Small</v>
      </c>
      <c r="L417" t="str">
        <f t="shared" si="26"/>
        <v>Standard</v>
      </c>
      <c r="M417" t="str">
        <f t="shared" si="27"/>
        <v>Weekday</v>
      </c>
    </row>
    <row r="418" spans="1:13" x14ac:dyDescent="0.35">
      <c r="A418" t="s">
        <v>473</v>
      </c>
      <c r="B418" s="1">
        <v>45237</v>
      </c>
      <c r="C418" t="s">
        <v>160</v>
      </c>
      <c r="D418" t="s">
        <v>26</v>
      </c>
      <c r="E418" t="s">
        <v>27</v>
      </c>
      <c r="F418" s="4">
        <v>0</v>
      </c>
      <c r="G418" s="5">
        <v>5</v>
      </c>
      <c r="H418" t="s">
        <v>12</v>
      </c>
      <c r="I418" t="str">
        <f t="shared" si="24"/>
        <v>2023-11</v>
      </c>
      <c r="J418" s="4">
        <f t="shared" si="25"/>
        <v>0</v>
      </c>
      <c r="K418" t="str" cm="1">
        <f t="array" ref="K418">_xlfn.IFS(G418&lt;=5, "Small", G418&lt;=15, "Medium", G418&gt;15, "Large")</f>
        <v>Small</v>
      </c>
      <c r="L418" t="str">
        <f t="shared" si="26"/>
        <v>Standard</v>
      </c>
      <c r="M418" t="str">
        <f t="shared" si="27"/>
        <v>Weekday</v>
      </c>
    </row>
    <row r="419" spans="1:13" x14ac:dyDescent="0.35">
      <c r="A419" t="s">
        <v>474</v>
      </c>
      <c r="B419" s="1">
        <v>45365</v>
      </c>
      <c r="C419" t="s">
        <v>91</v>
      </c>
      <c r="D419" t="s">
        <v>26</v>
      </c>
      <c r="E419" t="s">
        <v>27</v>
      </c>
      <c r="F419" s="4">
        <v>16560.669999999998</v>
      </c>
      <c r="G419" s="5">
        <v>2</v>
      </c>
      <c r="H419" t="s">
        <v>15</v>
      </c>
      <c r="I419" t="str">
        <f t="shared" si="24"/>
        <v>2024-03</v>
      </c>
      <c r="J419" s="4">
        <f t="shared" si="25"/>
        <v>8280.3349999999991</v>
      </c>
      <c r="K419" t="str" cm="1">
        <f t="array" ref="K419">_xlfn.IFS(G419&lt;=5, "Small", G419&lt;=15, "Medium", G419&gt;15, "Large")</f>
        <v>Small</v>
      </c>
      <c r="L419" t="str">
        <f t="shared" si="26"/>
        <v>Standard</v>
      </c>
      <c r="M419" t="str">
        <f t="shared" si="27"/>
        <v>Weekday</v>
      </c>
    </row>
    <row r="420" spans="1:13" x14ac:dyDescent="0.35">
      <c r="A420" t="s">
        <v>475</v>
      </c>
      <c r="B420" s="1">
        <v>45590</v>
      </c>
      <c r="C420" t="s">
        <v>50</v>
      </c>
      <c r="D420" t="s">
        <v>26</v>
      </c>
      <c r="E420" t="s">
        <v>18</v>
      </c>
      <c r="F420" s="4">
        <v>275.98</v>
      </c>
      <c r="G420" s="5">
        <v>10</v>
      </c>
      <c r="H420" t="s">
        <v>15</v>
      </c>
      <c r="I420" t="str">
        <f t="shared" si="24"/>
        <v>2024-10</v>
      </c>
      <c r="J420" s="4">
        <f t="shared" si="25"/>
        <v>27.598000000000003</v>
      </c>
      <c r="K420" t="str" cm="1">
        <f t="array" ref="K420">_xlfn.IFS(G420&lt;=5, "Small", G420&lt;=15, "Medium", G420&gt;15, "Large")</f>
        <v>Medium</v>
      </c>
      <c r="L420" t="str">
        <f t="shared" si="26"/>
        <v>Standard</v>
      </c>
      <c r="M420" t="str">
        <f t="shared" si="27"/>
        <v>Weekday</v>
      </c>
    </row>
    <row r="421" spans="1:13" x14ac:dyDescent="0.35">
      <c r="A421" t="s">
        <v>476</v>
      </c>
      <c r="B421" s="1">
        <v>45387</v>
      </c>
      <c r="C421" t="s">
        <v>97</v>
      </c>
      <c r="D421" t="s">
        <v>21</v>
      </c>
      <c r="E421" t="s">
        <v>18</v>
      </c>
      <c r="F421" s="4">
        <v>1172</v>
      </c>
      <c r="G421" s="5">
        <v>26</v>
      </c>
      <c r="H421" t="s">
        <v>15</v>
      </c>
      <c r="I421" t="str">
        <f t="shared" si="24"/>
        <v>2024-04</v>
      </c>
      <c r="J421" s="4">
        <f t="shared" si="25"/>
        <v>45.07692307692308</v>
      </c>
      <c r="K421" t="str" cm="1">
        <f t="array" ref="K421">_xlfn.IFS(G421&lt;=5, "Small", G421&lt;=15, "Medium", G421&gt;15, "Large")</f>
        <v>Large</v>
      </c>
      <c r="L421" t="str">
        <f t="shared" si="26"/>
        <v>Standard</v>
      </c>
      <c r="M421" t="str">
        <f t="shared" si="27"/>
        <v>Weekday</v>
      </c>
    </row>
    <row r="422" spans="1:13" x14ac:dyDescent="0.35">
      <c r="A422" t="s">
        <v>477</v>
      </c>
      <c r="B422" s="1">
        <v>45504</v>
      </c>
      <c r="C422" t="s">
        <v>78</v>
      </c>
      <c r="D422" t="s">
        <v>31</v>
      </c>
      <c r="E422" t="s">
        <v>11</v>
      </c>
      <c r="F422" s="4">
        <v>577.15</v>
      </c>
      <c r="G422" s="5">
        <v>4</v>
      </c>
      <c r="H422" t="s">
        <v>15</v>
      </c>
      <c r="I422" t="str">
        <f t="shared" si="24"/>
        <v>2024-07</v>
      </c>
      <c r="J422" s="4">
        <f t="shared" si="25"/>
        <v>144.28749999999999</v>
      </c>
      <c r="K422" t="str" cm="1">
        <f t="array" ref="K422">_xlfn.IFS(G422&lt;=5, "Small", G422&lt;=15, "Medium", G422&gt;15, "Large")</f>
        <v>Small</v>
      </c>
      <c r="L422" t="str">
        <f t="shared" si="26"/>
        <v>Standard</v>
      </c>
      <c r="M422" t="str">
        <f t="shared" si="27"/>
        <v>Weekday</v>
      </c>
    </row>
    <row r="423" spans="1:13" x14ac:dyDescent="0.35">
      <c r="A423" t="s">
        <v>478</v>
      </c>
      <c r="B423" s="1">
        <v>44980</v>
      </c>
      <c r="C423" t="s">
        <v>58</v>
      </c>
      <c r="D423" t="s">
        <v>31</v>
      </c>
      <c r="E423" t="s">
        <v>18</v>
      </c>
      <c r="F423" s="4">
        <v>3273.31</v>
      </c>
      <c r="G423" s="5">
        <v>23</v>
      </c>
      <c r="H423" t="s">
        <v>15</v>
      </c>
      <c r="I423" t="str">
        <f t="shared" si="24"/>
        <v>2023-02</v>
      </c>
      <c r="J423" s="4">
        <f t="shared" si="25"/>
        <v>142.31782608695653</v>
      </c>
      <c r="K423" t="str" cm="1">
        <f t="array" ref="K423">_xlfn.IFS(G423&lt;=5, "Small", G423&lt;=15, "Medium", G423&gt;15, "Large")</f>
        <v>Large</v>
      </c>
      <c r="L423" t="str">
        <f t="shared" si="26"/>
        <v>Standard</v>
      </c>
      <c r="M423" t="str">
        <f t="shared" si="27"/>
        <v>Weekday</v>
      </c>
    </row>
    <row r="424" spans="1:13" x14ac:dyDescent="0.35">
      <c r="A424" t="s">
        <v>479</v>
      </c>
      <c r="B424" s="1">
        <v>45019</v>
      </c>
      <c r="C424" t="s">
        <v>40</v>
      </c>
      <c r="D424" t="s">
        <v>26</v>
      </c>
      <c r="E424" t="s">
        <v>18</v>
      </c>
      <c r="F424" s="4">
        <v>2478.42</v>
      </c>
      <c r="G424" s="5">
        <v>4</v>
      </c>
      <c r="H424" t="s">
        <v>15</v>
      </c>
      <c r="I424" t="str">
        <f t="shared" si="24"/>
        <v>2023-04</v>
      </c>
      <c r="J424" s="4">
        <f t="shared" si="25"/>
        <v>619.60500000000002</v>
      </c>
      <c r="K424" t="str" cm="1">
        <f t="array" ref="K424">_xlfn.IFS(G424&lt;=5, "Small", G424&lt;=15, "Medium", G424&gt;15, "Large")</f>
        <v>Small</v>
      </c>
      <c r="L424" t="str">
        <f t="shared" si="26"/>
        <v>Standard</v>
      </c>
      <c r="M424" t="str">
        <f t="shared" si="27"/>
        <v>Weekday</v>
      </c>
    </row>
    <row r="425" spans="1:13" x14ac:dyDescent="0.35">
      <c r="A425" t="s">
        <v>480</v>
      </c>
      <c r="B425" s="1">
        <v>45513</v>
      </c>
      <c r="C425" t="s">
        <v>89</v>
      </c>
      <c r="D425" t="s">
        <v>21</v>
      </c>
      <c r="E425" t="s">
        <v>27</v>
      </c>
      <c r="F425" s="4">
        <v>36398.129999999997</v>
      </c>
      <c r="G425" s="5">
        <v>5</v>
      </c>
      <c r="H425" t="s">
        <v>15</v>
      </c>
      <c r="I425" t="str">
        <f t="shared" si="24"/>
        <v>2024-08</v>
      </c>
      <c r="J425" s="4">
        <f t="shared" si="25"/>
        <v>7279.6259999999993</v>
      </c>
      <c r="K425" t="str" cm="1">
        <f t="array" ref="K425">_xlfn.IFS(G425&lt;=5, "Small", G425&lt;=15, "Medium", G425&gt;15, "Large")</f>
        <v>Small</v>
      </c>
      <c r="L425" t="str">
        <f t="shared" si="26"/>
        <v>VIP</v>
      </c>
      <c r="M425" t="str">
        <f t="shared" si="27"/>
        <v>Weekday</v>
      </c>
    </row>
    <row r="426" spans="1:13" x14ac:dyDescent="0.35">
      <c r="A426" t="s">
        <v>481</v>
      </c>
      <c r="B426" s="1">
        <v>45354</v>
      </c>
      <c r="C426" t="s">
        <v>64</v>
      </c>
      <c r="D426" t="s">
        <v>10</v>
      </c>
      <c r="E426" t="s">
        <v>27</v>
      </c>
      <c r="F426" s="4">
        <v>36992.94</v>
      </c>
      <c r="G426" s="5">
        <v>1</v>
      </c>
      <c r="H426" t="s">
        <v>15</v>
      </c>
      <c r="I426" t="str">
        <f t="shared" si="24"/>
        <v>2024-03</v>
      </c>
      <c r="J426" s="4">
        <f t="shared" si="25"/>
        <v>36992.94</v>
      </c>
      <c r="K426" t="str" cm="1">
        <f t="array" ref="K426">_xlfn.IFS(G426&lt;=5, "Small", G426&lt;=15, "Medium", G426&gt;15, "Large")</f>
        <v>Small</v>
      </c>
      <c r="L426" t="str">
        <f t="shared" si="26"/>
        <v>VIP</v>
      </c>
      <c r="M426" t="str">
        <f t="shared" si="27"/>
        <v>Weekend</v>
      </c>
    </row>
    <row r="427" spans="1:13" x14ac:dyDescent="0.35">
      <c r="A427" t="s">
        <v>482</v>
      </c>
      <c r="B427" s="1">
        <v>45216</v>
      </c>
      <c r="C427" t="s">
        <v>23</v>
      </c>
      <c r="D427" t="s">
        <v>21</v>
      </c>
      <c r="E427" t="s">
        <v>18</v>
      </c>
      <c r="F427" s="4">
        <v>1289.45</v>
      </c>
      <c r="G427" s="5">
        <v>9</v>
      </c>
      <c r="H427" t="s">
        <v>15</v>
      </c>
      <c r="I427" t="str">
        <f t="shared" si="24"/>
        <v>2023-10</v>
      </c>
      <c r="J427" s="4">
        <f t="shared" si="25"/>
        <v>143.27222222222224</v>
      </c>
      <c r="K427" t="str" cm="1">
        <f t="array" ref="K427">_xlfn.IFS(G427&lt;=5, "Small", G427&lt;=15, "Medium", G427&gt;15, "Large")</f>
        <v>Medium</v>
      </c>
      <c r="L427" t="str">
        <f t="shared" si="26"/>
        <v>Standard</v>
      </c>
      <c r="M427" t="str">
        <f t="shared" si="27"/>
        <v>Weekday</v>
      </c>
    </row>
    <row r="428" spans="1:13" x14ac:dyDescent="0.35">
      <c r="A428" t="s">
        <v>483</v>
      </c>
      <c r="B428" s="1">
        <v>45056</v>
      </c>
      <c r="C428" t="s">
        <v>45</v>
      </c>
      <c r="D428" t="s">
        <v>21</v>
      </c>
      <c r="E428" t="s">
        <v>11</v>
      </c>
      <c r="F428" s="4">
        <v>8820.77</v>
      </c>
      <c r="G428" s="5">
        <v>8</v>
      </c>
      <c r="H428" t="s">
        <v>15</v>
      </c>
      <c r="I428" t="str">
        <f t="shared" si="24"/>
        <v>2023-05</v>
      </c>
      <c r="J428" s="4">
        <f t="shared" si="25"/>
        <v>1102.5962500000001</v>
      </c>
      <c r="K428" t="str" cm="1">
        <f t="array" ref="K428">_xlfn.IFS(G428&lt;=5, "Small", G428&lt;=15, "Medium", G428&gt;15, "Large")</f>
        <v>Medium</v>
      </c>
      <c r="L428" t="str">
        <f t="shared" si="26"/>
        <v>Standard</v>
      </c>
      <c r="M428" t="str">
        <f t="shared" si="27"/>
        <v>Weekday</v>
      </c>
    </row>
    <row r="429" spans="1:13" x14ac:dyDescent="0.35">
      <c r="A429" t="s">
        <v>484</v>
      </c>
      <c r="B429" s="1">
        <v>45143</v>
      </c>
      <c r="C429" t="s">
        <v>74</v>
      </c>
      <c r="D429" t="s">
        <v>31</v>
      </c>
      <c r="E429" t="s">
        <v>18</v>
      </c>
      <c r="F429" s="4">
        <v>2464.69</v>
      </c>
      <c r="G429" s="5">
        <v>4</v>
      </c>
      <c r="H429" t="s">
        <v>15</v>
      </c>
      <c r="I429" t="str">
        <f t="shared" si="24"/>
        <v>2023-08</v>
      </c>
      <c r="J429" s="4">
        <f t="shared" si="25"/>
        <v>616.17250000000001</v>
      </c>
      <c r="K429" t="str" cm="1">
        <f t="array" ref="K429">_xlfn.IFS(G429&lt;=5, "Small", G429&lt;=15, "Medium", G429&gt;15, "Large")</f>
        <v>Small</v>
      </c>
      <c r="L429" t="str">
        <f t="shared" si="26"/>
        <v>Standard</v>
      </c>
      <c r="M429" t="str">
        <f t="shared" si="27"/>
        <v>Weekend</v>
      </c>
    </row>
    <row r="430" spans="1:13" x14ac:dyDescent="0.35">
      <c r="A430" t="s">
        <v>485</v>
      </c>
      <c r="B430" s="1">
        <v>45303</v>
      </c>
      <c r="C430" t="s">
        <v>45</v>
      </c>
      <c r="D430" t="s">
        <v>21</v>
      </c>
      <c r="E430" t="s">
        <v>11</v>
      </c>
      <c r="F430" s="4">
        <v>15971.81</v>
      </c>
      <c r="G430" s="5">
        <v>8</v>
      </c>
      <c r="H430" t="s">
        <v>15</v>
      </c>
      <c r="I430" t="str">
        <f t="shared" si="24"/>
        <v>2024-01</v>
      </c>
      <c r="J430" s="4">
        <f t="shared" si="25"/>
        <v>1996.4762499999999</v>
      </c>
      <c r="K430" t="str" cm="1">
        <f t="array" ref="K430">_xlfn.IFS(G430&lt;=5, "Small", G430&lt;=15, "Medium", G430&gt;15, "Large")</f>
        <v>Medium</v>
      </c>
      <c r="L430" t="str">
        <f t="shared" si="26"/>
        <v>Standard</v>
      </c>
      <c r="M430" t="str">
        <f t="shared" si="27"/>
        <v>Weekday</v>
      </c>
    </row>
    <row r="431" spans="1:13" x14ac:dyDescent="0.35">
      <c r="A431" t="s">
        <v>486</v>
      </c>
      <c r="B431" s="1">
        <v>45386</v>
      </c>
      <c r="C431" t="s">
        <v>23</v>
      </c>
      <c r="D431" t="s">
        <v>21</v>
      </c>
      <c r="E431" t="s">
        <v>18</v>
      </c>
      <c r="F431" s="4">
        <v>2405.92</v>
      </c>
      <c r="G431" s="5">
        <v>2</v>
      </c>
      <c r="H431" t="s">
        <v>15</v>
      </c>
      <c r="I431" t="str">
        <f t="shared" si="24"/>
        <v>2024-04</v>
      </c>
      <c r="J431" s="4">
        <f t="shared" si="25"/>
        <v>1202.96</v>
      </c>
      <c r="K431" t="str" cm="1">
        <f t="array" ref="K431">_xlfn.IFS(G431&lt;=5, "Small", G431&lt;=15, "Medium", G431&gt;15, "Large")</f>
        <v>Small</v>
      </c>
      <c r="L431" t="str">
        <f t="shared" si="26"/>
        <v>Standard</v>
      </c>
      <c r="M431" t="str">
        <f t="shared" si="27"/>
        <v>Weekday</v>
      </c>
    </row>
    <row r="432" spans="1:13" x14ac:dyDescent="0.35">
      <c r="A432" t="s">
        <v>487</v>
      </c>
      <c r="B432" s="1">
        <v>44998</v>
      </c>
      <c r="C432" t="s">
        <v>55</v>
      </c>
      <c r="D432" t="s">
        <v>10</v>
      </c>
      <c r="E432" t="s">
        <v>11</v>
      </c>
      <c r="F432" s="4">
        <v>6315.79</v>
      </c>
      <c r="G432" s="5">
        <v>5</v>
      </c>
      <c r="H432" t="s">
        <v>15</v>
      </c>
      <c r="I432" t="str">
        <f t="shared" si="24"/>
        <v>2023-03</v>
      </c>
      <c r="J432" s="4">
        <f t="shared" si="25"/>
        <v>1263.1579999999999</v>
      </c>
      <c r="K432" t="str" cm="1">
        <f t="array" ref="K432">_xlfn.IFS(G432&lt;=5, "Small", G432&lt;=15, "Medium", G432&gt;15, "Large")</f>
        <v>Small</v>
      </c>
      <c r="L432" t="str">
        <f t="shared" si="26"/>
        <v>Standard</v>
      </c>
      <c r="M432" t="str">
        <f t="shared" si="27"/>
        <v>Weekday</v>
      </c>
    </row>
    <row r="433" spans="1:13" x14ac:dyDescent="0.35">
      <c r="A433" t="s">
        <v>488</v>
      </c>
      <c r="B433" s="1">
        <v>45589</v>
      </c>
      <c r="C433" t="s">
        <v>78</v>
      </c>
      <c r="D433" t="s">
        <v>31</v>
      </c>
      <c r="E433" t="s">
        <v>11</v>
      </c>
      <c r="F433" s="4">
        <v>2714.82</v>
      </c>
      <c r="G433" s="5">
        <v>5</v>
      </c>
      <c r="H433" t="s">
        <v>15</v>
      </c>
      <c r="I433" t="str">
        <f t="shared" si="24"/>
        <v>2024-10</v>
      </c>
      <c r="J433" s="4">
        <f t="shared" si="25"/>
        <v>542.96400000000006</v>
      </c>
      <c r="K433" t="str" cm="1">
        <f t="array" ref="K433">_xlfn.IFS(G433&lt;=5, "Small", G433&lt;=15, "Medium", G433&gt;15, "Large")</f>
        <v>Small</v>
      </c>
      <c r="L433" t="str">
        <f t="shared" si="26"/>
        <v>Standard</v>
      </c>
      <c r="M433" t="str">
        <f t="shared" si="27"/>
        <v>Weekday</v>
      </c>
    </row>
    <row r="434" spans="1:13" x14ac:dyDescent="0.35">
      <c r="A434" t="s">
        <v>489</v>
      </c>
      <c r="B434" s="1">
        <v>45613</v>
      </c>
      <c r="C434" t="s">
        <v>60</v>
      </c>
      <c r="D434" t="s">
        <v>21</v>
      </c>
      <c r="E434" t="s">
        <v>27</v>
      </c>
      <c r="F434" s="4">
        <v>42740.25</v>
      </c>
      <c r="G434" s="5">
        <v>3</v>
      </c>
      <c r="H434" t="s">
        <v>15</v>
      </c>
      <c r="I434" t="str">
        <f t="shared" si="24"/>
        <v>2024-11</v>
      </c>
      <c r="J434" s="4">
        <f t="shared" si="25"/>
        <v>14246.75</v>
      </c>
      <c r="K434" t="str" cm="1">
        <f t="array" ref="K434">_xlfn.IFS(G434&lt;=5, "Small", G434&lt;=15, "Medium", G434&gt;15, "Large")</f>
        <v>Small</v>
      </c>
      <c r="L434" t="str">
        <f t="shared" si="26"/>
        <v>VIP</v>
      </c>
      <c r="M434" t="str">
        <f t="shared" si="27"/>
        <v>Weekend</v>
      </c>
    </row>
    <row r="435" spans="1:13" x14ac:dyDescent="0.35">
      <c r="A435" t="s">
        <v>490</v>
      </c>
      <c r="B435" s="1">
        <v>45253</v>
      </c>
      <c r="C435" t="s">
        <v>241</v>
      </c>
      <c r="D435" t="s">
        <v>31</v>
      </c>
      <c r="E435" t="s">
        <v>11</v>
      </c>
      <c r="F435" s="4">
        <v>6963.35</v>
      </c>
      <c r="G435" s="5">
        <v>8</v>
      </c>
      <c r="H435" t="s">
        <v>15</v>
      </c>
      <c r="I435" t="str">
        <f t="shared" si="24"/>
        <v>2023-11</v>
      </c>
      <c r="J435" s="4">
        <f t="shared" si="25"/>
        <v>870.41875000000005</v>
      </c>
      <c r="K435" t="str" cm="1">
        <f t="array" ref="K435">_xlfn.IFS(G435&lt;=5, "Small", G435&lt;=15, "Medium", G435&gt;15, "Large")</f>
        <v>Medium</v>
      </c>
      <c r="L435" t="str">
        <f t="shared" si="26"/>
        <v>Standard</v>
      </c>
      <c r="M435" t="str">
        <f t="shared" si="27"/>
        <v>Weekday</v>
      </c>
    </row>
    <row r="436" spans="1:13" x14ac:dyDescent="0.35">
      <c r="A436" t="s">
        <v>491</v>
      </c>
      <c r="B436" s="1">
        <v>45084</v>
      </c>
      <c r="C436" t="s">
        <v>175</v>
      </c>
      <c r="D436" t="s">
        <v>21</v>
      </c>
      <c r="E436" t="s">
        <v>18</v>
      </c>
      <c r="F436" s="4">
        <v>2173.85</v>
      </c>
      <c r="G436" s="5">
        <v>22</v>
      </c>
      <c r="H436" t="s">
        <v>15</v>
      </c>
      <c r="I436" t="str">
        <f t="shared" si="24"/>
        <v>2023-06</v>
      </c>
      <c r="J436" s="4">
        <f t="shared" si="25"/>
        <v>98.811363636363637</v>
      </c>
      <c r="K436" t="str" cm="1">
        <f t="array" ref="K436">_xlfn.IFS(G436&lt;=5, "Small", G436&lt;=15, "Medium", G436&gt;15, "Large")</f>
        <v>Large</v>
      </c>
      <c r="L436" t="str">
        <f t="shared" si="26"/>
        <v>Standard</v>
      </c>
      <c r="M436" t="str">
        <f t="shared" si="27"/>
        <v>Weekday</v>
      </c>
    </row>
    <row r="437" spans="1:13" x14ac:dyDescent="0.35">
      <c r="A437" t="s">
        <v>492</v>
      </c>
      <c r="B437" s="1">
        <v>44969</v>
      </c>
      <c r="C437" t="s">
        <v>45</v>
      </c>
      <c r="D437" t="s">
        <v>21</v>
      </c>
      <c r="E437" t="s">
        <v>18</v>
      </c>
      <c r="F437" s="4">
        <v>457.3</v>
      </c>
      <c r="G437" s="5">
        <v>7</v>
      </c>
      <c r="H437" t="s">
        <v>15</v>
      </c>
      <c r="I437" t="str">
        <f t="shared" si="24"/>
        <v>2023-02</v>
      </c>
      <c r="J437" s="4">
        <f t="shared" si="25"/>
        <v>65.328571428571436</v>
      </c>
      <c r="K437" t="str" cm="1">
        <f t="array" ref="K437">_xlfn.IFS(G437&lt;=5, "Small", G437&lt;=15, "Medium", G437&gt;15, "Large")</f>
        <v>Medium</v>
      </c>
      <c r="L437" t="str">
        <f t="shared" si="26"/>
        <v>Standard</v>
      </c>
      <c r="M437" t="str">
        <f t="shared" si="27"/>
        <v>Weekend</v>
      </c>
    </row>
    <row r="438" spans="1:13" x14ac:dyDescent="0.35">
      <c r="A438" t="s">
        <v>493</v>
      </c>
      <c r="B438" s="1">
        <v>45429</v>
      </c>
      <c r="C438" t="s">
        <v>30</v>
      </c>
      <c r="D438" t="s">
        <v>31</v>
      </c>
      <c r="E438" t="s">
        <v>18</v>
      </c>
      <c r="F438" s="4">
        <v>1030.97</v>
      </c>
      <c r="G438" s="5">
        <v>16</v>
      </c>
      <c r="H438" t="s">
        <v>15</v>
      </c>
      <c r="I438" t="str">
        <f t="shared" si="24"/>
        <v>2024-05</v>
      </c>
      <c r="J438" s="4">
        <f t="shared" si="25"/>
        <v>64.435625000000002</v>
      </c>
      <c r="K438" t="str" cm="1">
        <f t="array" ref="K438">_xlfn.IFS(G438&lt;=5, "Small", G438&lt;=15, "Medium", G438&gt;15, "Large")</f>
        <v>Large</v>
      </c>
      <c r="L438" t="str">
        <f t="shared" si="26"/>
        <v>Standard</v>
      </c>
      <c r="M438" t="str">
        <f t="shared" si="27"/>
        <v>Weekday</v>
      </c>
    </row>
    <row r="439" spans="1:13" x14ac:dyDescent="0.35">
      <c r="A439" t="s">
        <v>494</v>
      </c>
      <c r="B439" s="1">
        <v>45209</v>
      </c>
      <c r="C439" t="s">
        <v>17</v>
      </c>
      <c r="D439" t="s">
        <v>10</v>
      </c>
      <c r="E439" t="s">
        <v>11</v>
      </c>
      <c r="F439" s="4">
        <v>7476.48</v>
      </c>
      <c r="G439" s="5">
        <v>4</v>
      </c>
      <c r="H439" t="s">
        <v>15</v>
      </c>
      <c r="I439" t="str">
        <f t="shared" si="24"/>
        <v>2023-10</v>
      </c>
      <c r="J439" s="4">
        <f t="shared" si="25"/>
        <v>1869.12</v>
      </c>
      <c r="K439" t="str" cm="1">
        <f t="array" ref="K439">_xlfn.IFS(G439&lt;=5, "Small", G439&lt;=15, "Medium", G439&gt;15, "Large")</f>
        <v>Small</v>
      </c>
      <c r="L439" t="str">
        <f t="shared" si="26"/>
        <v>Standard</v>
      </c>
      <c r="M439" t="str">
        <f t="shared" si="27"/>
        <v>Weekday</v>
      </c>
    </row>
    <row r="440" spans="1:13" x14ac:dyDescent="0.35">
      <c r="A440" t="s">
        <v>495</v>
      </c>
      <c r="B440" s="1">
        <v>45617</v>
      </c>
      <c r="C440" t="s">
        <v>17</v>
      </c>
      <c r="D440" t="s">
        <v>10</v>
      </c>
      <c r="E440" t="s">
        <v>18</v>
      </c>
      <c r="F440" s="4">
        <v>1311.92</v>
      </c>
      <c r="G440" s="5">
        <v>26</v>
      </c>
      <c r="H440" t="s">
        <v>15</v>
      </c>
      <c r="I440" t="str">
        <f t="shared" si="24"/>
        <v>2024-11</v>
      </c>
      <c r="J440" s="4">
        <f t="shared" si="25"/>
        <v>50.458461538461542</v>
      </c>
      <c r="K440" t="str" cm="1">
        <f t="array" ref="K440">_xlfn.IFS(G440&lt;=5, "Small", G440&lt;=15, "Medium", G440&gt;15, "Large")</f>
        <v>Large</v>
      </c>
      <c r="L440" t="str">
        <f t="shared" si="26"/>
        <v>Standard</v>
      </c>
      <c r="M440" t="str">
        <f t="shared" si="27"/>
        <v>Weekday</v>
      </c>
    </row>
    <row r="441" spans="1:13" x14ac:dyDescent="0.35">
      <c r="A441" t="s">
        <v>496</v>
      </c>
      <c r="B441" s="1">
        <v>45024</v>
      </c>
      <c r="C441" t="s">
        <v>89</v>
      </c>
      <c r="D441" t="s">
        <v>21</v>
      </c>
      <c r="E441" t="s">
        <v>27</v>
      </c>
      <c r="F441" s="4">
        <v>6665.33</v>
      </c>
      <c r="G441" s="5">
        <v>2</v>
      </c>
      <c r="H441" t="s">
        <v>15</v>
      </c>
      <c r="I441" t="str">
        <f t="shared" si="24"/>
        <v>2023-04</v>
      </c>
      <c r="J441" s="4">
        <f t="shared" si="25"/>
        <v>3332.665</v>
      </c>
      <c r="K441" t="str" cm="1">
        <f t="array" ref="K441">_xlfn.IFS(G441&lt;=5, "Small", G441&lt;=15, "Medium", G441&gt;15, "Large")</f>
        <v>Small</v>
      </c>
      <c r="L441" t="str">
        <f t="shared" si="26"/>
        <v>Standard</v>
      </c>
      <c r="M441" t="str">
        <f t="shared" si="27"/>
        <v>Weekend</v>
      </c>
    </row>
    <row r="442" spans="1:13" x14ac:dyDescent="0.35">
      <c r="A442" t="s">
        <v>497</v>
      </c>
      <c r="B442" s="1">
        <v>45172</v>
      </c>
      <c r="C442" t="s">
        <v>42</v>
      </c>
      <c r="D442" t="s">
        <v>10</v>
      </c>
      <c r="E442" t="s">
        <v>18</v>
      </c>
      <c r="F442" s="4">
        <v>2836.13</v>
      </c>
      <c r="G442" s="5">
        <v>22</v>
      </c>
      <c r="H442" t="s">
        <v>15</v>
      </c>
      <c r="I442" t="str">
        <f t="shared" si="24"/>
        <v>2023-09</v>
      </c>
      <c r="J442" s="4">
        <f t="shared" si="25"/>
        <v>128.91499999999999</v>
      </c>
      <c r="K442" t="str" cm="1">
        <f t="array" ref="K442">_xlfn.IFS(G442&lt;=5, "Small", G442&lt;=15, "Medium", G442&gt;15, "Large")</f>
        <v>Large</v>
      </c>
      <c r="L442" t="str">
        <f t="shared" si="26"/>
        <v>Standard</v>
      </c>
      <c r="M442" t="str">
        <f t="shared" si="27"/>
        <v>Weekend</v>
      </c>
    </row>
    <row r="443" spans="1:13" x14ac:dyDescent="0.35">
      <c r="A443" t="s">
        <v>498</v>
      </c>
      <c r="B443" s="1">
        <v>45346</v>
      </c>
      <c r="C443" t="s">
        <v>175</v>
      </c>
      <c r="D443" t="s">
        <v>21</v>
      </c>
      <c r="E443" t="s">
        <v>18</v>
      </c>
      <c r="F443" s="4">
        <v>2323.17</v>
      </c>
      <c r="G443" s="5">
        <v>2</v>
      </c>
      <c r="H443" t="s">
        <v>15</v>
      </c>
      <c r="I443" t="str">
        <f t="shared" si="24"/>
        <v>2024-02</v>
      </c>
      <c r="J443" s="4">
        <f t="shared" si="25"/>
        <v>1161.585</v>
      </c>
      <c r="K443" t="str" cm="1">
        <f t="array" ref="K443">_xlfn.IFS(G443&lt;=5, "Small", G443&lt;=15, "Medium", G443&gt;15, "Large")</f>
        <v>Small</v>
      </c>
      <c r="L443" t="str">
        <f t="shared" si="26"/>
        <v>Standard</v>
      </c>
      <c r="M443" t="str">
        <f t="shared" si="27"/>
        <v>Weekend</v>
      </c>
    </row>
    <row r="444" spans="1:13" x14ac:dyDescent="0.35">
      <c r="A444" t="s">
        <v>499</v>
      </c>
      <c r="B444" s="1">
        <v>45311</v>
      </c>
      <c r="C444" t="s">
        <v>33</v>
      </c>
      <c r="D444" t="s">
        <v>10</v>
      </c>
      <c r="E444" t="s">
        <v>18</v>
      </c>
      <c r="F444" s="4">
        <v>1368.25</v>
      </c>
      <c r="G444" s="5">
        <v>21</v>
      </c>
      <c r="H444" t="s">
        <v>15</v>
      </c>
      <c r="I444" t="str">
        <f t="shared" si="24"/>
        <v>2024-01</v>
      </c>
      <c r="J444" s="4">
        <f t="shared" si="25"/>
        <v>65.154761904761898</v>
      </c>
      <c r="K444" t="str" cm="1">
        <f t="array" ref="K444">_xlfn.IFS(G444&lt;=5, "Small", G444&lt;=15, "Medium", G444&gt;15, "Large")</f>
        <v>Large</v>
      </c>
      <c r="L444" t="str">
        <f t="shared" si="26"/>
        <v>Standard</v>
      </c>
      <c r="M444" t="str">
        <f t="shared" si="27"/>
        <v>Weekend</v>
      </c>
    </row>
    <row r="445" spans="1:13" x14ac:dyDescent="0.35">
      <c r="A445" t="s">
        <v>500</v>
      </c>
      <c r="B445" s="1">
        <v>45220</v>
      </c>
      <c r="C445" t="s">
        <v>58</v>
      </c>
      <c r="D445" t="s">
        <v>31</v>
      </c>
      <c r="E445" t="s">
        <v>18</v>
      </c>
      <c r="F445" s="4">
        <v>3231.2</v>
      </c>
      <c r="G445" s="5">
        <v>25</v>
      </c>
      <c r="H445" t="s">
        <v>15</v>
      </c>
      <c r="I445" t="str">
        <f t="shared" si="24"/>
        <v>2023-10</v>
      </c>
      <c r="J445" s="4">
        <f t="shared" si="25"/>
        <v>129.24799999999999</v>
      </c>
      <c r="K445" t="str" cm="1">
        <f t="array" ref="K445">_xlfn.IFS(G445&lt;=5, "Small", G445&lt;=15, "Medium", G445&gt;15, "Large")</f>
        <v>Large</v>
      </c>
      <c r="L445" t="str">
        <f t="shared" si="26"/>
        <v>Standard</v>
      </c>
      <c r="M445" t="str">
        <f t="shared" si="27"/>
        <v>Weekend</v>
      </c>
    </row>
    <row r="446" spans="1:13" x14ac:dyDescent="0.35">
      <c r="A446" t="s">
        <v>501</v>
      </c>
      <c r="B446" s="1">
        <v>45111</v>
      </c>
      <c r="C446" t="s">
        <v>89</v>
      </c>
      <c r="D446" t="s">
        <v>21</v>
      </c>
      <c r="E446" t="s">
        <v>11</v>
      </c>
      <c r="F446" s="4">
        <v>2477.9</v>
      </c>
      <c r="G446" s="5">
        <v>3</v>
      </c>
      <c r="H446" t="s">
        <v>15</v>
      </c>
      <c r="I446" t="str">
        <f t="shared" si="24"/>
        <v>2023-07</v>
      </c>
      <c r="J446" s="4">
        <f t="shared" si="25"/>
        <v>825.9666666666667</v>
      </c>
      <c r="K446" t="str" cm="1">
        <f t="array" ref="K446">_xlfn.IFS(G446&lt;=5, "Small", G446&lt;=15, "Medium", G446&gt;15, "Large")</f>
        <v>Small</v>
      </c>
      <c r="L446" t="str">
        <f t="shared" si="26"/>
        <v>Standard</v>
      </c>
      <c r="M446" t="str">
        <f t="shared" si="27"/>
        <v>Weekday</v>
      </c>
    </row>
    <row r="447" spans="1:13" x14ac:dyDescent="0.35">
      <c r="A447" t="s">
        <v>502</v>
      </c>
      <c r="B447" s="1">
        <v>45221</v>
      </c>
      <c r="C447" t="s">
        <v>25</v>
      </c>
      <c r="D447" t="s">
        <v>26</v>
      </c>
      <c r="E447" t="s">
        <v>11</v>
      </c>
      <c r="F447" s="4">
        <v>15457.18</v>
      </c>
      <c r="G447" s="5">
        <v>4</v>
      </c>
      <c r="H447" t="s">
        <v>15</v>
      </c>
      <c r="I447" t="str">
        <f t="shared" si="24"/>
        <v>2023-10</v>
      </c>
      <c r="J447" s="4">
        <f t="shared" si="25"/>
        <v>3864.2950000000001</v>
      </c>
      <c r="K447" t="str" cm="1">
        <f t="array" ref="K447">_xlfn.IFS(G447&lt;=5, "Small", G447&lt;=15, "Medium", G447&gt;15, "Large")</f>
        <v>Small</v>
      </c>
      <c r="L447" t="str">
        <f t="shared" si="26"/>
        <v>Standard</v>
      </c>
      <c r="M447" t="str">
        <f t="shared" si="27"/>
        <v>Weekend</v>
      </c>
    </row>
    <row r="448" spans="1:13" x14ac:dyDescent="0.35">
      <c r="A448" t="s">
        <v>503</v>
      </c>
      <c r="B448" s="1">
        <v>45565</v>
      </c>
      <c r="C448" t="s">
        <v>115</v>
      </c>
      <c r="D448" t="s">
        <v>10</v>
      </c>
      <c r="E448" t="s">
        <v>27</v>
      </c>
      <c r="F448" s="4">
        <v>9626.09</v>
      </c>
      <c r="G448" s="5">
        <v>3</v>
      </c>
      <c r="H448" t="s">
        <v>15</v>
      </c>
      <c r="I448" t="str">
        <f t="shared" si="24"/>
        <v>2024-09</v>
      </c>
      <c r="J448" s="4">
        <f t="shared" si="25"/>
        <v>3208.6966666666667</v>
      </c>
      <c r="K448" t="str" cm="1">
        <f t="array" ref="K448">_xlfn.IFS(G448&lt;=5, "Small", G448&lt;=15, "Medium", G448&gt;15, "Large")</f>
        <v>Small</v>
      </c>
      <c r="L448" t="str">
        <f t="shared" si="26"/>
        <v>Standard</v>
      </c>
      <c r="M448" t="str">
        <f t="shared" si="27"/>
        <v>Weekday</v>
      </c>
    </row>
    <row r="449" spans="1:13" x14ac:dyDescent="0.35">
      <c r="A449" t="s">
        <v>504</v>
      </c>
      <c r="B449" s="1">
        <v>45490</v>
      </c>
      <c r="C449" t="s">
        <v>253</v>
      </c>
      <c r="D449" t="s">
        <v>21</v>
      </c>
      <c r="E449" t="s">
        <v>18</v>
      </c>
      <c r="F449" s="4">
        <v>3167.63</v>
      </c>
      <c r="G449" s="5">
        <v>13</v>
      </c>
      <c r="H449" t="s">
        <v>15</v>
      </c>
      <c r="I449" t="str">
        <f t="shared" si="24"/>
        <v>2024-07</v>
      </c>
      <c r="J449" s="4">
        <f t="shared" si="25"/>
        <v>243.66384615384615</v>
      </c>
      <c r="K449" t="str" cm="1">
        <f t="array" ref="K449">_xlfn.IFS(G449&lt;=5, "Small", G449&lt;=15, "Medium", G449&gt;15, "Large")</f>
        <v>Medium</v>
      </c>
      <c r="L449" t="str">
        <f t="shared" si="26"/>
        <v>Standard</v>
      </c>
      <c r="M449" t="str">
        <f t="shared" si="27"/>
        <v>Weekday</v>
      </c>
    </row>
    <row r="450" spans="1:13" x14ac:dyDescent="0.35">
      <c r="A450" t="s">
        <v>505</v>
      </c>
      <c r="B450" s="1">
        <v>45583</v>
      </c>
      <c r="C450" t="s">
        <v>126</v>
      </c>
      <c r="D450" t="s">
        <v>10</v>
      </c>
      <c r="E450" t="s">
        <v>18</v>
      </c>
      <c r="F450" s="4">
        <v>1104.1400000000001</v>
      </c>
      <c r="G450" s="5">
        <v>19</v>
      </c>
      <c r="H450" t="s">
        <v>15</v>
      </c>
      <c r="I450" t="str">
        <f t="shared" si="24"/>
        <v>2024-10</v>
      </c>
      <c r="J450" s="4">
        <f t="shared" si="25"/>
        <v>58.112631578947372</v>
      </c>
      <c r="K450" t="str" cm="1">
        <f t="array" ref="K450">_xlfn.IFS(G450&lt;=5, "Small", G450&lt;=15, "Medium", G450&gt;15, "Large")</f>
        <v>Large</v>
      </c>
      <c r="L450" t="str">
        <f t="shared" si="26"/>
        <v>Standard</v>
      </c>
      <c r="M450" t="str">
        <f t="shared" si="27"/>
        <v>Weekday</v>
      </c>
    </row>
    <row r="451" spans="1:13" x14ac:dyDescent="0.35">
      <c r="A451" t="s">
        <v>506</v>
      </c>
      <c r="B451" s="1">
        <v>45138</v>
      </c>
      <c r="C451" t="s">
        <v>74</v>
      </c>
      <c r="D451" t="s">
        <v>31</v>
      </c>
      <c r="E451" t="s">
        <v>11</v>
      </c>
      <c r="F451" s="4">
        <v>15370.67</v>
      </c>
      <c r="G451" s="5">
        <v>1</v>
      </c>
      <c r="H451" t="s">
        <v>15</v>
      </c>
      <c r="I451" t="str">
        <f t="shared" ref="I451:I514" si="28">TEXT(B451, "YYYY-MM")</f>
        <v>2023-07</v>
      </c>
      <c r="J451" s="4">
        <f t="shared" ref="J451:J514" si="29">IFERROR(F451/G451, 0)</f>
        <v>15370.67</v>
      </c>
      <c r="K451" t="str" cm="1">
        <f t="array" ref="K451">_xlfn.IFS(G451&lt;=5, "Small", G451&lt;=15, "Medium", G451&gt;15, "Large")</f>
        <v>Small</v>
      </c>
      <c r="L451" t="str">
        <f t="shared" ref="L451:L514" si="30">IF(F451&gt;_xlfn.PERCENTILE.INC($F$2:$F$10000, 0.9), "VIP", "Standard")</f>
        <v>Standard</v>
      </c>
      <c r="M451" t="str">
        <f t="shared" ref="M451:M514" si="31">IF(WEEKDAY(B451, 2)&gt;5, "Weekend", "Weekday")</f>
        <v>Weekday</v>
      </c>
    </row>
    <row r="452" spans="1:13" x14ac:dyDescent="0.35">
      <c r="A452" t="s">
        <v>507</v>
      </c>
      <c r="B452" s="1">
        <v>45585</v>
      </c>
      <c r="C452" t="s">
        <v>55</v>
      </c>
      <c r="D452" t="s">
        <v>10</v>
      </c>
      <c r="E452" t="s">
        <v>27</v>
      </c>
      <c r="F452" s="4">
        <v>0</v>
      </c>
      <c r="G452" s="5">
        <v>5</v>
      </c>
      <c r="H452" t="s">
        <v>28</v>
      </c>
      <c r="I452" t="str">
        <f t="shared" si="28"/>
        <v>2024-10</v>
      </c>
      <c r="J452" s="4">
        <f t="shared" si="29"/>
        <v>0</v>
      </c>
      <c r="K452" t="str" cm="1">
        <f t="array" ref="K452">_xlfn.IFS(G452&lt;=5, "Small", G452&lt;=15, "Medium", G452&gt;15, "Large")</f>
        <v>Small</v>
      </c>
      <c r="L452" t="str">
        <f t="shared" si="30"/>
        <v>Standard</v>
      </c>
      <c r="M452" t="str">
        <f t="shared" si="31"/>
        <v>Weekend</v>
      </c>
    </row>
    <row r="453" spans="1:13" x14ac:dyDescent="0.35">
      <c r="A453" t="s">
        <v>508</v>
      </c>
      <c r="B453" s="1">
        <v>45177</v>
      </c>
      <c r="C453" t="s">
        <v>33</v>
      </c>
      <c r="D453" t="s">
        <v>10</v>
      </c>
      <c r="E453" t="s">
        <v>27</v>
      </c>
      <c r="F453" s="4">
        <v>20839.04</v>
      </c>
      <c r="G453" s="5">
        <v>5</v>
      </c>
      <c r="H453" t="s">
        <v>15</v>
      </c>
      <c r="I453" t="str">
        <f t="shared" si="28"/>
        <v>2023-09</v>
      </c>
      <c r="J453" s="4">
        <f t="shared" si="29"/>
        <v>4167.808</v>
      </c>
      <c r="K453" t="str" cm="1">
        <f t="array" ref="K453">_xlfn.IFS(G453&lt;=5, "Small", G453&lt;=15, "Medium", G453&gt;15, "Large")</f>
        <v>Small</v>
      </c>
      <c r="L453" t="str">
        <f t="shared" si="30"/>
        <v>Standard</v>
      </c>
      <c r="M453" t="str">
        <f t="shared" si="31"/>
        <v>Weekday</v>
      </c>
    </row>
    <row r="454" spans="1:13" x14ac:dyDescent="0.35">
      <c r="A454" t="s">
        <v>509</v>
      </c>
      <c r="B454" s="1">
        <v>45461</v>
      </c>
      <c r="C454" t="s">
        <v>55</v>
      </c>
      <c r="D454" t="s">
        <v>10</v>
      </c>
      <c r="E454" t="s">
        <v>18</v>
      </c>
      <c r="F454" s="4">
        <v>2722.51</v>
      </c>
      <c r="G454" s="5">
        <v>15</v>
      </c>
      <c r="H454" t="s">
        <v>15</v>
      </c>
      <c r="I454" t="str">
        <f t="shared" si="28"/>
        <v>2024-06</v>
      </c>
      <c r="J454" s="4">
        <f t="shared" si="29"/>
        <v>181.50066666666669</v>
      </c>
      <c r="K454" t="str" cm="1">
        <f t="array" ref="K454">_xlfn.IFS(G454&lt;=5, "Small", G454&lt;=15, "Medium", G454&gt;15, "Large")</f>
        <v>Medium</v>
      </c>
      <c r="L454" t="str">
        <f t="shared" si="30"/>
        <v>Standard</v>
      </c>
      <c r="M454" t="str">
        <f t="shared" si="31"/>
        <v>Weekday</v>
      </c>
    </row>
    <row r="455" spans="1:13" x14ac:dyDescent="0.35">
      <c r="A455" t="s">
        <v>510</v>
      </c>
      <c r="B455" s="1">
        <v>45248</v>
      </c>
      <c r="C455" t="s">
        <v>40</v>
      </c>
      <c r="D455" t="s">
        <v>26</v>
      </c>
      <c r="E455" t="s">
        <v>18</v>
      </c>
      <c r="F455" s="4">
        <v>448.98</v>
      </c>
      <c r="G455" s="5">
        <v>29</v>
      </c>
      <c r="H455" t="s">
        <v>15</v>
      </c>
      <c r="I455" t="str">
        <f t="shared" si="28"/>
        <v>2023-11</v>
      </c>
      <c r="J455" s="4">
        <f t="shared" si="29"/>
        <v>15.482068965517241</v>
      </c>
      <c r="K455" t="str" cm="1">
        <f t="array" ref="K455">_xlfn.IFS(G455&lt;=5, "Small", G455&lt;=15, "Medium", G455&gt;15, "Large")</f>
        <v>Large</v>
      </c>
      <c r="L455" t="str">
        <f t="shared" si="30"/>
        <v>Standard</v>
      </c>
      <c r="M455" t="str">
        <f t="shared" si="31"/>
        <v>Weekend</v>
      </c>
    </row>
    <row r="456" spans="1:13" x14ac:dyDescent="0.35">
      <c r="A456" t="s">
        <v>511</v>
      </c>
      <c r="B456" s="1">
        <v>45345</v>
      </c>
      <c r="C456" t="s">
        <v>9</v>
      </c>
      <c r="D456" t="s">
        <v>10</v>
      </c>
      <c r="E456" t="s">
        <v>27</v>
      </c>
      <c r="F456" s="4">
        <v>38711.800000000003</v>
      </c>
      <c r="G456" s="5">
        <v>3</v>
      </c>
      <c r="H456" t="s">
        <v>15</v>
      </c>
      <c r="I456" t="str">
        <f t="shared" si="28"/>
        <v>2024-02</v>
      </c>
      <c r="J456" s="4">
        <f t="shared" si="29"/>
        <v>12903.933333333334</v>
      </c>
      <c r="K456" t="str" cm="1">
        <f t="array" ref="K456">_xlfn.IFS(G456&lt;=5, "Small", G456&lt;=15, "Medium", G456&gt;15, "Large")</f>
        <v>Small</v>
      </c>
      <c r="L456" t="str">
        <f t="shared" si="30"/>
        <v>VIP</v>
      </c>
      <c r="M456" t="str">
        <f t="shared" si="31"/>
        <v>Weekday</v>
      </c>
    </row>
    <row r="457" spans="1:13" x14ac:dyDescent="0.35">
      <c r="A457" t="s">
        <v>512</v>
      </c>
      <c r="B457" s="1">
        <v>45429</v>
      </c>
      <c r="C457" t="s">
        <v>20</v>
      </c>
      <c r="D457" t="s">
        <v>21</v>
      </c>
      <c r="E457" t="s">
        <v>27</v>
      </c>
      <c r="F457" s="4">
        <v>35454.19</v>
      </c>
      <c r="G457" s="5">
        <v>3</v>
      </c>
      <c r="H457" t="s">
        <v>15</v>
      </c>
      <c r="I457" t="str">
        <f t="shared" si="28"/>
        <v>2024-05</v>
      </c>
      <c r="J457" s="4">
        <f t="shared" si="29"/>
        <v>11818.063333333334</v>
      </c>
      <c r="K457" t="str" cm="1">
        <f t="array" ref="K457">_xlfn.IFS(G457&lt;=5, "Small", G457&lt;=15, "Medium", G457&gt;15, "Large")</f>
        <v>Small</v>
      </c>
      <c r="L457" t="str">
        <f t="shared" si="30"/>
        <v>VIP</v>
      </c>
      <c r="M457" t="str">
        <f t="shared" si="31"/>
        <v>Weekday</v>
      </c>
    </row>
    <row r="458" spans="1:13" x14ac:dyDescent="0.35">
      <c r="A458" t="s">
        <v>513</v>
      </c>
      <c r="B458" s="1">
        <v>44951</v>
      </c>
      <c r="C458" t="s">
        <v>111</v>
      </c>
      <c r="D458" t="s">
        <v>31</v>
      </c>
      <c r="E458" t="s">
        <v>11</v>
      </c>
      <c r="F458" s="4">
        <v>6366.29</v>
      </c>
      <c r="G458" s="5">
        <v>4</v>
      </c>
      <c r="H458" t="s">
        <v>15</v>
      </c>
      <c r="I458" t="str">
        <f t="shared" si="28"/>
        <v>2023-01</v>
      </c>
      <c r="J458" s="4">
        <f t="shared" si="29"/>
        <v>1591.5725</v>
      </c>
      <c r="K458" t="str" cm="1">
        <f t="array" ref="K458">_xlfn.IFS(G458&lt;=5, "Small", G458&lt;=15, "Medium", G458&gt;15, "Large")</f>
        <v>Small</v>
      </c>
      <c r="L458" t="str">
        <f t="shared" si="30"/>
        <v>Standard</v>
      </c>
      <c r="M458" t="str">
        <f t="shared" si="31"/>
        <v>Weekday</v>
      </c>
    </row>
    <row r="459" spans="1:13" x14ac:dyDescent="0.35">
      <c r="A459" t="s">
        <v>514</v>
      </c>
      <c r="B459" s="1">
        <v>45344</v>
      </c>
      <c r="C459" t="s">
        <v>9</v>
      </c>
      <c r="D459" t="s">
        <v>10</v>
      </c>
      <c r="E459" t="s">
        <v>11</v>
      </c>
      <c r="F459" s="4">
        <v>1402.1</v>
      </c>
      <c r="G459" s="5">
        <v>7</v>
      </c>
      <c r="H459" t="s">
        <v>15</v>
      </c>
      <c r="I459" t="str">
        <f t="shared" si="28"/>
        <v>2024-02</v>
      </c>
      <c r="J459" s="4">
        <f t="shared" si="29"/>
        <v>200.29999999999998</v>
      </c>
      <c r="K459" t="str" cm="1">
        <f t="array" ref="K459">_xlfn.IFS(G459&lt;=5, "Small", G459&lt;=15, "Medium", G459&gt;15, "Large")</f>
        <v>Medium</v>
      </c>
      <c r="L459" t="str">
        <f t="shared" si="30"/>
        <v>Standard</v>
      </c>
      <c r="M459" t="str">
        <f t="shared" si="31"/>
        <v>Weekday</v>
      </c>
    </row>
    <row r="460" spans="1:13" x14ac:dyDescent="0.35">
      <c r="A460" t="s">
        <v>515</v>
      </c>
      <c r="B460" s="1">
        <v>45509</v>
      </c>
      <c r="C460" t="s">
        <v>126</v>
      </c>
      <c r="D460" t="s">
        <v>21</v>
      </c>
      <c r="E460" t="s">
        <v>27</v>
      </c>
      <c r="F460" s="4">
        <v>36228.86</v>
      </c>
      <c r="G460" s="5">
        <v>3</v>
      </c>
      <c r="H460" t="s">
        <v>15</v>
      </c>
      <c r="I460" t="str">
        <f t="shared" si="28"/>
        <v>2024-08</v>
      </c>
      <c r="J460" s="4">
        <f t="shared" si="29"/>
        <v>12076.286666666667</v>
      </c>
      <c r="K460" t="str" cm="1">
        <f t="array" ref="K460">_xlfn.IFS(G460&lt;=5, "Small", G460&lt;=15, "Medium", G460&gt;15, "Large")</f>
        <v>Small</v>
      </c>
      <c r="L460" t="str">
        <f t="shared" si="30"/>
        <v>VIP</v>
      </c>
      <c r="M460" t="str">
        <f t="shared" si="31"/>
        <v>Weekday</v>
      </c>
    </row>
    <row r="461" spans="1:13" x14ac:dyDescent="0.35">
      <c r="A461" t="s">
        <v>516</v>
      </c>
      <c r="B461" s="1">
        <v>45059</v>
      </c>
      <c r="C461" t="s">
        <v>40</v>
      </c>
      <c r="D461" t="s">
        <v>26</v>
      </c>
      <c r="E461" t="s">
        <v>27</v>
      </c>
      <c r="F461" s="4">
        <v>37547.47</v>
      </c>
      <c r="G461" s="5">
        <v>5</v>
      </c>
      <c r="H461" t="s">
        <v>15</v>
      </c>
      <c r="I461" t="str">
        <f t="shared" si="28"/>
        <v>2023-05</v>
      </c>
      <c r="J461" s="4">
        <f t="shared" si="29"/>
        <v>7509.4940000000006</v>
      </c>
      <c r="K461" t="str" cm="1">
        <f t="array" ref="K461">_xlfn.IFS(G461&lt;=5, "Small", G461&lt;=15, "Medium", G461&gt;15, "Large")</f>
        <v>Small</v>
      </c>
      <c r="L461" t="str">
        <f t="shared" si="30"/>
        <v>VIP</v>
      </c>
      <c r="M461" t="str">
        <f t="shared" si="31"/>
        <v>Weekend</v>
      </c>
    </row>
    <row r="462" spans="1:13" x14ac:dyDescent="0.35">
      <c r="A462" t="s">
        <v>517</v>
      </c>
      <c r="B462" s="1">
        <v>45391</v>
      </c>
      <c r="C462" t="s">
        <v>62</v>
      </c>
      <c r="D462" t="s">
        <v>10</v>
      </c>
      <c r="E462" t="s">
        <v>18</v>
      </c>
      <c r="F462" s="4">
        <v>2263.4899999999998</v>
      </c>
      <c r="G462" s="5">
        <v>21</v>
      </c>
      <c r="H462" t="s">
        <v>15</v>
      </c>
      <c r="I462" t="str">
        <f t="shared" si="28"/>
        <v>2024-04</v>
      </c>
      <c r="J462" s="4">
        <f t="shared" si="29"/>
        <v>107.78523809523809</v>
      </c>
      <c r="K462" t="str" cm="1">
        <f t="array" ref="K462">_xlfn.IFS(G462&lt;=5, "Small", G462&lt;=15, "Medium", G462&gt;15, "Large")</f>
        <v>Large</v>
      </c>
      <c r="L462" t="str">
        <f t="shared" si="30"/>
        <v>Standard</v>
      </c>
      <c r="M462" t="str">
        <f t="shared" si="31"/>
        <v>Weekday</v>
      </c>
    </row>
    <row r="463" spans="1:13" x14ac:dyDescent="0.35">
      <c r="A463" t="s">
        <v>518</v>
      </c>
      <c r="B463" s="1">
        <v>45219</v>
      </c>
      <c r="C463" t="s">
        <v>64</v>
      </c>
      <c r="D463" t="s">
        <v>10</v>
      </c>
      <c r="E463" t="s">
        <v>11</v>
      </c>
      <c r="F463" s="4">
        <v>0</v>
      </c>
      <c r="G463" s="5">
        <v>1</v>
      </c>
      <c r="H463" t="s">
        <v>28</v>
      </c>
      <c r="I463" t="str">
        <f t="shared" si="28"/>
        <v>2023-10</v>
      </c>
      <c r="J463" s="4">
        <f t="shared" si="29"/>
        <v>0</v>
      </c>
      <c r="K463" t="str" cm="1">
        <f t="array" ref="K463">_xlfn.IFS(G463&lt;=5, "Small", G463&lt;=15, "Medium", G463&gt;15, "Large")</f>
        <v>Small</v>
      </c>
      <c r="L463" t="str">
        <f t="shared" si="30"/>
        <v>Standard</v>
      </c>
      <c r="M463" t="str">
        <f t="shared" si="31"/>
        <v>Weekday</v>
      </c>
    </row>
    <row r="464" spans="1:13" x14ac:dyDescent="0.35">
      <c r="A464" t="s">
        <v>519</v>
      </c>
      <c r="B464" s="1">
        <v>45517</v>
      </c>
      <c r="C464" t="s">
        <v>97</v>
      </c>
      <c r="D464" t="s">
        <v>21</v>
      </c>
      <c r="E464" t="s">
        <v>27</v>
      </c>
      <c r="F464" s="4">
        <v>12816.25</v>
      </c>
      <c r="G464" s="5">
        <v>4</v>
      </c>
      <c r="H464" t="s">
        <v>15</v>
      </c>
      <c r="I464" t="str">
        <f t="shared" si="28"/>
        <v>2024-08</v>
      </c>
      <c r="J464" s="4">
        <f t="shared" si="29"/>
        <v>3204.0625</v>
      </c>
      <c r="K464" t="str" cm="1">
        <f t="array" ref="K464">_xlfn.IFS(G464&lt;=5, "Small", G464&lt;=15, "Medium", G464&gt;15, "Large")</f>
        <v>Small</v>
      </c>
      <c r="L464" t="str">
        <f t="shared" si="30"/>
        <v>Standard</v>
      </c>
      <c r="M464" t="str">
        <f t="shared" si="31"/>
        <v>Weekday</v>
      </c>
    </row>
    <row r="465" spans="1:13" x14ac:dyDescent="0.35">
      <c r="A465" t="s">
        <v>520</v>
      </c>
      <c r="B465" s="1">
        <v>45509</v>
      </c>
      <c r="C465" t="s">
        <v>97</v>
      </c>
      <c r="D465" t="s">
        <v>21</v>
      </c>
      <c r="E465" t="s">
        <v>11</v>
      </c>
      <c r="F465" s="4">
        <v>0</v>
      </c>
      <c r="G465" s="5">
        <v>1</v>
      </c>
      <c r="H465" t="s">
        <v>28</v>
      </c>
      <c r="I465" t="str">
        <f t="shared" si="28"/>
        <v>2024-08</v>
      </c>
      <c r="J465" s="4">
        <f t="shared" si="29"/>
        <v>0</v>
      </c>
      <c r="K465" t="str" cm="1">
        <f t="array" ref="K465">_xlfn.IFS(G465&lt;=5, "Small", G465&lt;=15, "Medium", G465&gt;15, "Large")</f>
        <v>Small</v>
      </c>
      <c r="L465" t="str">
        <f t="shared" si="30"/>
        <v>Standard</v>
      </c>
      <c r="M465" t="str">
        <f t="shared" si="31"/>
        <v>Weekday</v>
      </c>
    </row>
    <row r="466" spans="1:13" x14ac:dyDescent="0.35">
      <c r="A466" t="s">
        <v>521</v>
      </c>
      <c r="B466" s="1">
        <v>45633</v>
      </c>
      <c r="C466" t="s">
        <v>84</v>
      </c>
      <c r="D466" t="s">
        <v>26</v>
      </c>
      <c r="E466" t="s">
        <v>11</v>
      </c>
      <c r="F466" s="4">
        <v>17124.830000000002</v>
      </c>
      <c r="G466" s="5">
        <v>6</v>
      </c>
      <c r="H466" t="s">
        <v>15</v>
      </c>
      <c r="I466" t="str">
        <f t="shared" si="28"/>
        <v>2024-12</v>
      </c>
      <c r="J466" s="4">
        <f t="shared" si="29"/>
        <v>2854.1383333333338</v>
      </c>
      <c r="K466" t="str" cm="1">
        <f t="array" ref="K466">_xlfn.IFS(G466&lt;=5, "Small", G466&lt;=15, "Medium", G466&gt;15, "Large")</f>
        <v>Medium</v>
      </c>
      <c r="L466" t="str">
        <f t="shared" si="30"/>
        <v>Standard</v>
      </c>
      <c r="M466" t="str">
        <f t="shared" si="31"/>
        <v>Weekend</v>
      </c>
    </row>
    <row r="467" spans="1:13" x14ac:dyDescent="0.35">
      <c r="A467" t="s">
        <v>522</v>
      </c>
      <c r="B467" s="1">
        <v>45583</v>
      </c>
      <c r="C467" t="s">
        <v>45</v>
      </c>
      <c r="D467" t="s">
        <v>21</v>
      </c>
      <c r="E467" t="s">
        <v>18</v>
      </c>
      <c r="F467" s="4">
        <v>1192.47</v>
      </c>
      <c r="G467" s="5">
        <v>1</v>
      </c>
      <c r="H467" t="s">
        <v>15</v>
      </c>
      <c r="I467" t="str">
        <f t="shared" si="28"/>
        <v>2024-10</v>
      </c>
      <c r="J467" s="4">
        <f t="shared" si="29"/>
        <v>1192.47</v>
      </c>
      <c r="K467" t="str" cm="1">
        <f t="array" ref="K467">_xlfn.IFS(G467&lt;=5, "Small", G467&lt;=15, "Medium", G467&gt;15, "Large")</f>
        <v>Small</v>
      </c>
      <c r="L467" t="str">
        <f t="shared" si="30"/>
        <v>Standard</v>
      </c>
      <c r="M467" t="str">
        <f t="shared" si="31"/>
        <v>Weekday</v>
      </c>
    </row>
    <row r="468" spans="1:13" x14ac:dyDescent="0.35">
      <c r="A468" t="s">
        <v>523</v>
      </c>
      <c r="B468" s="1">
        <v>45631</v>
      </c>
      <c r="C468" t="s">
        <v>160</v>
      </c>
      <c r="D468" t="s">
        <v>26</v>
      </c>
      <c r="E468" t="s">
        <v>18</v>
      </c>
      <c r="F468" s="4">
        <v>2556.9499999999998</v>
      </c>
      <c r="G468" s="5">
        <v>16</v>
      </c>
      <c r="H468" t="s">
        <v>15</v>
      </c>
      <c r="I468" t="str">
        <f t="shared" si="28"/>
        <v>2024-12</v>
      </c>
      <c r="J468" s="4">
        <f t="shared" si="29"/>
        <v>159.80937499999999</v>
      </c>
      <c r="K468" t="str" cm="1">
        <f t="array" ref="K468">_xlfn.IFS(G468&lt;=5, "Small", G468&lt;=15, "Medium", G468&gt;15, "Large")</f>
        <v>Large</v>
      </c>
      <c r="L468" t="str">
        <f t="shared" si="30"/>
        <v>Standard</v>
      </c>
      <c r="M468" t="str">
        <f t="shared" si="31"/>
        <v>Weekday</v>
      </c>
    </row>
    <row r="469" spans="1:13" x14ac:dyDescent="0.35">
      <c r="A469" t="s">
        <v>524</v>
      </c>
      <c r="B469" s="1">
        <v>45226</v>
      </c>
      <c r="C469" t="s">
        <v>53</v>
      </c>
      <c r="D469" t="s">
        <v>31</v>
      </c>
      <c r="E469" t="s">
        <v>18</v>
      </c>
      <c r="F469" s="4">
        <v>3449.93</v>
      </c>
      <c r="G469" s="5">
        <v>22</v>
      </c>
      <c r="H469" t="s">
        <v>15</v>
      </c>
      <c r="I469" t="str">
        <f t="shared" si="28"/>
        <v>2023-10</v>
      </c>
      <c r="J469" s="4">
        <f t="shared" si="29"/>
        <v>156.815</v>
      </c>
      <c r="K469" t="str" cm="1">
        <f t="array" ref="K469">_xlfn.IFS(G469&lt;=5, "Small", G469&lt;=15, "Medium", G469&gt;15, "Large")</f>
        <v>Large</v>
      </c>
      <c r="L469" t="str">
        <f t="shared" si="30"/>
        <v>Standard</v>
      </c>
      <c r="M469" t="str">
        <f t="shared" si="31"/>
        <v>Weekday</v>
      </c>
    </row>
    <row r="470" spans="1:13" x14ac:dyDescent="0.35">
      <c r="A470" t="s">
        <v>525</v>
      </c>
      <c r="B470" s="1">
        <v>45458</v>
      </c>
      <c r="C470" t="s">
        <v>14</v>
      </c>
      <c r="D470" t="s">
        <v>10</v>
      </c>
      <c r="E470" t="s">
        <v>18</v>
      </c>
      <c r="F470" s="4">
        <v>1700.38</v>
      </c>
      <c r="G470" s="5">
        <v>13</v>
      </c>
      <c r="H470" t="s">
        <v>15</v>
      </c>
      <c r="I470" t="str">
        <f t="shared" si="28"/>
        <v>2024-06</v>
      </c>
      <c r="J470" s="4">
        <f t="shared" si="29"/>
        <v>130.79846153846154</v>
      </c>
      <c r="K470" t="str" cm="1">
        <f t="array" ref="K470">_xlfn.IFS(G470&lt;=5, "Small", G470&lt;=15, "Medium", G470&gt;15, "Large")</f>
        <v>Medium</v>
      </c>
      <c r="L470" t="str">
        <f t="shared" si="30"/>
        <v>Standard</v>
      </c>
      <c r="M470" t="str">
        <f t="shared" si="31"/>
        <v>Weekend</v>
      </c>
    </row>
    <row r="471" spans="1:13" x14ac:dyDescent="0.35">
      <c r="A471" t="s">
        <v>526</v>
      </c>
      <c r="B471" s="1">
        <v>45049</v>
      </c>
      <c r="C471" t="s">
        <v>55</v>
      </c>
      <c r="D471" t="s">
        <v>10</v>
      </c>
      <c r="E471" t="s">
        <v>27</v>
      </c>
      <c r="F471" s="4">
        <v>27271</v>
      </c>
      <c r="G471" s="5">
        <v>3</v>
      </c>
      <c r="H471" t="s">
        <v>15</v>
      </c>
      <c r="I471" t="str">
        <f t="shared" si="28"/>
        <v>2023-05</v>
      </c>
      <c r="J471" s="4">
        <f t="shared" si="29"/>
        <v>9090.3333333333339</v>
      </c>
      <c r="K471" t="str" cm="1">
        <f t="array" ref="K471">_xlfn.IFS(G471&lt;=5, "Small", G471&lt;=15, "Medium", G471&gt;15, "Large")</f>
        <v>Small</v>
      </c>
      <c r="L471" t="str">
        <f t="shared" si="30"/>
        <v>Standard</v>
      </c>
      <c r="M471" t="str">
        <f t="shared" si="31"/>
        <v>Weekday</v>
      </c>
    </row>
    <row r="472" spans="1:13" x14ac:dyDescent="0.35">
      <c r="A472" t="s">
        <v>527</v>
      </c>
      <c r="B472" s="1">
        <v>45124</v>
      </c>
      <c r="C472" t="s">
        <v>111</v>
      </c>
      <c r="D472" t="s">
        <v>21</v>
      </c>
      <c r="E472" t="s">
        <v>11</v>
      </c>
      <c r="F472" s="4">
        <v>0</v>
      </c>
      <c r="G472" s="5">
        <v>4</v>
      </c>
      <c r="H472" t="s">
        <v>12</v>
      </c>
      <c r="I472" t="str">
        <f t="shared" si="28"/>
        <v>2023-07</v>
      </c>
      <c r="J472" s="4">
        <f t="shared" si="29"/>
        <v>0</v>
      </c>
      <c r="K472" t="str" cm="1">
        <f t="array" ref="K472">_xlfn.IFS(G472&lt;=5, "Small", G472&lt;=15, "Medium", G472&gt;15, "Large")</f>
        <v>Small</v>
      </c>
      <c r="L472" t="str">
        <f t="shared" si="30"/>
        <v>Standard</v>
      </c>
      <c r="M472" t="str">
        <f t="shared" si="31"/>
        <v>Weekday</v>
      </c>
    </row>
    <row r="473" spans="1:13" x14ac:dyDescent="0.35">
      <c r="A473" t="s">
        <v>528</v>
      </c>
      <c r="B473" s="1">
        <v>45379</v>
      </c>
      <c r="C473" t="s">
        <v>91</v>
      </c>
      <c r="D473" t="s">
        <v>26</v>
      </c>
      <c r="E473" t="s">
        <v>18</v>
      </c>
      <c r="F473" s="4">
        <v>2061.86</v>
      </c>
      <c r="G473" s="5">
        <v>3</v>
      </c>
      <c r="H473" t="s">
        <v>15</v>
      </c>
      <c r="I473" t="str">
        <f t="shared" si="28"/>
        <v>2024-03</v>
      </c>
      <c r="J473" s="4">
        <f t="shared" si="29"/>
        <v>687.28666666666675</v>
      </c>
      <c r="K473" t="str" cm="1">
        <f t="array" ref="K473">_xlfn.IFS(G473&lt;=5, "Small", G473&lt;=15, "Medium", G473&gt;15, "Large")</f>
        <v>Small</v>
      </c>
      <c r="L473" t="str">
        <f t="shared" si="30"/>
        <v>Standard</v>
      </c>
      <c r="M473" t="str">
        <f t="shared" si="31"/>
        <v>Weekday</v>
      </c>
    </row>
    <row r="474" spans="1:13" x14ac:dyDescent="0.35">
      <c r="A474" t="s">
        <v>529</v>
      </c>
      <c r="B474" s="1">
        <v>45242</v>
      </c>
      <c r="C474" t="s">
        <v>62</v>
      </c>
      <c r="D474" t="s">
        <v>10</v>
      </c>
      <c r="E474" t="s">
        <v>27</v>
      </c>
      <c r="F474" s="4">
        <v>20511.990000000002</v>
      </c>
      <c r="G474" s="5">
        <v>1</v>
      </c>
      <c r="H474" t="s">
        <v>15</v>
      </c>
      <c r="I474" t="str">
        <f t="shared" si="28"/>
        <v>2023-11</v>
      </c>
      <c r="J474" s="4">
        <f t="shared" si="29"/>
        <v>20511.990000000002</v>
      </c>
      <c r="K474" t="str" cm="1">
        <f t="array" ref="K474">_xlfn.IFS(G474&lt;=5, "Small", G474&lt;=15, "Medium", G474&gt;15, "Large")</f>
        <v>Small</v>
      </c>
      <c r="L474" t="str">
        <f t="shared" si="30"/>
        <v>Standard</v>
      </c>
      <c r="M474" t="str">
        <f t="shared" si="31"/>
        <v>Weekend</v>
      </c>
    </row>
    <row r="475" spans="1:13" x14ac:dyDescent="0.35">
      <c r="A475" t="s">
        <v>530</v>
      </c>
      <c r="B475" s="1">
        <v>45023</v>
      </c>
      <c r="C475" t="s">
        <v>35</v>
      </c>
      <c r="D475" t="s">
        <v>31</v>
      </c>
      <c r="E475" t="s">
        <v>18</v>
      </c>
      <c r="F475" s="4">
        <v>0</v>
      </c>
      <c r="G475" s="5">
        <v>11</v>
      </c>
      <c r="H475" t="s">
        <v>28</v>
      </c>
      <c r="I475" t="str">
        <f t="shared" si="28"/>
        <v>2023-04</v>
      </c>
      <c r="J475" s="4">
        <f t="shared" si="29"/>
        <v>0</v>
      </c>
      <c r="K475" t="str" cm="1">
        <f t="array" ref="K475">_xlfn.IFS(G475&lt;=5, "Small", G475&lt;=15, "Medium", G475&gt;15, "Large")</f>
        <v>Medium</v>
      </c>
      <c r="L475" t="str">
        <f t="shared" si="30"/>
        <v>Standard</v>
      </c>
      <c r="M475" t="str">
        <f t="shared" si="31"/>
        <v>Weekday</v>
      </c>
    </row>
    <row r="476" spans="1:13" x14ac:dyDescent="0.35">
      <c r="A476" t="s">
        <v>531</v>
      </c>
      <c r="B476" s="1">
        <v>45299</v>
      </c>
      <c r="C476" t="s">
        <v>60</v>
      </c>
      <c r="D476" t="s">
        <v>21</v>
      </c>
      <c r="E476" t="s">
        <v>18</v>
      </c>
      <c r="F476" s="4">
        <v>2961.9</v>
      </c>
      <c r="G476" s="5">
        <v>13</v>
      </c>
      <c r="H476" t="s">
        <v>15</v>
      </c>
      <c r="I476" t="str">
        <f t="shared" si="28"/>
        <v>2024-01</v>
      </c>
      <c r="J476" s="4">
        <f t="shared" si="29"/>
        <v>227.83846153846156</v>
      </c>
      <c r="K476" t="str" cm="1">
        <f t="array" ref="K476">_xlfn.IFS(G476&lt;=5, "Small", G476&lt;=15, "Medium", G476&gt;15, "Large")</f>
        <v>Medium</v>
      </c>
      <c r="L476" t="str">
        <f t="shared" si="30"/>
        <v>Standard</v>
      </c>
      <c r="M476" t="str">
        <f t="shared" si="31"/>
        <v>Weekday</v>
      </c>
    </row>
    <row r="477" spans="1:13" x14ac:dyDescent="0.35">
      <c r="A477" t="s">
        <v>532</v>
      </c>
      <c r="B477" s="1">
        <v>45294</v>
      </c>
      <c r="C477" t="s">
        <v>84</v>
      </c>
      <c r="D477" t="s">
        <v>26</v>
      </c>
      <c r="E477" t="s">
        <v>27</v>
      </c>
      <c r="F477" s="4">
        <v>0</v>
      </c>
      <c r="G477" s="5">
        <v>5</v>
      </c>
      <c r="H477" t="s">
        <v>28</v>
      </c>
      <c r="I477" t="str">
        <f t="shared" si="28"/>
        <v>2024-01</v>
      </c>
      <c r="J477" s="4">
        <f t="shared" si="29"/>
        <v>0</v>
      </c>
      <c r="K477" t="str" cm="1">
        <f t="array" ref="K477">_xlfn.IFS(G477&lt;=5, "Small", G477&lt;=15, "Medium", G477&gt;15, "Large")</f>
        <v>Small</v>
      </c>
      <c r="L477" t="str">
        <f t="shared" si="30"/>
        <v>Standard</v>
      </c>
      <c r="M477" t="str">
        <f t="shared" si="31"/>
        <v>Weekday</v>
      </c>
    </row>
    <row r="478" spans="1:13" x14ac:dyDescent="0.35">
      <c r="A478" t="s">
        <v>533</v>
      </c>
      <c r="B478" s="1">
        <v>45182</v>
      </c>
      <c r="C478" t="s">
        <v>35</v>
      </c>
      <c r="D478" t="s">
        <v>31</v>
      </c>
      <c r="E478" t="s">
        <v>11</v>
      </c>
      <c r="F478" s="4">
        <v>3540.95</v>
      </c>
      <c r="G478" s="5">
        <v>6</v>
      </c>
      <c r="H478" t="s">
        <v>15</v>
      </c>
      <c r="I478" t="str">
        <f t="shared" si="28"/>
        <v>2023-09</v>
      </c>
      <c r="J478" s="4">
        <f t="shared" si="29"/>
        <v>590.1583333333333</v>
      </c>
      <c r="K478" t="str" cm="1">
        <f t="array" ref="K478">_xlfn.IFS(G478&lt;=5, "Small", G478&lt;=15, "Medium", G478&gt;15, "Large")</f>
        <v>Medium</v>
      </c>
      <c r="L478" t="str">
        <f t="shared" si="30"/>
        <v>Standard</v>
      </c>
      <c r="M478" t="str">
        <f t="shared" si="31"/>
        <v>Weekday</v>
      </c>
    </row>
    <row r="479" spans="1:13" x14ac:dyDescent="0.35">
      <c r="A479" t="s">
        <v>534</v>
      </c>
      <c r="B479" s="1">
        <v>45525</v>
      </c>
      <c r="C479" t="s">
        <v>62</v>
      </c>
      <c r="D479" t="s">
        <v>10</v>
      </c>
      <c r="E479" t="s">
        <v>18</v>
      </c>
      <c r="F479" s="4">
        <v>1362.31</v>
      </c>
      <c r="G479" s="5">
        <v>1</v>
      </c>
      <c r="H479" t="s">
        <v>15</v>
      </c>
      <c r="I479" t="str">
        <f t="shared" si="28"/>
        <v>2024-08</v>
      </c>
      <c r="J479" s="4">
        <f t="shared" si="29"/>
        <v>1362.31</v>
      </c>
      <c r="K479" t="str" cm="1">
        <f t="array" ref="K479">_xlfn.IFS(G479&lt;=5, "Small", G479&lt;=15, "Medium", G479&gt;15, "Large")</f>
        <v>Small</v>
      </c>
      <c r="L479" t="str">
        <f t="shared" si="30"/>
        <v>Standard</v>
      </c>
      <c r="M479" t="str">
        <f t="shared" si="31"/>
        <v>Weekday</v>
      </c>
    </row>
    <row r="480" spans="1:13" x14ac:dyDescent="0.35">
      <c r="A480" t="s">
        <v>535</v>
      </c>
      <c r="B480" s="1">
        <v>45583</v>
      </c>
      <c r="C480" t="s">
        <v>30</v>
      </c>
      <c r="D480" t="s">
        <v>31</v>
      </c>
      <c r="E480" t="s">
        <v>11</v>
      </c>
      <c r="F480" s="4">
        <v>8158.56</v>
      </c>
      <c r="G480" s="5">
        <v>1</v>
      </c>
      <c r="H480" t="s">
        <v>15</v>
      </c>
      <c r="I480" t="str">
        <f t="shared" si="28"/>
        <v>2024-10</v>
      </c>
      <c r="J480" s="4">
        <f t="shared" si="29"/>
        <v>8158.56</v>
      </c>
      <c r="K480" t="str" cm="1">
        <f t="array" ref="K480">_xlfn.IFS(G480&lt;=5, "Small", G480&lt;=15, "Medium", G480&gt;15, "Large")</f>
        <v>Small</v>
      </c>
      <c r="L480" t="str">
        <f t="shared" si="30"/>
        <v>Standard</v>
      </c>
      <c r="M480" t="str">
        <f t="shared" si="31"/>
        <v>Weekday</v>
      </c>
    </row>
    <row r="481" spans="1:13" x14ac:dyDescent="0.35">
      <c r="A481" t="s">
        <v>536</v>
      </c>
      <c r="B481" s="1">
        <v>45247</v>
      </c>
      <c r="C481" t="s">
        <v>40</v>
      </c>
      <c r="D481" t="s">
        <v>26</v>
      </c>
      <c r="E481" t="s">
        <v>11</v>
      </c>
      <c r="F481" s="4">
        <v>0</v>
      </c>
      <c r="G481" s="5">
        <v>8</v>
      </c>
      <c r="H481" t="s">
        <v>12</v>
      </c>
      <c r="I481" t="str">
        <f t="shared" si="28"/>
        <v>2023-11</v>
      </c>
      <c r="J481" s="4">
        <f t="shared" si="29"/>
        <v>0</v>
      </c>
      <c r="K481" t="str" cm="1">
        <f t="array" ref="K481">_xlfn.IFS(G481&lt;=5, "Small", G481&lt;=15, "Medium", G481&gt;15, "Large")</f>
        <v>Medium</v>
      </c>
      <c r="L481" t="str">
        <f t="shared" si="30"/>
        <v>Standard</v>
      </c>
      <c r="M481" t="str">
        <f t="shared" si="31"/>
        <v>Weekday</v>
      </c>
    </row>
    <row r="482" spans="1:13" x14ac:dyDescent="0.35">
      <c r="A482" t="s">
        <v>537</v>
      </c>
      <c r="B482" s="1">
        <v>45647</v>
      </c>
      <c r="C482" t="s">
        <v>241</v>
      </c>
      <c r="D482" t="s">
        <v>31</v>
      </c>
      <c r="E482" t="s">
        <v>27</v>
      </c>
      <c r="F482" s="4">
        <v>0</v>
      </c>
      <c r="G482" s="5">
        <v>2</v>
      </c>
      <c r="H482" t="s">
        <v>28</v>
      </c>
      <c r="I482" t="str">
        <f t="shared" si="28"/>
        <v>2024-12</v>
      </c>
      <c r="J482" s="4">
        <f t="shared" si="29"/>
        <v>0</v>
      </c>
      <c r="K482" t="str" cm="1">
        <f t="array" ref="K482">_xlfn.IFS(G482&lt;=5, "Small", G482&lt;=15, "Medium", G482&gt;15, "Large")</f>
        <v>Small</v>
      </c>
      <c r="L482" t="str">
        <f t="shared" si="30"/>
        <v>Standard</v>
      </c>
      <c r="M482" t="str">
        <f t="shared" si="31"/>
        <v>Weekend</v>
      </c>
    </row>
    <row r="483" spans="1:13" x14ac:dyDescent="0.35">
      <c r="A483" t="s">
        <v>538</v>
      </c>
      <c r="B483" s="1">
        <v>45295</v>
      </c>
      <c r="C483" t="s">
        <v>126</v>
      </c>
      <c r="D483" t="s">
        <v>21</v>
      </c>
      <c r="E483" t="s">
        <v>11</v>
      </c>
      <c r="F483" s="4">
        <v>15838.58</v>
      </c>
      <c r="G483" s="5">
        <v>8</v>
      </c>
      <c r="H483" t="s">
        <v>15</v>
      </c>
      <c r="I483" t="str">
        <f t="shared" si="28"/>
        <v>2024-01</v>
      </c>
      <c r="J483" s="4">
        <f t="shared" si="29"/>
        <v>1979.8225</v>
      </c>
      <c r="K483" t="str" cm="1">
        <f t="array" ref="K483">_xlfn.IFS(G483&lt;=5, "Small", G483&lt;=15, "Medium", G483&gt;15, "Large")</f>
        <v>Medium</v>
      </c>
      <c r="L483" t="str">
        <f t="shared" si="30"/>
        <v>Standard</v>
      </c>
      <c r="M483" t="str">
        <f t="shared" si="31"/>
        <v>Weekday</v>
      </c>
    </row>
    <row r="484" spans="1:13" x14ac:dyDescent="0.35">
      <c r="A484" t="s">
        <v>539</v>
      </c>
      <c r="B484" s="1">
        <v>44977</v>
      </c>
      <c r="C484" t="s">
        <v>35</v>
      </c>
      <c r="D484" t="s">
        <v>31</v>
      </c>
      <c r="E484" t="s">
        <v>11</v>
      </c>
      <c r="F484" s="4">
        <v>14030.62</v>
      </c>
      <c r="G484" s="5">
        <v>4</v>
      </c>
      <c r="H484" t="s">
        <v>15</v>
      </c>
      <c r="I484" t="str">
        <f t="shared" si="28"/>
        <v>2023-02</v>
      </c>
      <c r="J484" s="4">
        <f t="shared" si="29"/>
        <v>3507.6550000000002</v>
      </c>
      <c r="K484" t="str" cm="1">
        <f t="array" ref="K484">_xlfn.IFS(G484&lt;=5, "Small", G484&lt;=15, "Medium", G484&gt;15, "Large")</f>
        <v>Small</v>
      </c>
      <c r="L484" t="str">
        <f t="shared" si="30"/>
        <v>Standard</v>
      </c>
      <c r="M484" t="str">
        <f t="shared" si="31"/>
        <v>Weekday</v>
      </c>
    </row>
    <row r="485" spans="1:13" x14ac:dyDescent="0.35">
      <c r="A485" t="s">
        <v>540</v>
      </c>
      <c r="B485" s="1">
        <v>45145</v>
      </c>
      <c r="C485" t="s">
        <v>115</v>
      </c>
      <c r="D485" t="s">
        <v>10</v>
      </c>
      <c r="E485" t="s">
        <v>18</v>
      </c>
      <c r="F485" s="4">
        <v>2418.65</v>
      </c>
      <c r="G485" s="5">
        <v>28</v>
      </c>
      <c r="H485" t="s">
        <v>15</v>
      </c>
      <c r="I485" t="str">
        <f t="shared" si="28"/>
        <v>2023-08</v>
      </c>
      <c r="J485" s="4">
        <f t="shared" si="29"/>
        <v>86.38035714285715</v>
      </c>
      <c r="K485" t="str" cm="1">
        <f t="array" ref="K485">_xlfn.IFS(G485&lt;=5, "Small", G485&lt;=15, "Medium", G485&gt;15, "Large")</f>
        <v>Large</v>
      </c>
      <c r="L485" t="str">
        <f t="shared" si="30"/>
        <v>Standard</v>
      </c>
      <c r="M485" t="str">
        <f t="shared" si="31"/>
        <v>Weekday</v>
      </c>
    </row>
    <row r="486" spans="1:13" x14ac:dyDescent="0.35">
      <c r="A486" t="s">
        <v>541</v>
      </c>
      <c r="B486" s="1">
        <v>45341</v>
      </c>
      <c r="C486" t="s">
        <v>40</v>
      </c>
      <c r="D486" t="s">
        <v>26</v>
      </c>
      <c r="E486" t="s">
        <v>11</v>
      </c>
      <c r="F486" s="4">
        <v>12217.39</v>
      </c>
      <c r="G486" s="5">
        <v>1</v>
      </c>
      <c r="H486" t="s">
        <v>15</v>
      </c>
      <c r="I486" t="str">
        <f t="shared" si="28"/>
        <v>2024-02</v>
      </c>
      <c r="J486" s="4">
        <f t="shared" si="29"/>
        <v>12217.39</v>
      </c>
      <c r="K486" t="str" cm="1">
        <f t="array" ref="K486">_xlfn.IFS(G486&lt;=5, "Small", G486&lt;=15, "Medium", G486&gt;15, "Large")</f>
        <v>Small</v>
      </c>
      <c r="L486" t="str">
        <f t="shared" si="30"/>
        <v>Standard</v>
      </c>
      <c r="M486" t="str">
        <f t="shared" si="31"/>
        <v>Weekday</v>
      </c>
    </row>
    <row r="487" spans="1:13" x14ac:dyDescent="0.35">
      <c r="A487" t="s">
        <v>542</v>
      </c>
      <c r="B487" s="1">
        <v>45591</v>
      </c>
      <c r="C487" t="s">
        <v>89</v>
      </c>
      <c r="D487" t="s">
        <v>21</v>
      </c>
      <c r="E487" t="s">
        <v>11</v>
      </c>
      <c r="F487" s="4">
        <v>8188.31</v>
      </c>
      <c r="G487" s="5">
        <v>4</v>
      </c>
      <c r="H487" t="s">
        <v>15</v>
      </c>
      <c r="I487" t="str">
        <f t="shared" si="28"/>
        <v>2024-10</v>
      </c>
      <c r="J487" s="4">
        <f t="shared" si="29"/>
        <v>2047.0775000000001</v>
      </c>
      <c r="K487" t="str" cm="1">
        <f t="array" ref="K487">_xlfn.IFS(G487&lt;=5, "Small", G487&lt;=15, "Medium", G487&gt;15, "Large")</f>
        <v>Small</v>
      </c>
      <c r="L487" t="str">
        <f t="shared" si="30"/>
        <v>Standard</v>
      </c>
      <c r="M487" t="str">
        <f t="shared" si="31"/>
        <v>Weekend</v>
      </c>
    </row>
    <row r="488" spans="1:13" x14ac:dyDescent="0.35">
      <c r="A488" t="s">
        <v>543</v>
      </c>
      <c r="B488" s="1">
        <v>45539</v>
      </c>
      <c r="C488" t="s">
        <v>175</v>
      </c>
      <c r="D488" t="s">
        <v>21</v>
      </c>
      <c r="E488" t="s">
        <v>27</v>
      </c>
      <c r="F488" s="4">
        <v>44367.74</v>
      </c>
      <c r="G488" s="5">
        <v>5</v>
      </c>
      <c r="H488" t="s">
        <v>15</v>
      </c>
      <c r="I488" t="str">
        <f t="shared" si="28"/>
        <v>2024-09</v>
      </c>
      <c r="J488" s="4">
        <f t="shared" si="29"/>
        <v>8873.5479999999989</v>
      </c>
      <c r="K488" t="str" cm="1">
        <f t="array" ref="K488">_xlfn.IFS(G488&lt;=5, "Small", G488&lt;=15, "Medium", G488&gt;15, "Large")</f>
        <v>Small</v>
      </c>
      <c r="L488" t="str">
        <f t="shared" si="30"/>
        <v>VIP</v>
      </c>
      <c r="M488" t="str">
        <f t="shared" si="31"/>
        <v>Weekday</v>
      </c>
    </row>
    <row r="489" spans="1:13" x14ac:dyDescent="0.35">
      <c r="A489" t="s">
        <v>544</v>
      </c>
      <c r="B489" s="1">
        <v>45594</v>
      </c>
      <c r="C489" t="s">
        <v>50</v>
      </c>
      <c r="D489" t="s">
        <v>26</v>
      </c>
      <c r="E489" t="s">
        <v>11</v>
      </c>
      <c r="F489" s="4">
        <v>7962.52</v>
      </c>
      <c r="G489" s="5">
        <v>6</v>
      </c>
      <c r="H489" t="s">
        <v>15</v>
      </c>
      <c r="I489" t="str">
        <f t="shared" si="28"/>
        <v>2024-10</v>
      </c>
      <c r="J489" s="4">
        <f t="shared" si="29"/>
        <v>1327.0866666666668</v>
      </c>
      <c r="K489" t="str" cm="1">
        <f t="array" ref="K489">_xlfn.IFS(G489&lt;=5, "Small", G489&lt;=15, "Medium", G489&gt;15, "Large")</f>
        <v>Medium</v>
      </c>
      <c r="L489" t="str">
        <f t="shared" si="30"/>
        <v>Standard</v>
      </c>
      <c r="M489" t="str">
        <f t="shared" si="31"/>
        <v>Weekday</v>
      </c>
    </row>
    <row r="490" spans="1:13" x14ac:dyDescent="0.35">
      <c r="A490" t="s">
        <v>545</v>
      </c>
      <c r="B490" s="1">
        <v>45572</v>
      </c>
      <c r="C490" t="s">
        <v>48</v>
      </c>
      <c r="D490" t="s">
        <v>31</v>
      </c>
      <c r="E490" t="s">
        <v>11</v>
      </c>
      <c r="F490" s="4">
        <v>14139.91</v>
      </c>
      <c r="G490" s="5">
        <v>6</v>
      </c>
      <c r="H490" t="s">
        <v>15</v>
      </c>
      <c r="I490" t="str">
        <f t="shared" si="28"/>
        <v>2024-10</v>
      </c>
      <c r="J490" s="4">
        <f t="shared" si="29"/>
        <v>2356.6516666666666</v>
      </c>
      <c r="K490" t="str" cm="1">
        <f t="array" ref="K490">_xlfn.IFS(G490&lt;=5, "Small", G490&lt;=15, "Medium", G490&gt;15, "Large")</f>
        <v>Medium</v>
      </c>
      <c r="L490" t="str">
        <f t="shared" si="30"/>
        <v>Standard</v>
      </c>
      <c r="M490" t="str">
        <f t="shared" si="31"/>
        <v>Weekday</v>
      </c>
    </row>
    <row r="491" spans="1:13" x14ac:dyDescent="0.35">
      <c r="A491" t="s">
        <v>546</v>
      </c>
      <c r="B491" s="1">
        <v>45559</v>
      </c>
      <c r="C491" t="s">
        <v>25</v>
      </c>
      <c r="D491" t="s">
        <v>21</v>
      </c>
      <c r="E491" t="s">
        <v>18</v>
      </c>
      <c r="F491" s="4">
        <v>1638.22</v>
      </c>
      <c r="G491" s="5">
        <v>10</v>
      </c>
      <c r="H491" t="s">
        <v>15</v>
      </c>
      <c r="I491" t="str">
        <f t="shared" si="28"/>
        <v>2024-09</v>
      </c>
      <c r="J491" s="4">
        <f t="shared" si="29"/>
        <v>163.822</v>
      </c>
      <c r="K491" t="str" cm="1">
        <f t="array" ref="K491">_xlfn.IFS(G491&lt;=5, "Small", G491&lt;=15, "Medium", G491&gt;15, "Large")</f>
        <v>Medium</v>
      </c>
      <c r="L491" t="str">
        <f t="shared" si="30"/>
        <v>Standard</v>
      </c>
      <c r="M491" t="str">
        <f t="shared" si="31"/>
        <v>Weekday</v>
      </c>
    </row>
    <row r="492" spans="1:13" x14ac:dyDescent="0.35">
      <c r="A492" t="s">
        <v>547</v>
      </c>
      <c r="B492" s="1">
        <v>45454</v>
      </c>
      <c r="C492" t="s">
        <v>20</v>
      </c>
      <c r="D492" t="s">
        <v>21</v>
      </c>
      <c r="E492" t="s">
        <v>27</v>
      </c>
      <c r="F492" s="4">
        <v>13674.22</v>
      </c>
      <c r="G492" s="5">
        <v>1</v>
      </c>
      <c r="H492" t="s">
        <v>15</v>
      </c>
      <c r="I492" t="str">
        <f t="shared" si="28"/>
        <v>2024-06</v>
      </c>
      <c r="J492" s="4">
        <f t="shared" si="29"/>
        <v>13674.22</v>
      </c>
      <c r="K492" t="str" cm="1">
        <f t="array" ref="K492">_xlfn.IFS(G492&lt;=5, "Small", G492&lt;=15, "Medium", G492&gt;15, "Large")</f>
        <v>Small</v>
      </c>
      <c r="L492" t="str">
        <f t="shared" si="30"/>
        <v>Standard</v>
      </c>
      <c r="M492" t="str">
        <f t="shared" si="31"/>
        <v>Weekday</v>
      </c>
    </row>
    <row r="493" spans="1:13" x14ac:dyDescent="0.35">
      <c r="A493" t="s">
        <v>548</v>
      </c>
      <c r="B493" s="1">
        <v>45634</v>
      </c>
      <c r="C493" t="s">
        <v>14</v>
      </c>
      <c r="D493" t="s">
        <v>10</v>
      </c>
      <c r="E493" t="s">
        <v>18</v>
      </c>
      <c r="F493" s="4">
        <v>2849.53</v>
      </c>
      <c r="G493" s="5">
        <v>22</v>
      </c>
      <c r="H493" t="s">
        <v>15</v>
      </c>
      <c r="I493" t="str">
        <f t="shared" si="28"/>
        <v>2024-12</v>
      </c>
      <c r="J493" s="4">
        <f t="shared" si="29"/>
        <v>129.52409090909092</v>
      </c>
      <c r="K493" t="str" cm="1">
        <f t="array" ref="K493">_xlfn.IFS(G493&lt;=5, "Small", G493&lt;=15, "Medium", G493&gt;15, "Large")</f>
        <v>Large</v>
      </c>
      <c r="L493" t="str">
        <f t="shared" si="30"/>
        <v>Standard</v>
      </c>
      <c r="M493" t="str">
        <f t="shared" si="31"/>
        <v>Weekend</v>
      </c>
    </row>
    <row r="494" spans="1:13" x14ac:dyDescent="0.35">
      <c r="A494" t="s">
        <v>549</v>
      </c>
      <c r="B494" s="1">
        <v>45154</v>
      </c>
      <c r="C494" t="s">
        <v>23</v>
      </c>
      <c r="D494" t="s">
        <v>21</v>
      </c>
      <c r="E494" t="s">
        <v>27</v>
      </c>
      <c r="F494" s="4">
        <v>8567.33</v>
      </c>
      <c r="G494" s="5">
        <v>3</v>
      </c>
      <c r="H494" t="s">
        <v>15</v>
      </c>
      <c r="I494" t="str">
        <f t="shared" si="28"/>
        <v>2023-08</v>
      </c>
      <c r="J494" s="4">
        <f t="shared" si="29"/>
        <v>2855.7766666666666</v>
      </c>
      <c r="K494" t="str" cm="1">
        <f t="array" ref="K494">_xlfn.IFS(G494&lt;=5, "Small", G494&lt;=15, "Medium", G494&gt;15, "Large")</f>
        <v>Small</v>
      </c>
      <c r="L494" t="str">
        <f t="shared" si="30"/>
        <v>Standard</v>
      </c>
      <c r="M494" t="str">
        <f t="shared" si="31"/>
        <v>Weekday</v>
      </c>
    </row>
    <row r="495" spans="1:13" x14ac:dyDescent="0.35">
      <c r="A495" t="s">
        <v>550</v>
      </c>
      <c r="B495" s="1">
        <v>45146</v>
      </c>
      <c r="C495" t="s">
        <v>45</v>
      </c>
      <c r="D495" t="s">
        <v>21</v>
      </c>
      <c r="E495" t="s">
        <v>11</v>
      </c>
      <c r="F495" s="4">
        <v>14475.11</v>
      </c>
      <c r="G495" s="5">
        <v>1</v>
      </c>
      <c r="H495" t="s">
        <v>15</v>
      </c>
      <c r="I495" t="str">
        <f t="shared" si="28"/>
        <v>2023-08</v>
      </c>
      <c r="J495" s="4">
        <f t="shared" si="29"/>
        <v>14475.11</v>
      </c>
      <c r="K495" t="str" cm="1">
        <f t="array" ref="K495">_xlfn.IFS(G495&lt;=5, "Small", G495&lt;=15, "Medium", G495&gt;15, "Large")</f>
        <v>Small</v>
      </c>
      <c r="L495" t="str">
        <f t="shared" si="30"/>
        <v>Standard</v>
      </c>
      <c r="M495" t="str">
        <f t="shared" si="31"/>
        <v>Weekday</v>
      </c>
    </row>
    <row r="496" spans="1:13" x14ac:dyDescent="0.35">
      <c r="A496" t="s">
        <v>551</v>
      </c>
      <c r="B496" s="1">
        <v>45518</v>
      </c>
      <c r="C496" t="s">
        <v>25</v>
      </c>
      <c r="D496" t="s">
        <v>26</v>
      </c>
      <c r="E496" t="s">
        <v>27</v>
      </c>
      <c r="F496" s="4">
        <v>32276.15</v>
      </c>
      <c r="G496" s="5">
        <v>3</v>
      </c>
      <c r="H496" t="s">
        <v>15</v>
      </c>
      <c r="I496" t="str">
        <f t="shared" si="28"/>
        <v>2024-08</v>
      </c>
      <c r="J496" s="4">
        <f t="shared" si="29"/>
        <v>10758.716666666667</v>
      </c>
      <c r="K496" t="str" cm="1">
        <f t="array" ref="K496">_xlfn.IFS(G496&lt;=5, "Small", G496&lt;=15, "Medium", G496&gt;15, "Large")</f>
        <v>Small</v>
      </c>
      <c r="L496" t="str">
        <f t="shared" si="30"/>
        <v>VIP</v>
      </c>
      <c r="M496" t="str">
        <f t="shared" si="31"/>
        <v>Weekday</v>
      </c>
    </row>
    <row r="497" spans="1:13" x14ac:dyDescent="0.35">
      <c r="A497" t="s">
        <v>552</v>
      </c>
      <c r="B497" s="1">
        <v>45384</v>
      </c>
      <c r="C497" t="s">
        <v>89</v>
      </c>
      <c r="D497" t="s">
        <v>21</v>
      </c>
      <c r="E497" t="s">
        <v>27</v>
      </c>
      <c r="F497" s="4">
        <v>31438.38</v>
      </c>
      <c r="G497" s="5">
        <v>3</v>
      </c>
      <c r="H497" t="s">
        <v>15</v>
      </c>
      <c r="I497" t="str">
        <f t="shared" si="28"/>
        <v>2024-04</v>
      </c>
      <c r="J497" s="4">
        <f t="shared" si="29"/>
        <v>10479.460000000001</v>
      </c>
      <c r="K497" t="str" cm="1">
        <f t="array" ref="K497">_xlfn.IFS(G497&lt;=5, "Small", G497&lt;=15, "Medium", G497&gt;15, "Large")</f>
        <v>Small</v>
      </c>
      <c r="L497" t="str">
        <f t="shared" si="30"/>
        <v>VIP</v>
      </c>
      <c r="M497" t="str">
        <f t="shared" si="31"/>
        <v>Weekday</v>
      </c>
    </row>
    <row r="498" spans="1:13" x14ac:dyDescent="0.35">
      <c r="A498" t="s">
        <v>553</v>
      </c>
      <c r="B498" s="1">
        <v>45195</v>
      </c>
      <c r="C498" t="s">
        <v>74</v>
      </c>
      <c r="D498" t="s">
        <v>31</v>
      </c>
      <c r="E498" t="s">
        <v>18</v>
      </c>
      <c r="F498" s="4">
        <v>2484.5500000000002</v>
      </c>
      <c r="G498" s="5">
        <v>18</v>
      </c>
      <c r="H498" t="s">
        <v>15</v>
      </c>
      <c r="I498" t="str">
        <f t="shared" si="28"/>
        <v>2023-09</v>
      </c>
      <c r="J498" s="4">
        <f t="shared" si="29"/>
        <v>138.03055555555557</v>
      </c>
      <c r="K498" t="str" cm="1">
        <f t="array" ref="K498">_xlfn.IFS(G498&lt;=5, "Small", G498&lt;=15, "Medium", G498&gt;15, "Large")</f>
        <v>Large</v>
      </c>
      <c r="L498" t="str">
        <f t="shared" si="30"/>
        <v>Standard</v>
      </c>
      <c r="M498" t="str">
        <f t="shared" si="31"/>
        <v>Weekday</v>
      </c>
    </row>
    <row r="499" spans="1:13" x14ac:dyDescent="0.35">
      <c r="A499" t="s">
        <v>554</v>
      </c>
      <c r="B499" s="1">
        <v>45185</v>
      </c>
      <c r="C499" t="s">
        <v>58</v>
      </c>
      <c r="D499" t="s">
        <v>31</v>
      </c>
      <c r="E499" t="s">
        <v>27</v>
      </c>
      <c r="F499" s="4">
        <v>31527.49</v>
      </c>
      <c r="G499" s="5">
        <v>1</v>
      </c>
      <c r="H499" t="s">
        <v>15</v>
      </c>
      <c r="I499" t="str">
        <f t="shared" si="28"/>
        <v>2023-09</v>
      </c>
      <c r="J499" s="4">
        <f t="shared" si="29"/>
        <v>31527.49</v>
      </c>
      <c r="K499" t="str" cm="1">
        <f t="array" ref="K499">_xlfn.IFS(G499&lt;=5, "Small", G499&lt;=15, "Medium", G499&gt;15, "Large")</f>
        <v>Small</v>
      </c>
      <c r="L499" t="str">
        <f t="shared" si="30"/>
        <v>VIP</v>
      </c>
      <c r="M499" t="str">
        <f t="shared" si="31"/>
        <v>Weekend</v>
      </c>
    </row>
    <row r="500" spans="1:13" x14ac:dyDescent="0.35">
      <c r="A500" t="s">
        <v>555</v>
      </c>
      <c r="B500" s="1">
        <v>44991</v>
      </c>
      <c r="C500" t="s">
        <v>253</v>
      </c>
      <c r="D500" t="s">
        <v>21</v>
      </c>
      <c r="E500" t="s">
        <v>27</v>
      </c>
      <c r="F500" s="4">
        <v>0</v>
      </c>
      <c r="G500" s="5">
        <v>5</v>
      </c>
      <c r="H500" t="s">
        <v>12</v>
      </c>
      <c r="I500" t="str">
        <f t="shared" si="28"/>
        <v>2023-03</v>
      </c>
      <c r="J500" s="4">
        <f t="shared" si="29"/>
        <v>0</v>
      </c>
      <c r="K500" t="str" cm="1">
        <f t="array" ref="K500">_xlfn.IFS(G500&lt;=5, "Small", G500&lt;=15, "Medium", G500&gt;15, "Large")</f>
        <v>Small</v>
      </c>
      <c r="L500" t="str">
        <f t="shared" si="30"/>
        <v>Standard</v>
      </c>
      <c r="M500" t="str">
        <f t="shared" si="31"/>
        <v>Weekday</v>
      </c>
    </row>
    <row r="501" spans="1:13" x14ac:dyDescent="0.35">
      <c r="A501" t="s">
        <v>556</v>
      </c>
      <c r="B501" s="1">
        <v>45462</v>
      </c>
      <c r="C501" t="s">
        <v>45</v>
      </c>
      <c r="D501" t="s">
        <v>21</v>
      </c>
      <c r="E501" t="s">
        <v>27</v>
      </c>
      <c r="F501" s="4">
        <v>27563.59</v>
      </c>
      <c r="G501" s="5">
        <v>2</v>
      </c>
      <c r="H501" t="s">
        <v>15</v>
      </c>
      <c r="I501" t="str">
        <f t="shared" si="28"/>
        <v>2024-06</v>
      </c>
      <c r="J501" s="4">
        <f t="shared" si="29"/>
        <v>13781.795</v>
      </c>
      <c r="K501" t="str" cm="1">
        <f t="array" ref="K501">_xlfn.IFS(G501&lt;=5, "Small", G501&lt;=15, "Medium", G501&gt;15, "Large")</f>
        <v>Small</v>
      </c>
      <c r="L501" t="str">
        <f t="shared" si="30"/>
        <v>Standard</v>
      </c>
      <c r="M501" t="str">
        <f t="shared" si="31"/>
        <v>Weekday</v>
      </c>
    </row>
    <row r="502" spans="1:13" x14ac:dyDescent="0.35">
      <c r="A502" t="s">
        <v>557</v>
      </c>
      <c r="B502" s="1">
        <v>45576</v>
      </c>
      <c r="C502" t="s">
        <v>37</v>
      </c>
      <c r="D502" t="s">
        <v>21</v>
      </c>
      <c r="E502" t="s">
        <v>11</v>
      </c>
      <c r="F502" s="4">
        <v>13220.26</v>
      </c>
      <c r="G502" s="5">
        <v>4</v>
      </c>
      <c r="H502" t="s">
        <v>15</v>
      </c>
      <c r="I502" t="str">
        <f t="shared" si="28"/>
        <v>2024-10</v>
      </c>
      <c r="J502" s="4">
        <f t="shared" si="29"/>
        <v>3305.0650000000001</v>
      </c>
      <c r="K502" t="str" cm="1">
        <f t="array" ref="K502">_xlfn.IFS(G502&lt;=5, "Small", G502&lt;=15, "Medium", G502&gt;15, "Large")</f>
        <v>Small</v>
      </c>
      <c r="L502" t="str">
        <f t="shared" si="30"/>
        <v>Standard</v>
      </c>
      <c r="M502" t="str">
        <f t="shared" si="31"/>
        <v>Weekday</v>
      </c>
    </row>
    <row r="503" spans="1:13" x14ac:dyDescent="0.35">
      <c r="A503" t="s">
        <v>558</v>
      </c>
      <c r="B503" s="1">
        <v>45371</v>
      </c>
      <c r="C503" t="s">
        <v>20</v>
      </c>
      <c r="D503" t="s">
        <v>21</v>
      </c>
      <c r="E503" t="s">
        <v>27</v>
      </c>
      <c r="F503" s="4">
        <v>23884.32</v>
      </c>
      <c r="G503" s="5">
        <v>3</v>
      </c>
      <c r="H503" t="s">
        <v>15</v>
      </c>
      <c r="I503" t="str">
        <f t="shared" si="28"/>
        <v>2024-03</v>
      </c>
      <c r="J503" s="4">
        <f t="shared" si="29"/>
        <v>7961.44</v>
      </c>
      <c r="K503" t="str" cm="1">
        <f t="array" ref="K503">_xlfn.IFS(G503&lt;=5, "Small", G503&lt;=15, "Medium", G503&gt;15, "Large")</f>
        <v>Small</v>
      </c>
      <c r="L503" t="str">
        <f t="shared" si="30"/>
        <v>Standard</v>
      </c>
      <c r="M503" t="str">
        <f t="shared" si="31"/>
        <v>Weekday</v>
      </c>
    </row>
    <row r="504" spans="1:13" x14ac:dyDescent="0.35">
      <c r="A504" t="s">
        <v>559</v>
      </c>
      <c r="B504" s="1">
        <v>44969</v>
      </c>
      <c r="C504" t="s">
        <v>97</v>
      </c>
      <c r="D504" t="s">
        <v>21</v>
      </c>
      <c r="E504" t="s">
        <v>11</v>
      </c>
      <c r="F504" s="4">
        <v>2112.77</v>
      </c>
      <c r="G504" s="5">
        <v>4</v>
      </c>
      <c r="H504" t="s">
        <v>15</v>
      </c>
      <c r="I504" t="str">
        <f t="shared" si="28"/>
        <v>2023-02</v>
      </c>
      <c r="J504" s="4">
        <f t="shared" si="29"/>
        <v>528.1925</v>
      </c>
      <c r="K504" t="str" cm="1">
        <f t="array" ref="K504">_xlfn.IFS(G504&lt;=5, "Small", G504&lt;=15, "Medium", G504&gt;15, "Large")</f>
        <v>Small</v>
      </c>
      <c r="L504" t="str">
        <f t="shared" si="30"/>
        <v>Standard</v>
      </c>
      <c r="M504" t="str">
        <f t="shared" si="31"/>
        <v>Weekend</v>
      </c>
    </row>
    <row r="505" spans="1:13" x14ac:dyDescent="0.35">
      <c r="A505" t="s">
        <v>560</v>
      </c>
      <c r="B505" s="1">
        <v>44943</v>
      </c>
      <c r="C505" t="s">
        <v>69</v>
      </c>
      <c r="D505" t="s">
        <v>31</v>
      </c>
      <c r="E505" t="s">
        <v>11</v>
      </c>
      <c r="F505" s="4">
        <v>0</v>
      </c>
      <c r="G505" s="5">
        <v>2</v>
      </c>
      <c r="H505" t="s">
        <v>12</v>
      </c>
      <c r="I505" t="str">
        <f t="shared" si="28"/>
        <v>2023-01</v>
      </c>
      <c r="J505" s="4">
        <f t="shared" si="29"/>
        <v>0</v>
      </c>
      <c r="K505" t="str" cm="1">
        <f t="array" ref="K505">_xlfn.IFS(G505&lt;=5, "Small", G505&lt;=15, "Medium", G505&gt;15, "Large")</f>
        <v>Small</v>
      </c>
      <c r="L505" t="str">
        <f t="shared" si="30"/>
        <v>Standard</v>
      </c>
      <c r="M505" t="str">
        <f t="shared" si="31"/>
        <v>Weekday</v>
      </c>
    </row>
    <row r="506" spans="1:13" x14ac:dyDescent="0.35">
      <c r="A506" t="s">
        <v>561</v>
      </c>
      <c r="B506" s="1">
        <v>45233</v>
      </c>
      <c r="C506" t="s">
        <v>89</v>
      </c>
      <c r="D506" t="s">
        <v>21</v>
      </c>
      <c r="E506" t="s">
        <v>11</v>
      </c>
      <c r="F506" s="4">
        <v>10866.97</v>
      </c>
      <c r="G506" s="5">
        <v>1</v>
      </c>
      <c r="H506" t="s">
        <v>15</v>
      </c>
      <c r="I506" t="str">
        <f t="shared" si="28"/>
        <v>2023-11</v>
      </c>
      <c r="J506" s="4">
        <f t="shared" si="29"/>
        <v>10866.97</v>
      </c>
      <c r="K506" t="str" cm="1">
        <f t="array" ref="K506">_xlfn.IFS(G506&lt;=5, "Small", G506&lt;=15, "Medium", G506&gt;15, "Large")</f>
        <v>Small</v>
      </c>
      <c r="L506" t="str">
        <f t="shared" si="30"/>
        <v>Standard</v>
      </c>
      <c r="M506" t="str">
        <f t="shared" si="31"/>
        <v>Weekday</v>
      </c>
    </row>
    <row r="507" spans="1:13" x14ac:dyDescent="0.35">
      <c r="A507" t="s">
        <v>562</v>
      </c>
      <c r="B507" s="1">
        <v>45233</v>
      </c>
      <c r="C507" t="s">
        <v>30</v>
      </c>
      <c r="D507" t="s">
        <v>31</v>
      </c>
      <c r="E507" t="s">
        <v>27</v>
      </c>
      <c r="F507" s="4">
        <v>0</v>
      </c>
      <c r="G507" s="5">
        <v>1</v>
      </c>
      <c r="H507" t="s">
        <v>12</v>
      </c>
      <c r="I507" t="str">
        <f t="shared" si="28"/>
        <v>2023-11</v>
      </c>
      <c r="J507" s="4">
        <f t="shared" si="29"/>
        <v>0</v>
      </c>
      <c r="K507" t="str" cm="1">
        <f t="array" ref="K507">_xlfn.IFS(G507&lt;=5, "Small", G507&lt;=15, "Medium", G507&gt;15, "Large")</f>
        <v>Small</v>
      </c>
      <c r="L507" t="str">
        <f t="shared" si="30"/>
        <v>Standard</v>
      </c>
      <c r="M507" t="str">
        <f t="shared" si="31"/>
        <v>Weekday</v>
      </c>
    </row>
    <row r="508" spans="1:13" x14ac:dyDescent="0.35">
      <c r="A508" t="s">
        <v>563</v>
      </c>
      <c r="B508" s="1">
        <v>45304</v>
      </c>
      <c r="C508" t="s">
        <v>74</v>
      </c>
      <c r="D508" t="s">
        <v>31</v>
      </c>
      <c r="E508" t="s">
        <v>18</v>
      </c>
      <c r="F508" s="4">
        <v>2528.33</v>
      </c>
      <c r="G508" s="5">
        <v>25</v>
      </c>
      <c r="H508" t="s">
        <v>15</v>
      </c>
      <c r="I508" t="str">
        <f t="shared" si="28"/>
        <v>2024-01</v>
      </c>
      <c r="J508" s="4">
        <f t="shared" si="29"/>
        <v>101.1332</v>
      </c>
      <c r="K508" t="str" cm="1">
        <f t="array" ref="K508">_xlfn.IFS(G508&lt;=5, "Small", G508&lt;=15, "Medium", G508&gt;15, "Large")</f>
        <v>Large</v>
      </c>
      <c r="L508" t="str">
        <f t="shared" si="30"/>
        <v>Standard</v>
      </c>
      <c r="M508" t="str">
        <f t="shared" si="31"/>
        <v>Weekend</v>
      </c>
    </row>
    <row r="509" spans="1:13" x14ac:dyDescent="0.35">
      <c r="A509" t="s">
        <v>564</v>
      </c>
      <c r="B509" s="1">
        <v>45399</v>
      </c>
      <c r="C509" t="s">
        <v>91</v>
      </c>
      <c r="D509" t="s">
        <v>26</v>
      </c>
      <c r="E509" t="s">
        <v>27</v>
      </c>
      <c r="F509" s="4">
        <v>22828.2</v>
      </c>
      <c r="G509" s="5">
        <v>3</v>
      </c>
      <c r="H509" t="s">
        <v>15</v>
      </c>
      <c r="I509" t="str">
        <f t="shared" si="28"/>
        <v>2024-04</v>
      </c>
      <c r="J509" s="4">
        <f t="shared" si="29"/>
        <v>7609.4000000000005</v>
      </c>
      <c r="K509" t="str" cm="1">
        <f t="array" ref="K509">_xlfn.IFS(G509&lt;=5, "Small", G509&lt;=15, "Medium", G509&gt;15, "Large")</f>
        <v>Small</v>
      </c>
      <c r="L509" t="str">
        <f t="shared" si="30"/>
        <v>Standard</v>
      </c>
      <c r="M509" t="str">
        <f t="shared" si="31"/>
        <v>Weekday</v>
      </c>
    </row>
    <row r="510" spans="1:13" x14ac:dyDescent="0.35">
      <c r="A510" t="s">
        <v>565</v>
      </c>
      <c r="B510" s="1">
        <v>45113</v>
      </c>
      <c r="C510" t="s">
        <v>17</v>
      </c>
      <c r="D510" t="s">
        <v>10</v>
      </c>
      <c r="E510" t="s">
        <v>18</v>
      </c>
      <c r="F510" s="4">
        <v>824.48</v>
      </c>
      <c r="G510" s="5">
        <v>1</v>
      </c>
      <c r="H510" t="s">
        <v>15</v>
      </c>
      <c r="I510" t="str">
        <f t="shared" si="28"/>
        <v>2023-07</v>
      </c>
      <c r="J510" s="4">
        <f t="shared" si="29"/>
        <v>824.48</v>
      </c>
      <c r="K510" t="str" cm="1">
        <f t="array" ref="K510">_xlfn.IFS(G510&lt;=5, "Small", G510&lt;=15, "Medium", G510&gt;15, "Large")</f>
        <v>Small</v>
      </c>
      <c r="L510" t="str">
        <f t="shared" si="30"/>
        <v>Standard</v>
      </c>
      <c r="M510" t="str">
        <f t="shared" si="31"/>
        <v>Weekday</v>
      </c>
    </row>
    <row r="511" spans="1:13" x14ac:dyDescent="0.35">
      <c r="A511" t="s">
        <v>566</v>
      </c>
      <c r="B511" s="1">
        <v>45270</v>
      </c>
      <c r="C511" t="s">
        <v>64</v>
      </c>
      <c r="D511" t="s">
        <v>10</v>
      </c>
      <c r="E511" t="s">
        <v>11</v>
      </c>
      <c r="F511" s="4">
        <v>16721.88</v>
      </c>
      <c r="G511" s="5">
        <v>1</v>
      </c>
      <c r="H511" t="s">
        <v>15</v>
      </c>
      <c r="I511" t="str">
        <f t="shared" si="28"/>
        <v>2023-12</v>
      </c>
      <c r="J511" s="4">
        <f t="shared" si="29"/>
        <v>16721.88</v>
      </c>
      <c r="K511" t="str" cm="1">
        <f t="array" ref="K511">_xlfn.IFS(G511&lt;=5, "Small", G511&lt;=15, "Medium", G511&gt;15, "Large")</f>
        <v>Small</v>
      </c>
      <c r="L511" t="str">
        <f t="shared" si="30"/>
        <v>Standard</v>
      </c>
      <c r="M511" t="str">
        <f t="shared" si="31"/>
        <v>Weekend</v>
      </c>
    </row>
    <row r="512" spans="1:13" x14ac:dyDescent="0.35">
      <c r="A512" t="s">
        <v>567</v>
      </c>
      <c r="B512" s="1">
        <v>45099</v>
      </c>
      <c r="C512" t="s">
        <v>72</v>
      </c>
      <c r="D512" t="s">
        <v>26</v>
      </c>
      <c r="E512" t="s">
        <v>11</v>
      </c>
      <c r="F512" s="4">
        <v>3479.5</v>
      </c>
      <c r="G512" s="5">
        <v>1</v>
      </c>
      <c r="H512" t="s">
        <v>15</v>
      </c>
      <c r="I512" t="str">
        <f t="shared" si="28"/>
        <v>2023-06</v>
      </c>
      <c r="J512" s="4">
        <f t="shared" si="29"/>
        <v>3479.5</v>
      </c>
      <c r="K512" t="str" cm="1">
        <f t="array" ref="K512">_xlfn.IFS(G512&lt;=5, "Small", G512&lt;=15, "Medium", G512&gt;15, "Large")</f>
        <v>Small</v>
      </c>
      <c r="L512" t="str">
        <f t="shared" si="30"/>
        <v>Standard</v>
      </c>
      <c r="M512" t="str">
        <f t="shared" si="31"/>
        <v>Weekday</v>
      </c>
    </row>
    <row r="513" spans="1:13" x14ac:dyDescent="0.35">
      <c r="A513" t="s">
        <v>568</v>
      </c>
      <c r="B513" s="1">
        <v>45430</v>
      </c>
      <c r="C513" t="s">
        <v>30</v>
      </c>
      <c r="D513" t="s">
        <v>31</v>
      </c>
      <c r="E513" t="s">
        <v>11</v>
      </c>
      <c r="F513" s="4">
        <v>4165.4399999999996</v>
      </c>
      <c r="G513" s="5">
        <v>2</v>
      </c>
      <c r="H513" t="s">
        <v>15</v>
      </c>
      <c r="I513" t="str">
        <f t="shared" si="28"/>
        <v>2024-05</v>
      </c>
      <c r="J513" s="4">
        <f t="shared" si="29"/>
        <v>2082.7199999999998</v>
      </c>
      <c r="K513" t="str" cm="1">
        <f t="array" ref="K513">_xlfn.IFS(G513&lt;=5, "Small", G513&lt;=15, "Medium", G513&gt;15, "Large")</f>
        <v>Small</v>
      </c>
      <c r="L513" t="str">
        <f t="shared" si="30"/>
        <v>Standard</v>
      </c>
      <c r="M513" t="str">
        <f t="shared" si="31"/>
        <v>Weekend</v>
      </c>
    </row>
    <row r="514" spans="1:13" x14ac:dyDescent="0.35">
      <c r="A514" t="s">
        <v>569</v>
      </c>
      <c r="B514" s="1">
        <v>45254</v>
      </c>
      <c r="C514" t="s">
        <v>50</v>
      </c>
      <c r="D514" t="s">
        <v>26</v>
      </c>
      <c r="E514" t="s">
        <v>18</v>
      </c>
      <c r="F514" s="4">
        <v>0</v>
      </c>
      <c r="G514" s="5">
        <v>28</v>
      </c>
      <c r="H514" t="s">
        <v>28</v>
      </c>
      <c r="I514" t="str">
        <f t="shared" si="28"/>
        <v>2023-11</v>
      </c>
      <c r="J514" s="4">
        <f t="shared" si="29"/>
        <v>0</v>
      </c>
      <c r="K514" t="str" cm="1">
        <f t="array" ref="K514">_xlfn.IFS(G514&lt;=5, "Small", G514&lt;=15, "Medium", G514&gt;15, "Large")</f>
        <v>Large</v>
      </c>
      <c r="L514" t="str">
        <f t="shared" si="30"/>
        <v>Standard</v>
      </c>
      <c r="M514" t="str">
        <f t="shared" si="31"/>
        <v>Weekday</v>
      </c>
    </row>
    <row r="515" spans="1:13" x14ac:dyDescent="0.35">
      <c r="A515" t="s">
        <v>570</v>
      </c>
      <c r="B515" s="1">
        <v>45435</v>
      </c>
      <c r="C515" t="s">
        <v>69</v>
      </c>
      <c r="D515" t="s">
        <v>31</v>
      </c>
      <c r="E515" t="s">
        <v>18</v>
      </c>
      <c r="F515" s="4">
        <v>944.4</v>
      </c>
      <c r="G515" s="5">
        <v>12</v>
      </c>
      <c r="H515" t="s">
        <v>15</v>
      </c>
      <c r="I515" t="str">
        <f t="shared" ref="I515:I578" si="32">TEXT(B515, "YYYY-MM")</f>
        <v>2024-05</v>
      </c>
      <c r="J515" s="4">
        <f t="shared" ref="J515:J578" si="33">IFERROR(F515/G515, 0)</f>
        <v>78.7</v>
      </c>
      <c r="K515" t="str" cm="1">
        <f t="array" ref="K515">_xlfn.IFS(G515&lt;=5, "Small", G515&lt;=15, "Medium", G515&gt;15, "Large")</f>
        <v>Medium</v>
      </c>
      <c r="L515" t="str">
        <f t="shared" ref="L515:L578" si="34">IF(F515&gt;_xlfn.PERCENTILE.INC($F$2:$F$10000, 0.9), "VIP", "Standard")</f>
        <v>Standard</v>
      </c>
      <c r="M515" t="str">
        <f t="shared" ref="M515:M578" si="35">IF(WEEKDAY(B515, 2)&gt;5, "Weekend", "Weekday")</f>
        <v>Weekday</v>
      </c>
    </row>
    <row r="516" spans="1:13" x14ac:dyDescent="0.35">
      <c r="A516" t="s">
        <v>571</v>
      </c>
      <c r="B516" s="1">
        <v>45275</v>
      </c>
      <c r="C516" t="s">
        <v>166</v>
      </c>
      <c r="D516" t="s">
        <v>26</v>
      </c>
      <c r="E516" t="s">
        <v>11</v>
      </c>
      <c r="F516" s="4">
        <v>16956.830000000002</v>
      </c>
      <c r="G516" s="5">
        <v>8</v>
      </c>
      <c r="H516" t="s">
        <v>15</v>
      </c>
      <c r="I516" t="str">
        <f t="shared" si="32"/>
        <v>2023-12</v>
      </c>
      <c r="J516" s="4">
        <f t="shared" si="33"/>
        <v>2119.6037500000002</v>
      </c>
      <c r="K516" t="str" cm="1">
        <f t="array" ref="K516">_xlfn.IFS(G516&lt;=5, "Small", G516&lt;=15, "Medium", G516&gt;15, "Large")</f>
        <v>Medium</v>
      </c>
      <c r="L516" t="str">
        <f t="shared" si="34"/>
        <v>Standard</v>
      </c>
      <c r="M516" t="str">
        <f t="shared" si="35"/>
        <v>Weekday</v>
      </c>
    </row>
    <row r="517" spans="1:13" x14ac:dyDescent="0.35">
      <c r="A517" t="s">
        <v>572</v>
      </c>
      <c r="B517" s="1">
        <v>45169</v>
      </c>
      <c r="C517" t="s">
        <v>37</v>
      </c>
      <c r="D517" t="s">
        <v>21</v>
      </c>
      <c r="E517" t="s">
        <v>18</v>
      </c>
      <c r="F517" s="4">
        <v>1562.93</v>
      </c>
      <c r="G517" s="5">
        <v>4</v>
      </c>
      <c r="H517" t="s">
        <v>15</v>
      </c>
      <c r="I517" t="str">
        <f t="shared" si="32"/>
        <v>2023-08</v>
      </c>
      <c r="J517" s="4">
        <f t="shared" si="33"/>
        <v>390.73250000000002</v>
      </c>
      <c r="K517" t="str" cm="1">
        <f t="array" ref="K517">_xlfn.IFS(G517&lt;=5, "Small", G517&lt;=15, "Medium", G517&gt;15, "Large")</f>
        <v>Small</v>
      </c>
      <c r="L517" t="str">
        <f t="shared" si="34"/>
        <v>Standard</v>
      </c>
      <c r="M517" t="str">
        <f t="shared" si="35"/>
        <v>Weekday</v>
      </c>
    </row>
    <row r="518" spans="1:13" x14ac:dyDescent="0.35">
      <c r="A518" t="s">
        <v>573</v>
      </c>
      <c r="B518" s="1">
        <v>45221</v>
      </c>
      <c r="C518" t="s">
        <v>33</v>
      </c>
      <c r="D518" t="s">
        <v>10</v>
      </c>
      <c r="E518" t="s">
        <v>18</v>
      </c>
      <c r="F518" s="4">
        <v>2882.71</v>
      </c>
      <c r="G518" s="5">
        <v>3</v>
      </c>
      <c r="H518" t="s">
        <v>15</v>
      </c>
      <c r="I518" t="str">
        <f t="shared" si="32"/>
        <v>2023-10</v>
      </c>
      <c r="J518" s="4">
        <f t="shared" si="33"/>
        <v>960.90333333333331</v>
      </c>
      <c r="K518" t="str" cm="1">
        <f t="array" ref="K518">_xlfn.IFS(G518&lt;=5, "Small", G518&lt;=15, "Medium", G518&gt;15, "Large")</f>
        <v>Small</v>
      </c>
      <c r="L518" t="str">
        <f t="shared" si="34"/>
        <v>Standard</v>
      </c>
      <c r="M518" t="str">
        <f t="shared" si="35"/>
        <v>Weekend</v>
      </c>
    </row>
    <row r="519" spans="1:13" x14ac:dyDescent="0.35">
      <c r="A519" t="s">
        <v>574</v>
      </c>
      <c r="B519" s="1">
        <v>45389</v>
      </c>
      <c r="C519" t="s">
        <v>50</v>
      </c>
      <c r="D519" t="s">
        <v>26</v>
      </c>
      <c r="E519" t="s">
        <v>27</v>
      </c>
      <c r="F519" s="4">
        <v>30629.94</v>
      </c>
      <c r="G519" s="5">
        <v>2</v>
      </c>
      <c r="H519" t="s">
        <v>15</v>
      </c>
      <c r="I519" t="str">
        <f t="shared" si="32"/>
        <v>2024-04</v>
      </c>
      <c r="J519" s="4">
        <f t="shared" si="33"/>
        <v>15314.97</v>
      </c>
      <c r="K519" t="str" cm="1">
        <f t="array" ref="K519">_xlfn.IFS(G519&lt;=5, "Small", G519&lt;=15, "Medium", G519&gt;15, "Large")</f>
        <v>Small</v>
      </c>
      <c r="L519" t="str">
        <f t="shared" si="34"/>
        <v>VIP</v>
      </c>
      <c r="M519" t="str">
        <f t="shared" si="35"/>
        <v>Weekend</v>
      </c>
    </row>
    <row r="520" spans="1:13" x14ac:dyDescent="0.35">
      <c r="A520" t="s">
        <v>575</v>
      </c>
      <c r="B520" s="1">
        <v>45169</v>
      </c>
      <c r="C520" t="s">
        <v>40</v>
      </c>
      <c r="D520" t="s">
        <v>26</v>
      </c>
      <c r="E520" t="s">
        <v>18</v>
      </c>
      <c r="F520" s="4">
        <v>323.89</v>
      </c>
      <c r="G520" s="5">
        <v>5</v>
      </c>
      <c r="H520" t="s">
        <v>15</v>
      </c>
      <c r="I520" t="str">
        <f t="shared" si="32"/>
        <v>2023-08</v>
      </c>
      <c r="J520" s="4">
        <f t="shared" si="33"/>
        <v>64.777999999999992</v>
      </c>
      <c r="K520" t="str" cm="1">
        <f t="array" ref="K520">_xlfn.IFS(G520&lt;=5, "Small", G520&lt;=15, "Medium", G520&gt;15, "Large")</f>
        <v>Small</v>
      </c>
      <c r="L520" t="str">
        <f t="shared" si="34"/>
        <v>Standard</v>
      </c>
      <c r="M520" t="str">
        <f t="shared" si="35"/>
        <v>Weekday</v>
      </c>
    </row>
    <row r="521" spans="1:13" x14ac:dyDescent="0.35">
      <c r="A521" t="s">
        <v>576</v>
      </c>
      <c r="B521" s="1">
        <v>45469</v>
      </c>
      <c r="C521" t="s">
        <v>241</v>
      </c>
      <c r="D521" t="s">
        <v>31</v>
      </c>
      <c r="E521" t="s">
        <v>27</v>
      </c>
      <c r="F521" s="4">
        <v>36238.18</v>
      </c>
      <c r="G521" s="5">
        <v>4</v>
      </c>
      <c r="H521" t="s">
        <v>15</v>
      </c>
      <c r="I521" t="str">
        <f t="shared" si="32"/>
        <v>2024-06</v>
      </c>
      <c r="J521" s="4">
        <f t="shared" si="33"/>
        <v>9059.5450000000001</v>
      </c>
      <c r="K521" t="str" cm="1">
        <f t="array" ref="K521">_xlfn.IFS(G521&lt;=5, "Small", G521&lt;=15, "Medium", G521&gt;15, "Large")</f>
        <v>Small</v>
      </c>
      <c r="L521" t="str">
        <f t="shared" si="34"/>
        <v>VIP</v>
      </c>
      <c r="M521" t="str">
        <f t="shared" si="35"/>
        <v>Weekday</v>
      </c>
    </row>
    <row r="522" spans="1:13" x14ac:dyDescent="0.35">
      <c r="A522" t="s">
        <v>577</v>
      </c>
      <c r="B522" s="1">
        <v>45327</v>
      </c>
      <c r="C522" t="s">
        <v>37</v>
      </c>
      <c r="D522" t="s">
        <v>21</v>
      </c>
      <c r="E522" t="s">
        <v>27</v>
      </c>
      <c r="F522" s="4">
        <v>21785.17</v>
      </c>
      <c r="G522" s="5">
        <v>3</v>
      </c>
      <c r="H522" t="s">
        <v>15</v>
      </c>
      <c r="I522" t="str">
        <f t="shared" si="32"/>
        <v>2024-02</v>
      </c>
      <c r="J522" s="4">
        <f t="shared" si="33"/>
        <v>7261.7233333333324</v>
      </c>
      <c r="K522" t="str" cm="1">
        <f t="array" ref="K522">_xlfn.IFS(G522&lt;=5, "Small", G522&lt;=15, "Medium", G522&gt;15, "Large")</f>
        <v>Small</v>
      </c>
      <c r="L522" t="str">
        <f t="shared" si="34"/>
        <v>Standard</v>
      </c>
      <c r="M522" t="str">
        <f t="shared" si="35"/>
        <v>Weekday</v>
      </c>
    </row>
    <row r="523" spans="1:13" x14ac:dyDescent="0.35">
      <c r="A523" t="s">
        <v>578</v>
      </c>
      <c r="B523" s="1">
        <v>45191</v>
      </c>
      <c r="C523" t="s">
        <v>175</v>
      </c>
      <c r="D523" t="s">
        <v>21</v>
      </c>
      <c r="E523" t="s">
        <v>27</v>
      </c>
      <c r="F523" s="4">
        <v>4646.6099999999997</v>
      </c>
      <c r="G523" s="5">
        <v>5</v>
      </c>
      <c r="H523" t="s">
        <v>15</v>
      </c>
      <c r="I523" t="str">
        <f t="shared" si="32"/>
        <v>2023-09</v>
      </c>
      <c r="J523" s="4">
        <f t="shared" si="33"/>
        <v>929.32199999999989</v>
      </c>
      <c r="K523" t="str" cm="1">
        <f t="array" ref="K523">_xlfn.IFS(G523&lt;=5, "Small", G523&lt;=15, "Medium", G523&gt;15, "Large")</f>
        <v>Small</v>
      </c>
      <c r="L523" t="str">
        <f t="shared" si="34"/>
        <v>Standard</v>
      </c>
      <c r="M523" t="str">
        <f t="shared" si="35"/>
        <v>Weekday</v>
      </c>
    </row>
    <row r="524" spans="1:13" x14ac:dyDescent="0.35">
      <c r="A524" t="s">
        <v>579</v>
      </c>
      <c r="B524" s="1">
        <v>45311</v>
      </c>
      <c r="C524" t="s">
        <v>40</v>
      </c>
      <c r="D524" t="s">
        <v>26</v>
      </c>
      <c r="E524" t="s">
        <v>18</v>
      </c>
      <c r="F524" s="4">
        <v>0</v>
      </c>
      <c r="G524" s="5">
        <v>3</v>
      </c>
      <c r="H524" t="s">
        <v>12</v>
      </c>
      <c r="I524" t="str">
        <f t="shared" si="32"/>
        <v>2024-01</v>
      </c>
      <c r="J524" s="4">
        <f t="shared" si="33"/>
        <v>0</v>
      </c>
      <c r="K524" t="str" cm="1">
        <f t="array" ref="K524">_xlfn.IFS(G524&lt;=5, "Small", G524&lt;=15, "Medium", G524&gt;15, "Large")</f>
        <v>Small</v>
      </c>
      <c r="L524" t="str">
        <f t="shared" si="34"/>
        <v>Standard</v>
      </c>
      <c r="M524" t="str">
        <f t="shared" si="35"/>
        <v>Weekend</v>
      </c>
    </row>
    <row r="525" spans="1:13" x14ac:dyDescent="0.35">
      <c r="A525" t="s">
        <v>580</v>
      </c>
      <c r="B525" s="1">
        <v>45296</v>
      </c>
      <c r="C525" t="s">
        <v>37</v>
      </c>
      <c r="D525" t="s">
        <v>21</v>
      </c>
      <c r="E525" t="s">
        <v>18</v>
      </c>
      <c r="F525" s="4">
        <v>1800.28</v>
      </c>
      <c r="G525" s="5">
        <v>17</v>
      </c>
      <c r="H525" t="s">
        <v>15</v>
      </c>
      <c r="I525" t="str">
        <f t="shared" si="32"/>
        <v>2024-01</v>
      </c>
      <c r="J525" s="4">
        <f t="shared" si="33"/>
        <v>105.89882352941176</v>
      </c>
      <c r="K525" t="str" cm="1">
        <f t="array" ref="K525">_xlfn.IFS(G525&lt;=5, "Small", G525&lt;=15, "Medium", G525&gt;15, "Large")</f>
        <v>Large</v>
      </c>
      <c r="L525" t="str">
        <f t="shared" si="34"/>
        <v>Standard</v>
      </c>
      <c r="M525" t="str">
        <f t="shared" si="35"/>
        <v>Weekday</v>
      </c>
    </row>
    <row r="526" spans="1:13" x14ac:dyDescent="0.35">
      <c r="A526" t="s">
        <v>581</v>
      </c>
      <c r="B526" s="1">
        <v>45096</v>
      </c>
      <c r="C526" t="s">
        <v>40</v>
      </c>
      <c r="D526" t="s">
        <v>26</v>
      </c>
      <c r="E526" t="s">
        <v>11</v>
      </c>
      <c r="F526" s="4">
        <v>9161.4500000000007</v>
      </c>
      <c r="G526" s="5">
        <v>7</v>
      </c>
      <c r="H526" t="s">
        <v>15</v>
      </c>
      <c r="I526" t="str">
        <f t="shared" si="32"/>
        <v>2023-06</v>
      </c>
      <c r="J526" s="4">
        <f t="shared" si="33"/>
        <v>1308.7785714285715</v>
      </c>
      <c r="K526" t="str" cm="1">
        <f t="array" ref="K526">_xlfn.IFS(G526&lt;=5, "Small", G526&lt;=15, "Medium", G526&gt;15, "Large")</f>
        <v>Medium</v>
      </c>
      <c r="L526" t="str">
        <f t="shared" si="34"/>
        <v>Standard</v>
      </c>
      <c r="M526" t="str">
        <f t="shared" si="35"/>
        <v>Weekday</v>
      </c>
    </row>
    <row r="527" spans="1:13" x14ac:dyDescent="0.35">
      <c r="A527" t="s">
        <v>582</v>
      </c>
      <c r="B527" s="1">
        <v>45317</v>
      </c>
      <c r="C527" t="s">
        <v>69</v>
      </c>
      <c r="D527" t="s">
        <v>31</v>
      </c>
      <c r="E527" t="s">
        <v>18</v>
      </c>
      <c r="F527" s="4">
        <v>0</v>
      </c>
      <c r="G527" s="5">
        <v>27</v>
      </c>
      <c r="H527" t="s">
        <v>28</v>
      </c>
      <c r="I527" t="str">
        <f t="shared" si="32"/>
        <v>2024-01</v>
      </c>
      <c r="J527" s="4">
        <f t="shared" si="33"/>
        <v>0</v>
      </c>
      <c r="K527" t="str" cm="1">
        <f t="array" ref="K527">_xlfn.IFS(G527&lt;=5, "Small", G527&lt;=15, "Medium", G527&gt;15, "Large")</f>
        <v>Large</v>
      </c>
      <c r="L527" t="str">
        <f t="shared" si="34"/>
        <v>Standard</v>
      </c>
      <c r="M527" t="str">
        <f t="shared" si="35"/>
        <v>Weekday</v>
      </c>
    </row>
    <row r="528" spans="1:13" x14ac:dyDescent="0.35">
      <c r="A528" t="s">
        <v>583</v>
      </c>
      <c r="B528" s="1">
        <v>45170</v>
      </c>
      <c r="C528" t="s">
        <v>91</v>
      </c>
      <c r="D528" t="s">
        <v>31</v>
      </c>
      <c r="E528" t="s">
        <v>18</v>
      </c>
      <c r="F528" s="4">
        <v>486.33</v>
      </c>
      <c r="G528" s="5">
        <v>9</v>
      </c>
      <c r="H528" t="s">
        <v>15</v>
      </c>
      <c r="I528" t="str">
        <f t="shared" si="32"/>
        <v>2023-09</v>
      </c>
      <c r="J528" s="4">
        <f t="shared" si="33"/>
        <v>54.036666666666662</v>
      </c>
      <c r="K528" t="str" cm="1">
        <f t="array" ref="K528">_xlfn.IFS(G528&lt;=5, "Small", G528&lt;=15, "Medium", G528&gt;15, "Large")</f>
        <v>Medium</v>
      </c>
      <c r="L528" t="str">
        <f t="shared" si="34"/>
        <v>Standard</v>
      </c>
      <c r="M528" t="str">
        <f t="shared" si="35"/>
        <v>Weekday</v>
      </c>
    </row>
    <row r="529" spans="1:13" x14ac:dyDescent="0.35">
      <c r="A529" t="s">
        <v>584</v>
      </c>
      <c r="B529" s="1">
        <v>45651</v>
      </c>
      <c r="C529" t="s">
        <v>25</v>
      </c>
      <c r="D529" t="s">
        <v>26</v>
      </c>
      <c r="E529" t="s">
        <v>11</v>
      </c>
      <c r="F529" s="4">
        <v>15239.67</v>
      </c>
      <c r="G529" s="5">
        <v>2</v>
      </c>
      <c r="H529" t="s">
        <v>15</v>
      </c>
      <c r="I529" t="str">
        <f t="shared" si="32"/>
        <v>2024-12</v>
      </c>
      <c r="J529" s="4">
        <f t="shared" si="33"/>
        <v>7619.835</v>
      </c>
      <c r="K529" t="str" cm="1">
        <f t="array" ref="K529">_xlfn.IFS(G529&lt;=5, "Small", G529&lt;=15, "Medium", G529&gt;15, "Large")</f>
        <v>Small</v>
      </c>
      <c r="L529" t="str">
        <f t="shared" si="34"/>
        <v>Standard</v>
      </c>
      <c r="M529" t="str">
        <f t="shared" si="35"/>
        <v>Weekday</v>
      </c>
    </row>
    <row r="530" spans="1:13" x14ac:dyDescent="0.35">
      <c r="A530" t="s">
        <v>585</v>
      </c>
      <c r="B530" s="1">
        <v>45147</v>
      </c>
      <c r="C530" t="s">
        <v>166</v>
      </c>
      <c r="D530" t="s">
        <v>26</v>
      </c>
      <c r="E530" t="s">
        <v>11</v>
      </c>
      <c r="F530" s="4">
        <v>336.92</v>
      </c>
      <c r="G530" s="5">
        <v>6</v>
      </c>
      <c r="H530" t="s">
        <v>15</v>
      </c>
      <c r="I530" t="str">
        <f t="shared" si="32"/>
        <v>2023-08</v>
      </c>
      <c r="J530" s="4">
        <f t="shared" si="33"/>
        <v>56.153333333333336</v>
      </c>
      <c r="K530" t="str" cm="1">
        <f t="array" ref="K530">_xlfn.IFS(G530&lt;=5, "Small", G530&lt;=15, "Medium", G530&gt;15, "Large")</f>
        <v>Medium</v>
      </c>
      <c r="L530" t="str">
        <f t="shared" si="34"/>
        <v>Standard</v>
      </c>
      <c r="M530" t="str">
        <f t="shared" si="35"/>
        <v>Weekday</v>
      </c>
    </row>
    <row r="531" spans="1:13" x14ac:dyDescent="0.35">
      <c r="A531" t="s">
        <v>586</v>
      </c>
      <c r="B531" s="1">
        <v>45083</v>
      </c>
      <c r="C531" t="s">
        <v>60</v>
      </c>
      <c r="D531" t="s">
        <v>21</v>
      </c>
      <c r="E531" t="s">
        <v>11</v>
      </c>
      <c r="F531" s="4">
        <v>10385.27</v>
      </c>
      <c r="G531" s="5">
        <v>4</v>
      </c>
      <c r="H531" t="s">
        <v>15</v>
      </c>
      <c r="I531" t="str">
        <f t="shared" si="32"/>
        <v>2023-06</v>
      </c>
      <c r="J531" s="4">
        <f t="shared" si="33"/>
        <v>2596.3175000000001</v>
      </c>
      <c r="K531" t="str" cm="1">
        <f t="array" ref="K531">_xlfn.IFS(G531&lt;=5, "Small", G531&lt;=15, "Medium", G531&gt;15, "Large")</f>
        <v>Small</v>
      </c>
      <c r="L531" t="str">
        <f t="shared" si="34"/>
        <v>Standard</v>
      </c>
      <c r="M531" t="str">
        <f t="shared" si="35"/>
        <v>Weekday</v>
      </c>
    </row>
    <row r="532" spans="1:13" x14ac:dyDescent="0.35">
      <c r="A532" t="s">
        <v>587</v>
      </c>
      <c r="B532" s="1">
        <v>45023</v>
      </c>
      <c r="C532" t="s">
        <v>9</v>
      </c>
      <c r="D532" t="s">
        <v>21</v>
      </c>
      <c r="E532" t="s">
        <v>11</v>
      </c>
      <c r="F532" s="4">
        <v>6911.98</v>
      </c>
      <c r="G532" s="5">
        <v>2</v>
      </c>
      <c r="H532" t="s">
        <v>15</v>
      </c>
      <c r="I532" t="str">
        <f t="shared" si="32"/>
        <v>2023-04</v>
      </c>
      <c r="J532" s="4">
        <f t="shared" si="33"/>
        <v>3455.99</v>
      </c>
      <c r="K532" t="str" cm="1">
        <f t="array" ref="K532">_xlfn.IFS(G532&lt;=5, "Small", G532&lt;=15, "Medium", G532&gt;15, "Large")</f>
        <v>Small</v>
      </c>
      <c r="L532" t="str">
        <f t="shared" si="34"/>
        <v>Standard</v>
      </c>
      <c r="M532" t="str">
        <f t="shared" si="35"/>
        <v>Weekday</v>
      </c>
    </row>
    <row r="533" spans="1:13" x14ac:dyDescent="0.35">
      <c r="A533" t="s">
        <v>588</v>
      </c>
      <c r="B533" s="1">
        <v>44928</v>
      </c>
      <c r="C533" t="s">
        <v>48</v>
      </c>
      <c r="D533" t="s">
        <v>31</v>
      </c>
      <c r="E533" t="s">
        <v>27</v>
      </c>
      <c r="F533" s="4">
        <v>9091.15</v>
      </c>
      <c r="G533" s="5">
        <v>3</v>
      </c>
      <c r="H533" t="s">
        <v>15</v>
      </c>
      <c r="I533" t="str">
        <f t="shared" si="32"/>
        <v>2023-01</v>
      </c>
      <c r="J533" s="4">
        <f t="shared" si="33"/>
        <v>3030.3833333333332</v>
      </c>
      <c r="K533" t="str" cm="1">
        <f t="array" ref="K533">_xlfn.IFS(G533&lt;=5, "Small", G533&lt;=15, "Medium", G533&gt;15, "Large")</f>
        <v>Small</v>
      </c>
      <c r="L533" t="str">
        <f t="shared" si="34"/>
        <v>Standard</v>
      </c>
      <c r="M533" t="str">
        <f t="shared" si="35"/>
        <v>Weekday</v>
      </c>
    </row>
    <row r="534" spans="1:13" x14ac:dyDescent="0.35">
      <c r="A534" t="s">
        <v>589</v>
      </c>
      <c r="B534" s="1">
        <v>45483</v>
      </c>
      <c r="C534" t="s">
        <v>253</v>
      </c>
      <c r="D534" t="s">
        <v>31</v>
      </c>
      <c r="E534" t="s">
        <v>11</v>
      </c>
      <c r="F534" s="4">
        <v>14854.87</v>
      </c>
      <c r="G534" s="5">
        <v>7</v>
      </c>
      <c r="H534" t="s">
        <v>15</v>
      </c>
      <c r="I534" t="str">
        <f t="shared" si="32"/>
        <v>2024-07</v>
      </c>
      <c r="J534" s="4">
        <f t="shared" si="33"/>
        <v>2122.1242857142856</v>
      </c>
      <c r="K534" t="str" cm="1">
        <f t="array" ref="K534">_xlfn.IFS(G534&lt;=5, "Small", G534&lt;=15, "Medium", G534&gt;15, "Large")</f>
        <v>Medium</v>
      </c>
      <c r="L534" t="str">
        <f t="shared" si="34"/>
        <v>Standard</v>
      </c>
      <c r="M534" t="str">
        <f t="shared" si="35"/>
        <v>Weekday</v>
      </c>
    </row>
    <row r="535" spans="1:13" x14ac:dyDescent="0.35">
      <c r="A535" t="s">
        <v>590</v>
      </c>
      <c r="B535" s="1">
        <v>45403</v>
      </c>
      <c r="C535" t="s">
        <v>20</v>
      </c>
      <c r="D535" t="s">
        <v>21</v>
      </c>
      <c r="E535" t="s">
        <v>18</v>
      </c>
      <c r="F535" s="4">
        <v>1665.55</v>
      </c>
      <c r="G535" s="5">
        <v>15</v>
      </c>
      <c r="H535" t="s">
        <v>15</v>
      </c>
      <c r="I535" t="str">
        <f t="shared" si="32"/>
        <v>2024-04</v>
      </c>
      <c r="J535" s="4">
        <f t="shared" si="33"/>
        <v>111.03666666666666</v>
      </c>
      <c r="K535" t="str" cm="1">
        <f t="array" ref="K535">_xlfn.IFS(G535&lt;=5, "Small", G535&lt;=15, "Medium", G535&gt;15, "Large")</f>
        <v>Medium</v>
      </c>
      <c r="L535" t="str">
        <f t="shared" si="34"/>
        <v>Standard</v>
      </c>
      <c r="M535" t="str">
        <f t="shared" si="35"/>
        <v>Weekend</v>
      </c>
    </row>
    <row r="536" spans="1:13" x14ac:dyDescent="0.35">
      <c r="A536" t="s">
        <v>591</v>
      </c>
      <c r="B536" s="1">
        <v>45262</v>
      </c>
      <c r="C536" t="s">
        <v>115</v>
      </c>
      <c r="D536" t="s">
        <v>10</v>
      </c>
      <c r="E536" t="s">
        <v>27</v>
      </c>
      <c r="F536" s="4">
        <v>0</v>
      </c>
      <c r="G536" s="5">
        <v>5</v>
      </c>
      <c r="H536" t="s">
        <v>28</v>
      </c>
      <c r="I536" t="str">
        <f t="shared" si="32"/>
        <v>2023-12</v>
      </c>
      <c r="J536" s="4">
        <f t="shared" si="33"/>
        <v>0</v>
      </c>
      <c r="K536" t="str" cm="1">
        <f t="array" ref="K536">_xlfn.IFS(G536&lt;=5, "Small", G536&lt;=15, "Medium", G536&gt;15, "Large")</f>
        <v>Small</v>
      </c>
      <c r="L536" t="str">
        <f t="shared" si="34"/>
        <v>Standard</v>
      </c>
      <c r="M536" t="str">
        <f t="shared" si="35"/>
        <v>Weekend</v>
      </c>
    </row>
    <row r="537" spans="1:13" x14ac:dyDescent="0.35">
      <c r="A537" t="s">
        <v>592</v>
      </c>
      <c r="B537" s="1">
        <v>45418</v>
      </c>
      <c r="C537" t="s">
        <v>50</v>
      </c>
      <c r="D537" t="s">
        <v>26</v>
      </c>
      <c r="E537" t="s">
        <v>11</v>
      </c>
      <c r="F537" s="4">
        <v>15485.22</v>
      </c>
      <c r="G537" s="5">
        <v>1</v>
      </c>
      <c r="H537" t="s">
        <v>15</v>
      </c>
      <c r="I537" t="str">
        <f t="shared" si="32"/>
        <v>2024-05</v>
      </c>
      <c r="J537" s="4">
        <f t="shared" si="33"/>
        <v>15485.22</v>
      </c>
      <c r="K537" t="str" cm="1">
        <f t="array" ref="K537">_xlfn.IFS(G537&lt;=5, "Small", G537&lt;=15, "Medium", G537&gt;15, "Large")</f>
        <v>Small</v>
      </c>
      <c r="L537" t="str">
        <f t="shared" si="34"/>
        <v>Standard</v>
      </c>
      <c r="M537" t="str">
        <f t="shared" si="35"/>
        <v>Weekday</v>
      </c>
    </row>
    <row r="538" spans="1:13" x14ac:dyDescent="0.35">
      <c r="A538" t="s">
        <v>593</v>
      </c>
      <c r="B538" s="1">
        <v>45401</v>
      </c>
      <c r="C538" t="s">
        <v>126</v>
      </c>
      <c r="D538" t="s">
        <v>21</v>
      </c>
      <c r="E538" t="s">
        <v>11</v>
      </c>
      <c r="F538" s="4">
        <v>3573.54</v>
      </c>
      <c r="G538" s="5">
        <v>6</v>
      </c>
      <c r="H538" t="s">
        <v>15</v>
      </c>
      <c r="I538" t="str">
        <f t="shared" si="32"/>
        <v>2024-04</v>
      </c>
      <c r="J538" s="4">
        <f t="shared" si="33"/>
        <v>595.59</v>
      </c>
      <c r="K538" t="str" cm="1">
        <f t="array" ref="K538">_xlfn.IFS(G538&lt;=5, "Small", G538&lt;=15, "Medium", G538&gt;15, "Large")</f>
        <v>Medium</v>
      </c>
      <c r="L538" t="str">
        <f t="shared" si="34"/>
        <v>Standard</v>
      </c>
      <c r="M538" t="str">
        <f t="shared" si="35"/>
        <v>Weekday</v>
      </c>
    </row>
    <row r="539" spans="1:13" x14ac:dyDescent="0.35">
      <c r="A539" t="s">
        <v>594</v>
      </c>
      <c r="B539" s="1">
        <v>45391</v>
      </c>
      <c r="C539" t="s">
        <v>55</v>
      </c>
      <c r="D539" t="s">
        <v>10</v>
      </c>
      <c r="E539" t="s">
        <v>18</v>
      </c>
      <c r="F539" s="4">
        <v>0</v>
      </c>
      <c r="G539" s="5">
        <v>25</v>
      </c>
      <c r="H539" t="s">
        <v>12</v>
      </c>
      <c r="I539" t="str">
        <f t="shared" si="32"/>
        <v>2024-04</v>
      </c>
      <c r="J539" s="4">
        <f t="shared" si="33"/>
        <v>0</v>
      </c>
      <c r="K539" t="str" cm="1">
        <f t="array" ref="K539">_xlfn.IFS(G539&lt;=5, "Small", G539&lt;=15, "Medium", G539&gt;15, "Large")</f>
        <v>Large</v>
      </c>
      <c r="L539" t="str">
        <f t="shared" si="34"/>
        <v>Standard</v>
      </c>
      <c r="M539" t="str">
        <f t="shared" si="35"/>
        <v>Weekday</v>
      </c>
    </row>
    <row r="540" spans="1:13" x14ac:dyDescent="0.35">
      <c r="A540" t="s">
        <v>595</v>
      </c>
      <c r="B540" s="1">
        <v>45634</v>
      </c>
      <c r="C540" t="s">
        <v>177</v>
      </c>
      <c r="D540" t="s">
        <v>26</v>
      </c>
      <c r="E540" t="s">
        <v>11</v>
      </c>
      <c r="F540" s="4">
        <v>16177.46</v>
      </c>
      <c r="G540" s="5">
        <v>1</v>
      </c>
      <c r="H540" t="s">
        <v>15</v>
      </c>
      <c r="I540" t="str">
        <f t="shared" si="32"/>
        <v>2024-12</v>
      </c>
      <c r="J540" s="4">
        <f t="shared" si="33"/>
        <v>16177.46</v>
      </c>
      <c r="K540" t="str" cm="1">
        <f t="array" ref="K540">_xlfn.IFS(G540&lt;=5, "Small", G540&lt;=15, "Medium", G540&gt;15, "Large")</f>
        <v>Small</v>
      </c>
      <c r="L540" t="str">
        <f t="shared" si="34"/>
        <v>Standard</v>
      </c>
      <c r="M540" t="str">
        <f t="shared" si="35"/>
        <v>Weekend</v>
      </c>
    </row>
    <row r="541" spans="1:13" x14ac:dyDescent="0.35">
      <c r="A541" t="s">
        <v>596</v>
      </c>
      <c r="B541" s="1">
        <v>45143</v>
      </c>
      <c r="C541" t="s">
        <v>42</v>
      </c>
      <c r="D541" t="s">
        <v>10</v>
      </c>
      <c r="E541" t="s">
        <v>11</v>
      </c>
      <c r="F541" s="4">
        <v>10972.83</v>
      </c>
      <c r="G541" s="5">
        <v>5</v>
      </c>
      <c r="H541" t="s">
        <v>15</v>
      </c>
      <c r="I541" t="str">
        <f t="shared" si="32"/>
        <v>2023-08</v>
      </c>
      <c r="J541" s="4">
        <f t="shared" si="33"/>
        <v>2194.5659999999998</v>
      </c>
      <c r="K541" t="str" cm="1">
        <f t="array" ref="K541">_xlfn.IFS(G541&lt;=5, "Small", G541&lt;=15, "Medium", G541&gt;15, "Large")</f>
        <v>Small</v>
      </c>
      <c r="L541" t="str">
        <f t="shared" si="34"/>
        <v>Standard</v>
      </c>
      <c r="M541" t="str">
        <f t="shared" si="35"/>
        <v>Weekend</v>
      </c>
    </row>
    <row r="542" spans="1:13" x14ac:dyDescent="0.35">
      <c r="A542" t="s">
        <v>597</v>
      </c>
      <c r="B542" s="1">
        <v>45168</v>
      </c>
      <c r="C542" t="s">
        <v>58</v>
      </c>
      <c r="D542" t="s">
        <v>31</v>
      </c>
      <c r="E542" t="s">
        <v>11</v>
      </c>
      <c r="F542" s="4">
        <v>16279.16</v>
      </c>
      <c r="G542" s="5">
        <v>1</v>
      </c>
      <c r="H542" t="s">
        <v>15</v>
      </c>
      <c r="I542" t="str">
        <f t="shared" si="32"/>
        <v>2023-08</v>
      </c>
      <c r="J542" s="4">
        <f t="shared" si="33"/>
        <v>16279.16</v>
      </c>
      <c r="K542" t="str" cm="1">
        <f t="array" ref="K542">_xlfn.IFS(G542&lt;=5, "Small", G542&lt;=15, "Medium", G542&gt;15, "Large")</f>
        <v>Small</v>
      </c>
      <c r="L542" t="str">
        <f t="shared" si="34"/>
        <v>Standard</v>
      </c>
      <c r="M542" t="str">
        <f t="shared" si="35"/>
        <v>Weekday</v>
      </c>
    </row>
    <row r="543" spans="1:13" x14ac:dyDescent="0.35">
      <c r="A543" t="s">
        <v>598</v>
      </c>
      <c r="B543" s="1">
        <v>45483</v>
      </c>
      <c r="C543" t="s">
        <v>58</v>
      </c>
      <c r="D543" t="s">
        <v>31</v>
      </c>
      <c r="E543" t="s">
        <v>11</v>
      </c>
      <c r="F543" s="4">
        <v>14765.34</v>
      </c>
      <c r="G543" s="5">
        <v>1</v>
      </c>
      <c r="H543" t="s">
        <v>15</v>
      </c>
      <c r="I543" t="str">
        <f t="shared" si="32"/>
        <v>2024-07</v>
      </c>
      <c r="J543" s="4">
        <f t="shared" si="33"/>
        <v>14765.34</v>
      </c>
      <c r="K543" t="str" cm="1">
        <f t="array" ref="K543">_xlfn.IFS(G543&lt;=5, "Small", G543&lt;=15, "Medium", G543&gt;15, "Large")</f>
        <v>Small</v>
      </c>
      <c r="L543" t="str">
        <f t="shared" si="34"/>
        <v>Standard</v>
      </c>
      <c r="M543" t="str">
        <f t="shared" si="35"/>
        <v>Weekday</v>
      </c>
    </row>
    <row r="544" spans="1:13" x14ac:dyDescent="0.35">
      <c r="A544" t="s">
        <v>599</v>
      </c>
      <c r="B544" s="1">
        <v>44936</v>
      </c>
      <c r="C544" t="s">
        <v>25</v>
      </c>
      <c r="D544" t="s">
        <v>26</v>
      </c>
      <c r="E544" t="s">
        <v>11</v>
      </c>
      <c r="F544" s="4">
        <v>6314.85</v>
      </c>
      <c r="G544" s="5">
        <v>7</v>
      </c>
      <c r="H544" t="s">
        <v>15</v>
      </c>
      <c r="I544" t="str">
        <f t="shared" si="32"/>
        <v>2023-01</v>
      </c>
      <c r="J544" s="4">
        <f t="shared" si="33"/>
        <v>902.12142857142862</v>
      </c>
      <c r="K544" t="str" cm="1">
        <f t="array" ref="K544">_xlfn.IFS(G544&lt;=5, "Small", G544&lt;=15, "Medium", G544&gt;15, "Large")</f>
        <v>Medium</v>
      </c>
      <c r="L544" t="str">
        <f t="shared" si="34"/>
        <v>Standard</v>
      </c>
      <c r="M544" t="str">
        <f t="shared" si="35"/>
        <v>Weekday</v>
      </c>
    </row>
    <row r="545" spans="1:13" x14ac:dyDescent="0.35">
      <c r="A545" t="s">
        <v>600</v>
      </c>
      <c r="B545" s="1">
        <v>45513</v>
      </c>
      <c r="C545" t="s">
        <v>89</v>
      </c>
      <c r="D545" t="s">
        <v>21</v>
      </c>
      <c r="E545" t="s">
        <v>11</v>
      </c>
      <c r="F545" s="4">
        <v>0</v>
      </c>
      <c r="G545" s="5">
        <v>1</v>
      </c>
      <c r="H545" t="s">
        <v>28</v>
      </c>
      <c r="I545" t="str">
        <f t="shared" si="32"/>
        <v>2024-08</v>
      </c>
      <c r="J545" s="4">
        <f t="shared" si="33"/>
        <v>0</v>
      </c>
      <c r="K545" t="str" cm="1">
        <f t="array" ref="K545">_xlfn.IFS(G545&lt;=5, "Small", G545&lt;=15, "Medium", G545&gt;15, "Large")</f>
        <v>Small</v>
      </c>
      <c r="L545" t="str">
        <f t="shared" si="34"/>
        <v>Standard</v>
      </c>
      <c r="M545" t="str">
        <f t="shared" si="35"/>
        <v>Weekday</v>
      </c>
    </row>
    <row r="546" spans="1:13" x14ac:dyDescent="0.35">
      <c r="A546" t="s">
        <v>601</v>
      </c>
      <c r="B546" s="1">
        <v>45384</v>
      </c>
      <c r="C546" t="s">
        <v>82</v>
      </c>
      <c r="D546" t="s">
        <v>10</v>
      </c>
      <c r="E546" t="s">
        <v>27</v>
      </c>
      <c r="F546" s="4">
        <v>41318.78</v>
      </c>
      <c r="G546" s="5">
        <v>4</v>
      </c>
      <c r="H546" t="s">
        <v>15</v>
      </c>
      <c r="I546" t="str">
        <f t="shared" si="32"/>
        <v>2024-04</v>
      </c>
      <c r="J546" s="4">
        <f t="shared" si="33"/>
        <v>10329.695</v>
      </c>
      <c r="K546" t="str" cm="1">
        <f t="array" ref="K546">_xlfn.IFS(G546&lt;=5, "Small", G546&lt;=15, "Medium", G546&gt;15, "Large")</f>
        <v>Small</v>
      </c>
      <c r="L546" t="str">
        <f t="shared" si="34"/>
        <v>VIP</v>
      </c>
      <c r="M546" t="str">
        <f t="shared" si="35"/>
        <v>Weekday</v>
      </c>
    </row>
    <row r="547" spans="1:13" x14ac:dyDescent="0.35">
      <c r="A547" t="s">
        <v>602</v>
      </c>
      <c r="B547" s="1">
        <v>45593</v>
      </c>
      <c r="C547" t="s">
        <v>23</v>
      </c>
      <c r="D547" t="s">
        <v>21</v>
      </c>
      <c r="E547" t="s">
        <v>18</v>
      </c>
      <c r="F547" s="4">
        <v>901.43</v>
      </c>
      <c r="G547" s="5">
        <v>16</v>
      </c>
      <c r="H547" t="s">
        <v>15</v>
      </c>
      <c r="I547" t="str">
        <f t="shared" si="32"/>
        <v>2024-10</v>
      </c>
      <c r="J547" s="4">
        <f t="shared" si="33"/>
        <v>56.339374999999997</v>
      </c>
      <c r="K547" t="str" cm="1">
        <f t="array" ref="K547">_xlfn.IFS(G547&lt;=5, "Small", G547&lt;=15, "Medium", G547&gt;15, "Large")</f>
        <v>Large</v>
      </c>
      <c r="L547" t="str">
        <f t="shared" si="34"/>
        <v>Standard</v>
      </c>
      <c r="M547" t="str">
        <f t="shared" si="35"/>
        <v>Weekday</v>
      </c>
    </row>
    <row r="548" spans="1:13" x14ac:dyDescent="0.35">
      <c r="A548" t="s">
        <v>603</v>
      </c>
      <c r="B548" s="1">
        <v>45039</v>
      </c>
      <c r="C548" t="s">
        <v>20</v>
      </c>
      <c r="D548" t="s">
        <v>21</v>
      </c>
      <c r="E548" t="s">
        <v>18</v>
      </c>
      <c r="F548" s="4">
        <v>1960.55</v>
      </c>
      <c r="G548" s="5">
        <v>18</v>
      </c>
      <c r="H548" t="s">
        <v>15</v>
      </c>
      <c r="I548" t="str">
        <f t="shared" si="32"/>
        <v>2023-04</v>
      </c>
      <c r="J548" s="4">
        <f t="shared" si="33"/>
        <v>108.91944444444444</v>
      </c>
      <c r="K548" t="str" cm="1">
        <f t="array" ref="K548">_xlfn.IFS(G548&lt;=5, "Small", G548&lt;=15, "Medium", G548&gt;15, "Large")</f>
        <v>Large</v>
      </c>
      <c r="L548" t="str">
        <f t="shared" si="34"/>
        <v>Standard</v>
      </c>
      <c r="M548" t="str">
        <f t="shared" si="35"/>
        <v>Weekend</v>
      </c>
    </row>
    <row r="549" spans="1:13" x14ac:dyDescent="0.35">
      <c r="A549" t="s">
        <v>604</v>
      </c>
      <c r="B549" s="1">
        <v>45164</v>
      </c>
      <c r="C549" t="s">
        <v>53</v>
      </c>
      <c r="D549" t="s">
        <v>31</v>
      </c>
      <c r="E549" t="s">
        <v>18</v>
      </c>
      <c r="F549" s="4">
        <v>0</v>
      </c>
      <c r="G549" s="5">
        <v>3</v>
      </c>
      <c r="H549" t="s">
        <v>28</v>
      </c>
      <c r="I549" t="str">
        <f t="shared" si="32"/>
        <v>2023-08</v>
      </c>
      <c r="J549" s="4">
        <f t="shared" si="33"/>
        <v>0</v>
      </c>
      <c r="K549" t="str" cm="1">
        <f t="array" ref="K549">_xlfn.IFS(G549&lt;=5, "Small", G549&lt;=15, "Medium", G549&gt;15, "Large")</f>
        <v>Small</v>
      </c>
      <c r="L549" t="str">
        <f t="shared" si="34"/>
        <v>Standard</v>
      </c>
      <c r="M549" t="str">
        <f t="shared" si="35"/>
        <v>Weekend</v>
      </c>
    </row>
    <row r="550" spans="1:13" x14ac:dyDescent="0.35">
      <c r="A550" t="s">
        <v>605</v>
      </c>
      <c r="B550" s="1">
        <v>45039</v>
      </c>
      <c r="C550" t="s">
        <v>97</v>
      </c>
      <c r="D550" t="s">
        <v>21</v>
      </c>
      <c r="E550" t="s">
        <v>27</v>
      </c>
      <c r="F550" s="4">
        <v>0</v>
      </c>
      <c r="G550" s="5">
        <v>1</v>
      </c>
      <c r="H550" t="s">
        <v>12</v>
      </c>
      <c r="I550" t="str">
        <f t="shared" si="32"/>
        <v>2023-04</v>
      </c>
      <c r="J550" s="4">
        <f t="shared" si="33"/>
        <v>0</v>
      </c>
      <c r="K550" t="str" cm="1">
        <f t="array" ref="K550">_xlfn.IFS(G550&lt;=5, "Small", G550&lt;=15, "Medium", G550&gt;15, "Large")</f>
        <v>Small</v>
      </c>
      <c r="L550" t="str">
        <f t="shared" si="34"/>
        <v>Standard</v>
      </c>
      <c r="M550" t="str">
        <f t="shared" si="35"/>
        <v>Weekend</v>
      </c>
    </row>
    <row r="551" spans="1:13" x14ac:dyDescent="0.35">
      <c r="A551" t="s">
        <v>606</v>
      </c>
      <c r="B551" s="1">
        <v>45112</v>
      </c>
      <c r="C551" t="s">
        <v>82</v>
      </c>
      <c r="D551" t="s">
        <v>10</v>
      </c>
      <c r="E551" t="s">
        <v>11</v>
      </c>
      <c r="F551" s="4">
        <v>17452.28</v>
      </c>
      <c r="G551" s="5">
        <v>8</v>
      </c>
      <c r="H551" t="s">
        <v>15</v>
      </c>
      <c r="I551" t="str">
        <f t="shared" si="32"/>
        <v>2023-07</v>
      </c>
      <c r="J551" s="4">
        <f t="shared" si="33"/>
        <v>2181.5349999999999</v>
      </c>
      <c r="K551" t="str" cm="1">
        <f t="array" ref="K551">_xlfn.IFS(G551&lt;=5, "Small", G551&lt;=15, "Medium", G551&gt;15, "Large")</f>
        <v>Medium</v>
      </c>
      <c r="L551" t="str">
        <f t="shared" si="34"/>
        <v>Standard</v>
      </c>
      <c r="M551" t="str">
        <f t="shared" si="35"/>
        <v>Weekday</v>
      </c>
    </row>
    <row r="552" spans="1:13" x14ac:dyDescent="0.35">
      <c r="A552" t="s">
        <v>607</v>
      </c>
      <c r="B552" s="1">
        <v>45585</v>
      </c>
      <c r="C552" t="s">
        <v>23</v>
      </c>
      <c r="D552" t="s">
        <v>21</v>
      </c>
      <c r="E552" t="s">
        <v>27</v>
      </c>
      <c r="F552" s="4">
        <v>4284.3100000000004</v>
      </c>
      <c r="G552" s="5">
        <v>4</v>
      </c>
      <c r="H552" t="s">
        <v>15</v>
      </c>
      <c r="I552" t="str">
        <f t="shared" si="32"/>
        <v>2024-10</v>
      </c>
      <c r="J552" s="4">
        <f t="shared" si="33"/>
        <v>1071.0775000000001</v>
      </c>
      <c r="K552" t="str" cm="1">
        <f t="array" ref="K552">_xlfn.IFS(G552&lt;=5, "Small", G552&lt;=15, "Medium", G552&gt;15, "Large")</f>
        <v>Small</v>
      </c>
      <c r="L552" t="str">
        <f t="shared" si="34"/>
        <v>Standard</v>
      </c>
      <c r="M552" t="str">
        <f t="shared" si="35"/>
        <v>Weekend</v>
      </c>
    </row>
    <row r="553" spans="1:13" x14ac:dyDescent="0.35">
      <c r="A553" t="s">
        <v>608</v>
      </c>
      <c r="B553" s="1">
        <v>45218</v>
      </c>
      <c r="C553" t="s">
        <v>97</v>
      </c>
      <c r="D553" t="s">
        <v>21</v>
      </c>
      <c r="E553" t="s">
        <v>27</v>
      </c>
      <c r="F553" s="4">
        <v>14478.48</v>
      </c>
      <c r="G553" s="5">
        <v>4</v>
      </c>
      <c r="H553" t="s">
        <v>15</v>
      </c>
      <c r="I553" t="str">
        <f t="shared" si="32"/>
        <v>2023-10</v>
      </c>
      <c r="J553" s="4">
        <f t="shared" si="33"/>
        <v>3619.62</v>
      </c>
      <c r="K553" t="str" cm="1">
        <f t="array" ref="K553">_xlfn.IFS(G553&lt;=5, "Small", G553&lt;=15, "Medium", G553&gt;15, "Large")</f>
        <v>Small</v>
      </c>
      <c r="L553" t="str">
        <f t="shared" si="34"/>
        <v>Standard</v>
      </c>
      <c r="M553" t="str">
        <f t="shared" si="35"/>
        <v>Weekday</v>
      </c>
    </row>
    <row r="554" spans="1:13" x14ac:dyDescent="0.35">
      <c r="A554" t="s">
        <v>609</v>
      </c>
      <c r="B554" s="1">
        <v>45333</v>
      </c>
      <c r="C554" t="s">
        <v>30</v>
      </c>
      <c r="D554" t="s">
        <v>31</v>
      </c>
      <c r="E554" t="s">
        <v>11</v>
      </c>
      <c r="F554" s="4">
        <v>0</v>
      </c>
      <c r="G554" s="5">
        <v>1</v>
      </c>
      <c r="H554" t="s">
        <v>12</v>
      </c>
      <c r="I554" t="str">
        <f t="shared" si="32"/>
        <v>2024-02</v>
      </c>
      <c r="J554" s="4">
        <f t="shared" si="33"/>
        <v>0</v>
      </c>
      <c r="K554" t="str" cm="1">
        <f t="array" ref="K554">_xlfn.IFS(G554&lt;=5, "Small", G554&lt;=15, "Medium", G554&gt;15, "Large")</f>
        <v>Small</v>
      </c>
      <c r="L554" t="str">
        <f t="shared" si="34"/>
        <v>Standard</v>
      </c>
      <c r="M554" t="str">
        <f t="shared" si="35"/>
        <v>Weekend</v>
      </c>
    </row>
    <row r="555" spans="1:13" x14ac:dyDescent="0.35">
      <c r="A555" t="s">
        <v>610</v>
      </c>
      <c r="B555" s="1">
        <v>45629</v>
      </c>
      <c r="C555" t="s">
        <v>160</v>
      </c>
      <c r="D555" t="s">
        <v>26</v>
      </c>
      <c r="E555" t="s">
        <v>18</v>
      </c>
      <c r="F555" s="4">
        <v>257.18</v>
      </c>
      <c r="G555" s="5">
        <v>12</v>
      </c>
      <c r="H555" t="s">
        <v>15</v>
      </c>
      <c r="I555" t="str">
        <f t="shared" si="32"/>
        <v>2024-12</v>
      </c>
      <c r="J555" s="4">
        <f t="shared" si="33"/>
        <v>21.431666666666668</v>
      </c>
      <c r="K555" t="str" cm="1">
        <f t="array" ref="K555">_xlfn.IFS(G555&lt;=5, "Small", G555&lt;=15, "Medium", G555&gt;15, "Large")</f>
        <v>Medium</v>
      </c>
      <c r="L555" t="str">
        <f t="shared" si="34"/>
        <v>Standard</v>
      </c>
      <c r="M555" t="str">
        <f t="shared" si="35"/>
        <v>Weekday</v>
      </c>
    </row>
    <row r="556" spans="1:13" x14ac:dyDescent="0.35">
      <c r="A556" t="s">
        <v>611</v>
      </c>
      <c r="B556" s="1">
        <v>45648</v>
      </c>
      <c r="C556" t="s">
        <v>62</v>
      </c>
      <c r="D556" t="s">
        <v>10</v>
      </c>
      <c r="E556" t="s">
        <v>18</v>
      </c>
      <c r="F556" s="4">
        <v>619.24</v>
      </c>
      <c r="G556" s="5">
        <v>29</v>
      </c>
      <c r="H556" t="s">
        <v>15</v>
      </c>
      <c r="I556" t="str">
        <f t="shared" si="32"/>
        <v>2024-12</v>
      </c>
      <c r="J556" s="4">
        <f t="shared" si="33"/>
        <v>21.353103448275863</v>
      </c>
      <c r="K556" t="str" cm="1">
        <f t="array" ref="K556">_xlfn.IFS(G556&lt;=5, "Small", G556&lt;=15, "Medium", G556&gt;15, "Large")</f>
        <v>Large</v>
      </c>
      <c r="L556" t="str">
        <f t="shared" si="34"/>
        <v>Standard</v>
      </c>
      <c r="M556" t="str">
        <f t="shared" si="35"/>
        <v>Weekend</v>
      </c>
    </row>
    <row r="557" spans="1:13" x14ac:dyDescent="0.35">
      <c r="A557" t="s">
        <v>612</v>
      </c>
      <c r="B557" s="1">
        <v>45271</v>
      </c>
      <c r="C557" t="s">
        <v>55</v>
      </c>
      <c r="D557" t="s">
        <v>10</v>
      </c>
      <c r="E557" t="s">
        <v>11</v>
      </c>
      <c r="F557" s="4">
        <v>4922.3</v>
      </c>
      <c r="G557" s="5">
        <v>5</v>
      </c>
      <c r="H557" t="s">
        <v>15</v>
      </c>
      <c r="I557" t="str">
        <f t="shared" si="32"/>
        <v>2023-12</v>
      </c>
      <c r="J557" s="4">
        <f t="shared" si="33"/>
        <v>984.46</v>
      </c>
      <c r="K557" t="str" cm="1">
        <f t="array" ref="K557">_xlfn.IFS(G557&lt;=5, "Small", G557&lt;=15, "Medium", G557&gt;15, "Large")</f>
        <v>Small</v>
      </c>
      <c r="L557" t="str">
        <f t="shared" si="34"/>
        <v>Standard</v>
      </c>
      <c r="M557" t="str">
        <f t="shared" si="35"/>
        <v>Weekday</v>
      </c>
    </row>
    <row r="558" spans="1:13" x14ac:dyDescent="0.35">
      <c r="A558" t="s">
        <v>613</v>
      </c>
      <c r="B558" s="1">
        <v>45072</v>
      </c>
      <c r="C558" t="s">
        <v>69</v>
      </c>
      <c r="D558" t="s">
        <v>31</v>
      </c>
      <c r="E558" t="s">
        <v>11</v>
      </c>
      <c r="F558" s="4">
        <v>14181.58</v>
      </c>
      <c r="G558" s="5">
        <v>8</v>
      </c>
      <c r="H558" t="s">
        <v>15</v>
      </c>
      <c r="I558" t="str">
        <f t="shared" si="32"/>
        <v>2023-05</v>
      </c>
      <c r="J558" s="4">
        <f t="shared" si="33"/>
        <v>1772.6975</v>
      </c>
      <c r="K558" t="str" cm="1">
        <f t="array" ref="K558">_xlfn.IFS(G558&lt;=5, "Small", G558&lt;=15, "Medium", G558&gt;15, "Large")</f>
        <v>Medium</v>
      </c>
      <c r="L558" t="str">
        <f t="shared" si="34"/>
        <v>Standard</v>
      </c>
      <c r="M558" t="str">
        <f t="shared" si="35"/>
        <v>Weekday</v>
      </c>
    </row>
    <row r="559" spans="1:13" x14ac:dyDescent="0.35">
      <c r="A559" t="s">
        <v>614</v>
      </c>
      <c r="B559" s="1">
        <v>45121</v>
      </c>
      <c r="C559" t="s">
        <v>91</v>
      </c>
      <c r="D559" t="s">
        <v>26</v>
      </c>
      <c r="E559" t="s">
        <v>11</v>
      </c>
      <c r="F559" s="4">
        <v>1922.62</v>
      </c>
      <c r="G559" s="5">
        <v>4</v>
      </c>
      <c r="H559" t="s">
        <v>15</v>
      </c>
      <c r="I559" t="str">
        <f t="shared" si="32"/>
        <v>2023-07</v>
      </c>
      <c r="J559" s="4">
        <f t="shared" si="33"/>
        <v>480.65499999999997</v>
      </c>
      <c r="K559" t="str" cm="1">
        <f t="array" ref="K559">_xlfn.IFS(G559&lt;=5, "Small", G559&lt;=15, "Medium", G559&gt;15, "Large")</f>
        <v>Small</v>
      </c>
      <c r="L559" t="str">
        <f t="shared" si="34"/>
        <v>Standard</v>
      </c>
      <c r="M559" t="str">
        <f t="shared" si="35"/>
        <v>Weekday</v>
      </c>
    </row>
    <row r="560" spans="1:13" x14ac:dyDescent="0.35">
      <c r="A560" t="s">
        <v>615</v>
      </c>
      <c r="B560" s="1">
        <v>45535</v>
      </c>
      <c r="C560" t="s">
        <v>126</v>
      </c>
      <c r="D560" t="s">
        <v>21</v>
      </c>
      <c r="E560" t="s">
        <v>18</v>
      </c>
      <c r="F560" s="4">
        <v>3318.11</v>
      </c>
      <c r="G560" s="5">
        <v>7</v>
      </c>
      <c r="H560" t="s">
        <v>15</v>
      </c>
      <c r="I560" t="str">
        <f t="shared" si="32"/>
        <v>2024-08</v>
      </c>
      <c r="J560" s="4">
        <f t="shared" si="33"/>
        <v>474.0157142857143</v>
      </c>
      <c r="K560" t="str" cm="1">
        <f t="array" ref="K560">_xlfn.IFS(G560&lt;=5, "Small", G560&lt;=15, "Medium", G560&gt;15, "Large")</f>
        <v>Medium</v>
      </c>
      <c r="L560" t="str">
        <f t="shared" si="34"/>
        <v>Standard</v>
      </c>
      <c r="M560" t="str">
        <f t="shared" si="35"/>
        <v>Weekend</v>
      </c>
    </row>
    <row r="561" spans="1:13" x14ac:dyDescent="0.35">
      <c r="A561" t="s">
        <v>616</v>
      </c>
      <c r="B561" s="1">
        <v>45637</v>
      </c>
      <c r="C561" t="s">
        <v>25</v>
      </c>
      <c r="D561" t="s">
        <v>26</v>
      </c>
      <c r="E561" t="s">
        <v>11</v>
      </c>
      <c r="F561" s="4">
        <v>14700.12</v>
      </c>
      <c r="G561" s="5">
        <v>1</v>
      </c>
      <c r="H561" t="s">
        <v>15</v>
      </c>
      <c r="I561" t="str">
        <f t="shared" si="32"/>
        <v>2024-12</v>
      </c>
      <c r="J561" s="4">
        <f t="shared" si="33"/>
        <v>14700.12</v>
      </c>
      <c r="K561" t="str" cm="1">
        <f t="array" ref="K561">_xlfn.IFS(G561&lt;=5, "Small", G561&lt;=15, "Medium", G561&gt;15, "Large")</f>
        <v>Small</v>
      </c>
      <c r="L561" t="str">
        <f t="shared" si="34"/>
        <v>Standard</v>
      </c>
      <c r="M561" t="str">
        <f t="shared" si="35"/>
        <v>Weekday</v>
      </c>
    </row>
    <row r="562" spans="1:13" x14ac:dyDescent="0.35">
      <c r="A562" t="s">
        <v>617</v>
      </c>
      <c r="B562" s="1">
        <v>45062</v>
      </c>
      <c r="C562" t="s">
        <v>177</v>
      </c>
      <c r="D562" t="s">
        <v>26</v>
      </c>
      <c r="E562" t="s">
        <v>11</v>
      </c>
      <c r="F562" s="4">
        <v>14964.13</v>
      </c>
      <c r="G562" s="5">
        <v>7</v>
      </c>
      <c r="H562" t="s">
        <v>15</v>
      </c>
      <c r="I562" t="str">
        <f t="shared" si="32"/>
        <v>2023-05</v>
      </c>
      <c r="J562" s="4">
        <f t="shared" si="33"/>
        <v>2137.732857142857</v>
      </c>
      <c r="K562" t="str" cm="1">
        <f t="array" ref="K562">_xlfn.IFS(G562&lt;=5, "Small", G562&lt;=15, "Medium", G562&gt;15, "Large")</f>
        <v>Medium</v>
      </c>
      <c r="L562" t="str">
        <f t="shared" si="34"/>
        <v>Standard</v>
      </c>
      <c r="M562" t="str">
        <f t="shared" si="35"/>
        <v>Weekday</v>
      </c>
    </row>
    <row r="563" spans="1:13" x14ac:dyDescent="0.35">
      <c r="A563" t="s">
        <v>618</v>
      </c>
      <c r="B563" s="1">
        <v>45041</v>
      </c>
      <c r="C563" t="s">
        <v>37</v>
      </c>
      <c r="D563" t="s">
        <v>21</v>
      </c>
      <c r="E563" t="s">
        <v>18</v>
      </c>
      <c r="F563" s="4">
        <v>3168.55</v>
      </c>
      <c r="G563" s="5">
        <v>18</v>
      </c>
      <c r="H563" t="s">
        <v>15</v>
      </c>
      <c r="I563" t="str">
        <f t="shared" si="32"/>
        <v>2023-04</v>
      </c>
      <c r="J563" s="4">
        <f t="shared" si="33"/>
        <v>176.03055555555557</v>
      </c>
      <c r="K563" t="str" cm="1">
        <f t="array" ref="K563">_xlfn.IFS(G563&lt;=5, "Small", G563&lt;=15, "Medium", G563&gt;15, "Large")</f>
        <v>Large</v>
      </c>
      <c r="L563" t="str">
        <f t="shared" si="34"/>
        <v>Standard</v>
      </c>
      <c r="M563" t="str">
        <f t="shared" si="35"/>
        <v>Weekday</v>
      </c>
    </row>
    <row r="564" spans="1:13" x14ac:dyDescent="0.35">
      <c r="A564" t="s">
        <v>619</v>
      </c>
      <c r="B564" s="1">
        <v>45485</v>
      </c>
      <c r="C564" t="s">
        <v>166</v>
      </c>
      <c r="D564" t="s">
        <v>26</v>
      </c>
      <c r="E564" t="s">
        <v>18</v>
      </c>
      <c r="F564" s="4">
        <v>142.86000000000001</v>
      </c>
      <c r="G564" s="5">
        <v>24</v>
      </c>
      <c r="H564" t="s">
        <v>15</v>
      </c>
      <c r="I564" t="str">
        <f t="shared" si="32"/>
        <v>2024-07</v>
      </c>
      <c r="J564" s="4">
        <f t="shared" si="33"/>
        <v>5.9525000000000006</v>
      </c>
      <c r="K564" t="str" cm="1">
        <f t="array" ref="K564">_xlfn.IFS(G564&lt;=5, "Small", G564&lt;=15, "Medium", G564&gt;15, "Large")</f>
        <v>Large</v>
      </c>
      <c r="L564" t="str">
        <f t="shared" si="34"/>
        <v>Standard</v>
      </c>
      <c r="M564" t="str">
        <f t="shared" si="35"/>
        <v>Weekday</v>
      </c>
    </row>
    <row r="565" spans="1:13" x14ac:dyDescent="0.35">
      <c r="A565" t="s">
        <v>620</v>
      </c>
      <c r="B565" s="1">
        <v>45212</v>
      </c>
      <c r="C565" t="s">
        <v>20</v>
      </c>
      <c r="D565" t="s">
        <v>21</v>
      </c>
      <c r="E565" t="s">
        <v>11</v>
      </c>
      <c r="F565" s="4">
        <v>15259.25</v>
      </c>
      <c r="G565" s="5">
        <v>1</v>
      </c>
      <c r="H565" t="s">
        <v>15</v>
      </c>
      <c r="I565" t="str">
        <f t="shared" si="32"/>
        <v>2023-10</v>
      </c>
      <c r="J565" s="4">
        <f t="shared" si="33"/>
        <v>15259.25</v>
      </c>
      <c r="K565" t="str" cm="1">
        <f t="array" ref="K565">_xlfn.IFS(G565&lt;=5, "Small", G565&lt;=15, "Medium", G565&gt;15, "Large")</f>
        <v>Small</v>
      </c>
      <c r="L565" t="str">
        <f t="shared" si="34"/>
        <v>Standard</v>
      </c>
      <c r="M565" t="str">
        <f t="shared" si="35"/>
        <v>Weekday</v>
      </c>
    </row>
    <row r="566" spans="1:13" x14ac:dyDescent="0.35">
      <c r="A566" t="s">
        <v>621</v>
      </c>
      <c r="B566" s="1">
        <v>45438</v>
      </c>
      <c r="C566" t="s">
        <v>64</v>
      </c>
      <c r="D566" t="s">
        <v>10</v>
      </c>
      <c r="E566" t="s">
        <v>11</v>
      </c>
      <c r="F566" s="4">
        <v>2881.91</v>
      </c>
      <c r="G566" s="5">
        <v>1</v>
      </c>
      <c r="H566" t="s">
        <v>15</v>
      </c>
      <c r="I566" t="str">
        <f t="shared" si="32"/>
        <v>2024-05</v>
      </c>
      <c r="J566" s="4">
        <f t="shared" si="33"/>
        <v>2881.91</v>
      </c>
      <c r="K566" t="str" cm="1">
        <f t="array" ref="K566">_xlfn.IFS(G566&lt;=5, "Small", G566&lt;=15, "Medium", G566&gt;15, "Large")</f>
        <v>Small</v>
      </c>
      <c r="L566" t="str">
        <f t="shared" si="34"/>
        <v>Standard</v>
      </c>
      <c r="M566" t="str">
        <f t="shared" si="35"/>
        <v>Weekend</v>
      </c>
    </row>
    <row r="567" spans="1:13" x14ac:dyDescent="0.35">
      <c r="A567" t="s">
        <v>622</v>
      </c>
      <c r="B567" s="1">
        <v>45349</v>
      </c>
      <c r="C567" t="s">
        <v>23</v>
      </c>
      <c r="D567" t="s">
        <v>21</v>
      </c>
      <c r="E567" t="s">
        <v>11</v>
      </c>
      <c r="F567" s="4">
        <v>13150.18</v>
      </c>
      <c r="G567" s="5">
        <v>3</v>
      </c>
      <c r="H567" t="s">
        <v>15</v>
      </c>
      <c r="I567" t="str">
        <f t="shared" si="32"/>
        <v>2024-02</v>
      </c>
      <c r="J567" s="4">
        <f t="shared" si="33"/>
        <v>4383.3933333333334</v>
      </c>
      <c r="K567" t="str" cm="1">
        <f t="array" ref="K567">_xlfn.IFS(G567&lt;=5, "Small", G567&lt;=15, "Medium", G567&gt;15, "Large")</f>
        <v>Small</v>
      </c>
      <c r="L567" t="str">
        <f t="shared" si="34"/>
        <v>Standard</v>
      </c>
      <c r="M567" t="str">
        <f t="shared" si="35"/>
        <v>Weekday</v>
      </c>
    </row>
    <row r="568" spans="1:13" x14ac:dyDescent="0.35">
      <c r="A568" t="s">
        <v>623</v>
      </c>
      <c r="B568" s="1">
        <v>45480</v>
      </c>
      <c r="C568" t="s">
        <v>97</v>
      </c>
      <c r="D568" t="s">
        <v>21</v>
      </c>
      <c r="E568" t="s">
        <v>11</v>
      </c>
      <c r="F568" s="4">
        <v>16288.28</v>
      </c>
      <c r="G568" s="5">
        <v>1</v>
      </c>
      <c r="H568" t="s">
        <v>15</v>
      </c>
      <c r="I568" t="str">
        <f t="shared" si="32"/>
        <v>2024-07</v>
      </c>
      <c r="J568" s="4">
        <f t="shared" si="33"/>
        <v>16288.28</v>
      </c>
      <c r="K568" t="str" cm="1">
        <f t="array" ref="K568">_xlfn.IFS(G568&lt;=5, "Small", G568&lt;=15, "Medium", G568&gt;15, "Large")</f>
        <v>Small</v>
      </c>
      <c r="L568" t="str">
        <f t="shared" si="34"/>
        <v>Standard</v>
      </c>
      <c r="M568" t="str">
        <f t="shared" si="35"/>
        <v>Weekend</v>
      </c>
    </row>
    <row r="569" spans="1:13" x14ac:dyDescent="0.35">
      <c r="A569" t="s">
        <v>624</v>
      </c>
      <c r="B569" s="1">
        <v>45528</v>
      </c>
      <c r="C569" t="s">
        <v>89</v>
      </c>
      <c r="D569" t="s">
        <v>21</v>
      </c>
      <c r="E569" t="s">
        <v>18</v>
      </c>
      <c r="F569" s="4">
        <v>2668.35</v>
      </c>
      <c r="G569" s="5">
        <v>4</v>
      </c>
      <c r="H569" t="s">
        <v>15</v>
      </c>
      <c r="I569" t="str">
        <f t="shared" si="32"/>
        <v>2024-08</v>
      </c>
      <c r="J569" s="4">
        <f t="shared" si="33"/>
        <v>667.08749999999998</v>
      </c>
      <c r="K569" t="str" cm="1">
        <f t="array" ref="K569">_xlfn.IFS(G569&lt;=5, "Small", G569&lt;=15, "Medium", G569&gt;15, "Large")</f>
        <v>Small</v>
      </c>
      <c r="L569" t="str">
        <f t="shared" si="34"/>
        <v>Standard</v>
      </c>
      <c r="M569" t="str">
        <f t="shared" si="35"/>
        <v>Weekend</v>
      </c>
    </row>
    <row r="570" spans="1:13" x14ac:dyDescent="0.35">
      <c r="A570" t="s">
        <v>625</v>
      </c>
      <c r="B570" s="1">
        <v>45543</v>
      </c>
      <c r="C570" t="s">
        <v>45</v>
      </c>
      <c r="D570" t="s">
        <v>21</v>
      </c>
      <c r="E570" t="s">
        <v>18</v>
      </c>
      <c r="F570" s="4">
        <v>0</v>
      </c>
      <c r="G570" s="5">
        <v>11</v>
      </c>
      <c r="H570" t="s">
        <v>28</v>
      </c>
      <c r="I570" t="str">
        <f t="shared" si="32"/>
        <v>2024-09</v>
      </c>
      <c r="J570" s="4">
        <f t="shared" si="33"/>
        <v>0</v>
      </c>
      <c r="K570" t="str" cm="1">
        <f t="array" ref="K570">_xlfn.IFS(G570&lt;=5, "Small", G570&lt;=15, "Medium", G570&gt;15, "Large")</f>
        <v>Medium</v>
      </c>
      <c r="L570" t="str">
        <f t="shared" si="34"/>
        <v>Standard</v>
      </c>
      <c r="M570" t="str">
        <f t="shared" si="35"/>
        <v>Weekend</v>
      </c>
    </row>
    <row r="571" spans="1:13" x14ac:dyDescent="0.35">
      <c r="A571" t="s">
        <v>626</v>
      </c>
      <c r="B571" s="1">
        <v>45443</v>
      </c>
      <c r="C571" t="s">
        <v>64</v>
      </c>
      <c r="D571" t="s">
        <v>10</v>
      </c>
      <c r="E571" t="s">
        <v>27</v>
      </c>
      <c r="F571" s="4">
        <v>15416.24</v>
      </c>
      <c r="G571" s="5">
        <v>4</v>
      </c>
      <c r="H571" t="s">
        <v>15</v>
      </c>
      <c r="I571" t="str">
        <f t="shared" si="32"/>
        <v>2024-05</v>
      </c>
      <c r="J571" s="4">
        <f t="shared" si="33"/>
        <v>3854.06</v>
      </c>
      <c r="K571" t="str" cm="1">
        <f t="array" ref="K571">_xlfn.IFS(G571&lt;=5, "Small", G571&lt;=15, "Medium", G571&gt;15, "Large")</f>
        <v>Small</v>
      </c>
      <c r="L571" t="str">
        <f t="shared" si="34"/>
        <v>Standard</v>
      </c>
      <c r="M571" t="str">
        <f t="shared" si="35"/>
        <v>Weekday</v>
      </c>
    </row>
    <row r="572" spans="1:13" x14ac:dyDescent="0.35">
      <c r="A572" t="s">
        <v>627</v>
      </c>
      <c r="B572" s="1">
        <v>45494</v>
      </c>
      <c r="C572" t="s">
        <v>48</v>
      </c>
      <c r="D572" t="s">
        <v>31</v>
      </c>
      <c r="E572" t="s">
        <v>11</v>
      </c>
      <c r="F572" s="4">
        <v>5563.99</v>
      </c>
      <c r="G572" s="5">
        <v>2</v>
      </c>
      <c r="H572" t="s">
        <v>15</v>
      </c>
      <c r="I572" t="str">
        <f t="shared" si="32"/>
        <v>2024-07</v>
      </c>
      <c r="J572" s="4">
        <f t="shared" si="33"/>
        <v>2781.9949999999999</v>
      </c>
      <c r="K572" t="str" cm="1">
        <f t="array" ref="K572">_xlfn.IFS(G572&lt;=5, "Small", G572&lt;=15, "Medium", G572&gt;15, "Large")</f>
        <v>Small</v>
      </c>
      <c r="L572" t="str">
        <f t="shared" si="34"/>
        <v>Standard</v>
      </c>
      <c r="M572" t="str">
        <f t="shared" si="35"/>
        <v>Weekend</v>
      </c>
    </row>
    <row r="573" spans="1:13" x14ac:dyDescent="0.35">
      <c r="A573" t="s">
        <v>628</v>
      </c>
      <c r="B573" s="1">
        <v>45619</v>
      </c>
      <c r="C573" t="s">
        <v>89</v>
      </c>
      <c r="D573" t="s">
        <v>21</v>
      </c>
      <c r="E573" t="s">
        <v>27</v>
      </c>
      <c r="F573" s="4">
        <v>10800.94</v>
      </c>
      <c r="G573" s="5">
        <v>3</v>
      </c>
      <c r="H573" t="s">
        <v>15</v>
      </c>
      <c r="I573" t="str">
        <f t="shared" si="32"/>
        <v>2024-11</v>
      </c>
      <c r="J573" s="4">
        <f t="shared" si="33"/>
        <v>3600.3133333333335</v>
      </c>
      <c r="K573" t="str" cm="1">
        <f t="array" ref="K573">_xlfn.IFS(G573&lt;=5, "Small", G573&lt;=15, "Medium", G573&gt;15, "Large")</f>
        <v>Small</v>
      </c>
      <c r="L573" t="str">
        <f t="shared" si="34"/>
        <v>Standard</v>
      </c>
      <c r="M573" t="str">
        <f t="shared" si="35"/>
        <v>Weekend</v>
      </c>
    </row>
    <row r="574" spans="1:13" x14ac:dyDescent="0.35">
      <c r="A574" t="s">
        <v>629</v>
      </c>
      <c r="B574" s="1">
        <v>45351</v>
      </c>
      <c r="C574" t="s">
        <v>126</v>
      </c>
      <c r="D574" t="s">
        <v>21</v>
      </c>
      <c r="E574" t="s">
        <v>18</v>
      </c>
      <c r="F574" s="4">
        <v>346.97</v>
      </c>
      <c r="G574" s="5">
        <v>7</v>
      </c>
      <c r="H574" t="s">
        <v>15</v>
      </c>
      <c r="I574" t="str">
        <f t="shared" si="32"/>
        <v>2024-02</v>
      </c>
      <c r="J574" s="4">
        <f t="shared" si="33"/>
        <v>49.567142857142862</v>
      </c>
      <c r="K574" t="str" cm="1">
        <f t="array" ref="K574">_xlfn.IFS(G574&lt;=5, "Small", G574&lt;=15, "Medium", G574&gt;15, "Large")</f>
        <v>Medium</v>
      </c>
      <c r="L574" t="str">
        <f t="shared" si="34"/>
        <v>Standard</v>
      </c>
      <c r="M574" t="str">
        <f t="shared" si="35"/>
        <v>Weekday</v>
      </c>
    </row>
    <row r="575" spans="1:13" x14ac:dyDescent="0.35">
      <c r="A575" t="s">
        <v>630</v>
      </c>
      <c r="B575" s="1">
        <v>45479</v>
      </c>
      <c r="C575" t="s">
        <v>60</v>
      </c>
      <c r="D575" t="s">
        <v>21</v>
      </c>
      <c r="E575" t="s">
        <v>11</v>
      </c>
      <c r="F575" s="4">
        <v>17914.14</v>
      </c>
      <c r="G575" s="5">
        <v>6</v>
      </c>
      <c r="H575" t="s">
        <v>15</v>
      </c>
      <c r="I575" t="str">
        <f t="shared" si="32"/>
        <v>2024-07</v>
      </c>
      <c r="J575" s="4">
        <f t="shared" si="33"/>
        <v>2985.69</v>
      </c>
      <c r="K575" t="str" cm="1">
        <f t="array" ref="K575">_xlfn.IFS(G575&lt;=5, "Small", G575&lt;=15, "Medium", G575&gt;15, "Large")</f>
        <v>Medium</v>
      </c>
      <c r="L575" t="str">
        <f t="shared" si="34"/>
        <v>Standard</v>
      </c>
      <c r="M575" t="str">
        <f t="shared" si="35"/>
        <v>Weekend</v>
      </c>
    </row>
    <row r="576" spans="1:13" x14ac:dyDescent="0.35">
      <c r="A576" t="s">
        <v>631</v>
      </c>
      <c r="B576" s="1">
        <v>45428</v>
      </c>
      <c r="C576" t="s">
        <v>175</v>
      </c>
      <c r="D576" t="s">
        <v>21</v>
      </c>
      <c r="E576" t="s">
        <v>27</v>
      </c>
      <c r="F576" s="4">
        <v>19697.96</v>
      </c>
      <c r="G576" s="5">
        <v>1</v>
      </c>
      <c r="H576" t="s">
        <v>15</v>
      </c>
      <c r="I576" t="str">
        <f t="shared" si="32"/>
        <v>2024-05</v>
      </c>
      <c r="J576" s="4">
        <f t="shared" si="33"/>
        <v>19697.96</v>
      </c>
      <c r="K576" t="str" cm="1">
        <f t="array" ref="K576">_xlfn.IFS(G576&lt;=5, "Small", G576&lt;=15, "Medium", G576&gt;15, "Large")</f>
        <v>Small</v>
      </c>
      <c r="L576" t="str">
        <f t="shared" si="34"/>
        <v>Standard</v>
      </c>
      <c r="M576" t="str">
        <f t="shared" si="35"/>
        <v>Weekday</v>
      </c>
    </row>
    <row r="577" spans="1:13" x14ac:dyDescent="0.35">
      <c r="A577" t="s">
        <v>632</v>
      </c>
      <c r="B577" s="1">
        <v>45396</v>
      </c>
      <c r="C577" t="s">
        <v>42</v>
      </c>
      <c r="D577" t="s">
        <v>10</v>
      </c>
      <c r="E577" t="s">
        <v>11</v>
      </c>
      <c r="F577" s="4">
        <v>17004.2</v>
      </c>
      <c r="G577" s="5">
        <v>8</v>
      </c>
      <c r="H577" t="s">
        <v>15</v>
      </c>
      <c r="I577" t="str">
        <f t="shared" si="32"/>
        <v>2024-04</v>
      </c>
      <c r="J577" s="4">
        <f t="shared" si="33"/>
        <v>2125.5250000000001</v>
      </c>
      <c r="K577" t="str" cm="1">
        <f t="array" ref="K577">_xlfn.IFS(G577&lt;=5, "Small", G577&lt;=15, "Medium", G577&gt;15, "Large")</f>
        <v>Medium</v>
      </c>
      <c r="L577" t="str">
        <f t="shared" si="34"/>
        <v>Standard</v>
      </c>
      <c r="M577" t="str">
        <f t="shared" si="35"/>
        <v>Weekend</v>
      </c>
    </row>
    <row r="578" spans="1:13" x14ac:dyDescent="0.35">
      <c r="A578" t="s">
        <v>633</v>
      </c>
      <c r="B578" s="1">
        <v>45439</v>
      </c>
      <c r="C578" t="s">
        <v>91</v>
      </c>
      <c r="D578" t="s">
        <v>26</v>
      </c>
      <c r="E578" t="s">
        <v>11</v>
      </c>
      <c r="F578" s="4">
        <v>9678.14</v>
      </c>
      <c r="G578" s="5">
        <v>7</v>
      </c>
      <c r="H578" t="s">
        <v>15</v>
      </c>
      <c r="I578" t="str">
        <f t="shared" si="32"/>
        <v>2024-05</v>
      </c>
      <c r="J578" s="4">
        <f t="shared" si="33"/>
        <v>1382.5914285714284</v>
      </c>
      <c r="K578" t="str" cm="1">
        <f t="array" ref="K578">_xlfn.IFS(G578&lt;=5, "Small", G578&lt;=15, "Medium", G578&gt;15, "Large")</f>
        <v>Medium</v>
      </c>
      <c r="L578" t="str">
        <f t="shared" si="34"/>
        <v>Standard</v>
      </c>
      <c r="M578" t="str">
        <f t="shared" si="35"/>
        <v>Weekday</v>
      </c>
    </row>
    <row r="579" spans="1:13" x14ac:dyDescent="0.35">
      <c r="A579" t="s">
        <v>634</v>
      </c>
      <c r="B579" s="1">
        <v>45345</v>
      </c>
      <c r="C579" t="s">
        <v>253</v>
      </c>
      <c r="D579" t="s">
        <v>21</v>
      </c>
      <c r="E579" t="s">
        <v>27</v>
      </c>
      <c r="F579" s="4">
        <v>0</v>
      </c>
      <c r="G579" s="5">
        <v>3</v>
      </c>
      <c r="H579" t="s">
        <v>28</v>
      </c>
      <c r="I579" t="str">
        <f t="shared" ref="I579:I642" si="36">TEXT(B579, "YYYY-MM")</f>
        <v>2024-02</v>
      </c>
      <c r="J579" s="4">
        <f t="shared" ref="J579:J642" si="37">IFERROR(F579/G579, 0)</f>
        <v>0</v>
      </c>
      <c r="K579" t="str" cm="1">
        <f t="array" ref="K579">_xlfn.IFS(G579&lt;=5, "Small", G579&lt;=15, "Medium", G579&gt;15, "Large")</f>
        <v>Small</v>
      </c>
      <c r="L579" t="str">
        <f t="shared" ref="L579:L642" si="38">IF(F579&gt;_xlfn.PERCENTILE.INC($F$2:$F$10000, 0.9), "VIP", "Standard")</f>
        <v>Standard</v>
      </c>
      <c r="M579" t="str">
        <f t="shared" ref="M579:M642" si="39">IF(WEEKDAY(B579, 2)&gt;5, "Weekend", "Weekday")</f>
        <v>Weekday</v>
      </c>
    </row>
    <row r="580" spans="1:13" x14ac:dyDescent="0.35">
      <c r="A580" t="s">
        <v>635</v>
      </c>
      <c r="B580" s="1">
        <v>45222</v>
      </c>
      <c r="C580" t="s">
        <v>177</v>
      </c>
      <c r="D580" t="s">
        <v>26</v>
      </c>
      <c r="E580" t="s">
        <v>27</v>
      </c>
      <c r="F580" s="4">
        <v>11339.03</v>
      </c>
      <c r="G580" s="5">
        <v>5</v>
      </c>
      <c r="H580" t="s">
        <v>15</v>
      </c>
      <c r="I580" t="str">
        <f t="shared" si="36"/>
        <v>2023-10</v>
      </c>
      <c r="J580" s="4">
        <f t="shared" si="37"/>
        <v>2267.806</v>
      </c>
      <c r="K580" t="str" cm="1">
        <f t="array" ref="K580">_xlfn.IFS(G580&lt;=5, "Small", G580&lt;=15, "Medium", G580&gt;15, "Large")</f>
        <v>Small</v>
      </c>
      <c r="L580" t="str">
        <f t="shared" si="38"/>
        <v>Standard</v>
      </c>
      <c r="M580" t="str">
        <f t="shared" si="39"/>
        <v>Weekday</v>
      </c>
    </row>
    <row r="581" spans="1:13" x14ac:dyDescent="0.35">
      <c r="A581" t="s">
        <v>636</v>
      </c>
      <c r="B581" s="1">
        <v>45324</v>
      </c>
      <c r="C581" t="s">
        <v>241</v>
      </c>
      <c r="D581" t="s">
        <v>31</v>
      </c>
      <c r="E581" t="s">
        <v>18</v>
      </c>
      <c r="F581" s="4">
        <v>1373.8</v>
      </c>
      <c r="G581" s="5">
        <v>6</v>
      </c>
      <c r="H581" t="s">
        <v>15</v>
      </c>
      <c r="I581" t="str">
        <f t="shared" si="36"/>
        <v>2024-02</v>
      </c>
      <c r="J581" s="4">
        <f t="shared" si="37"/>
        <v>228.96666666666667</v>
      </c>
      <c r="K581" t="str" cm="1">
        <f t="array" ref="K581">_xlfn.IFS(G581&lt;=5, "Small", G581&lt;=15, "Medium", G581&gt;15, "Large")</f>
        <v>Medium</v>
      </c>
      <c r="L581" t="str">
        <f t="shared" si="38"/>
        <v>Standard</v>
      </c>
      <c r="M581" t="str">
        <f t="shared" si="39"/>
        <v>Weekday</v>
      </c>
    </row>
    <row r="582" spans="1:13" x14ac:dyDescent="0.35">
      <c r="A582" t="s">
        <v>637</v>
      </c>
      <c r="B582" s="1">
        <v>45125</v>
      </c>
      <c r="C582" t="s">
        <v>53</v>
      </c>
      <c r="D582" t="s">
        <v>31</v>
      </c>
      <c r="E582" t="s">
        <v>18</v>
      </c>
      <c r="F582" s="4">
        <v>0</v>
      </c>
      <c r="G582" s="5">
        <v>6</v>
      </c>
      <c r="H582" t="s">
        <v>28</v>
      </c>
      <c r="I582" t="str">
        <f t="shared" si="36"/>
        <v>2023-07</v>
      </c>
      <c r="J582" s="4">
        <f t="shared" si="37"/>
        <v>0</v>
      </c>
      <c r="K582" t="str" cm="1">
        <f t="array" ref="K582">_xlfn.IFS(G582&lt;=5, "Small", G582&lt;=15, "Medium", G582&gt;15, "Large")</f>
        <v>Medium</v>
      </c>
      <c r="L582" t="str">
        <f t="shared" si="38"/>
        <v>Standard</v>
      </c>
      <c r="M582" t="str">
        <f t="shared" si="39"/>
        <v>Weekday</v>
      </c>
    </row>
    <row r="583" spans="1:13" x14ac:dyDescent="0.35">
      <c r="A583" t="s">
        <v>638</v>
      </c>
      <c r="B583" s="1">
        <v>44992</v>
      </c>
      <c r="C583" t="s">
        <v>9</v>
      </c>
      <c r="D583" t="s">
        <v>10</v>
      </c>
      <c r="E583" t="s">
        <v>18</v>
      </c>
      <c r="F583" s="4">
        <v>832.08</v>
      </c>
      <c r="G583" s="5">
        <v>18</v>
      </c>
      <c r="H583" t="s">
        <v>15</v>
      </c>
      <c r="I583" t="str">
        <f t="shared" si="36"/>
        <v>2023-03</v>
      </c>
      <c r="J583" s="4">
        <f t="shared" si="37"/>
        <v>46.226666666666667</v>
      </c>
      <c r="K583" t="str" cm="1">
        <f t="array" ref="K583">_xlfn.IFS(G583&lt;=5, "Small", G583&lt;=15, "Medium", G583&gt;15, "Large")</f>
        <v>Large</v>
      </c>
      <c r="L583" t="str">
        <f t="shared" si="38"/>
        <v>Standard</v>
      </c>
      <c r="M583" t="str">
        <f t="shared" si="39"/>
        <v>Weekday</v>
      </c>
    </row>
    <row r="584" spans="1:13" x14ac:dyDescent="0.35">
      <c r="A584" t="s">
        <v>639</v>
      </c>
      <c r="B584" s="1">
        <v>45447</v>
      </c>
      <c r="C584" t="s">
        <v>111</v>
      </c>
      <c r="D584" t="s">
        <v>31</v>
      </c>
      <c r="E584" t="s">
        <v>27</v>
      </c>
      <c r="F584" s="4">
        <v>35809.300000000003</v>
      </c>
      <c r="G584" s="5">
        <v>2</v>
      </c>
      <c r="H584" t="s">
        <v>15</v>
      </c>
      <c r="I584" t="str">
        <f t="shared" si="36"/>
        <v>2024-06</v>
      </c>
      <c r="J584" s="4">
        <f t="shared" si="37"/>
        <v>17904.650000000001</v>
      </c>
      <c r="K584" t="str" cm="1">
        <f t="array" ref="K584">_xlfn.IFS(G584&lt;=5, "Small", G584&lt;=15, "Medium", G584&gt;15, "Large")</f>
        <v>Small</v>
      </c>
      <c r="L584" t="str">
        <f t="shared" si="38"/>
        <v>VIP</v>
      </c>
      <c r="M584" t="str">
        <f t="shared" si="39"/>
        <v>Weekday</v>
      </c>
    </row>
    <row r="585" spans="1:13" x14ac:dyDescent="0.35">
      <c r="A585" t="s">
        <v>640</v>
      </c>
      <c r="B585" s="1">
        <v>45639</v>
      </c>
      <c r="C585" t="s">
        <v>23</v>
      </c>
      <c r="D585" t="s">
        <v>21</v>
      </c>
      <c r="E585" t="s">
        <v>18</v>
      </c>
      <c r="F585" s="4">
        <v>2426.5100000000002</v>
      </c>
      <c r="G585" s="5">
        <v>16</v>
      </c>
      <c r="H585" t="s">
        <v>15</v>
      </c>
      <c r="I585" t="str">
        <f t="shared" si="36"/>
        <v>2024-12</v>
      </c>
      <c r="J585" s="4">
        <f t="shared" si="37"/>
        <v>151.65687500000001</v>
      </c>
      <c r="K585" t="str" cm="1">
        <f t="array" ref="K585">_xlfn.IFS(G585&lt;=5, "Small", G585&lt;=15, "Medium", G585&gt;15, "Large")</f>
        <v>Large</v>
      </c>
      <c r="L585" t="str">
        <f t="shared" si="38"/>
        <v>Standard</v>
      </c>
      <c r="M585" t="str">
        <f t="shared" si="39"/>
        <v>Weekday</v>
      </c>
    </row>
    <row r="586" spans="1:13" x14ac:dyDescent="0.35">
      <c r="A586" t="s">
        <v>641</v>
      </c>
      <c r="B586" s="1">
        <v>45632</v>
      </c>
      <c r="C586" t="s">
        <v>53</v>
      </c>
      <c r="D586" t="s">
        <v>31</v>
      </c>
      <c r="E586" t="s">
        <v>18</v>
      </c>
      <c r="F586" s="4">
        <v>56.2</v>
      </c>
      <c r="G586" s="5">
        <v>23</v>
      </c>
      <c r="H586" t="s">
        <v>15</v>
      </c>
      <c r="I586" t="str">
        <f t="shared" si="36"/>
        <v>2024-12</v>
      </c>
      <c r="J586" s="4">
        <f t="shared" si="37"/>
        <v>2.4434782608695653</v>
      </c>
      <c r="K586" t="str" cm="1">
        <f t="array" ref="K586">_xlfn.IFS(G586&lt;=5, "Small", G586&lt;=15, "Medium", G586&gt;15, "Large")</f>
        <v>Large</v>
      </c>
      <c r="L586" t="str">
        <f t="shared" si="38"/>
        <v>Standard</v>
      </c>
      <c r="M586" t="str">
        <f t="shared" si="39"/>
        <v>Weekday</v>
      </c>
    </row>
    <row r="587" spans="1:13" x14ac:dyDescent="0.35">
      <c r="A587" t="s">
        <v>642</v>
      </c>
      <c r="B587" s="1">
        <v>45536</v>
      </c>
      <c r="C587" t="s">
        <v>33</v>
      </c>
      <c r="D587" t="s">
        <v>10</v>
      </c>
      <c r="E587" t="s">
        <v>11</v>
      </c>
      <c r="F587" s="4">
        <v>11689.83</v>
      </c>
      <c r="G587" s="5">
        <v>6</v>
      </c>
      <c r="H587" t="s">
        <v>15</v>
      </c>
      <c r="I587" t="str">
        <f t="shared" si="36"/>
        <v>2024-09</v>
      </c>
      <c r="J587" s="4">
        <f t="shared" si="37"/>
        <v>1948.3050000000001</v>
      </c>
      <c r="K587" t="str" cm="1">
        <f t="array" ref="K587">_xlfn.IFS(G587&lt;=5, "Small", G587&lt;=15, "Medium", G587&gt;15, "Large")</f>
        <v>Medium</v>
      </c>
      <c r="L587" t="str">
        <f t="shared" si="38"/>
        <v>Standard</v>
      </c>
      <c r="M587" t="str">
        <f t="shared" si="39"/>
        <v>Weekend</v>
      </c>
    </row>
    <row r="588" spans="1:13" x14ac:dyDescent="0.35">
      <c r="A588" t="s">
        <v>643</v>
      </c>
      <c r="B588" s="1">
        <v>45325</v>
      </c>
      <c r="C588" t="s">
        <v>48</v>
      </c>
      <c r="D588" t="s">
        <v>31</v>
      </c>
      <c r="E588" t="s">
        <v>18</v>
      </c>
      <c r="F588" s="4">
        <v>0</v>
      </c>
      <c r="G588" s="5">
        <v>23</v>
      </c>
      <c r="H588" t="s">
        <v>28</v>
      </c>
      <c r="I588" t="str">
        <f t="shared" si="36"/>
        <v>2024-02</v>
      </c>
      <c r="J588" s="4">
        <f t="shared" si="37"/>
        <v>0</v>
      </c>
      <c r="K588" t="str" cm="1">
        <f t="array" ref="K588">_xlfn.IFS(G588&lt;=5, "Small", G588&lt;=15, "Medium", G588&gt;15, "Large")</f>
        <v>Large</v>
      </c>
      <c r="L588" t="str">
        <f t="shared" si="38"/>
        <v>Standard</v>
      </c>
      <c r="M588" t="str">
        <f t="shared" si="39"/>
        <v>Weekend</v>
      </c>
    </row>
    <row r="589" spans="1:13" x14ac:dyDescent="0.35">
      <c r="A589" t="s">
        <v>644</v>
      </c>
      <c r="B589" s="1">
        <v>45447</v>
      </c>
      <c r="C589" t="s">
        <v>82</v>
      </c>
      <c r="D589" t="s">
        <v>10</v>
      </c>
      <c r="E589" t="s">
        <v>27</v>
      </c>
      <c r="F589" s="4">
        <v>32946.6</v>
      </c>
      <c r="G589" s="5">
        <v>4</v>
      </c>
      <c r="H589" t="s">
        <v>15</v>
      </c>
      <c r="I589" t="str">
        <f t="shared" si="36"/>
        <v>2024-06</v>
      </c>
      <c r="J589" s="4">
        <f t="shared" si="37"/>
        <v>8236.65</v>
      </c>
      <c r="K589" t="str" cm="1">
        <f t="array" ref="K589">_xlfn.IFS(G589&lt;=5, "Small", G589&lt;=15, "Medium", G589&gt;15, "Large")</f>
        <v>Small</v>
      </c>
      <c r="L589" t="str">
        <f t="shared" si="38"/>
        <v>VIP</v>
      </c>
      <c r="M589" t="str">
        <f t="shared" si="39"/>
        <v>Weekday</v>
      </c>
    </row>
    <row r="590" spans="1:13" x14ac:dyDescent="0.35">
      <c r="A590" t="s">
        <v>645</v>
      </c>
      <c r="B590" s="1">
        <v>45360</v>
      </c>
      <c r="C590" t="s">
        <v>23</v>
      </c>
      <c r="D590" t="s">
        <v>26</v>
      </c>
      <c r="E590" t="s">
        <v>18</v>
      </c>
      <c r="F590" s="4">
        <v>0</v>
      </c>
      <c r="G590" s="5">
        <v>17</v>
      </c>
      <c r="H590" t="s">
        <v>28</v>
      </c>
      <c r="I590" t="str">
        <f t="shared" si="36"/>
        <v>2024-03</v>
      </c>
      <c r="J590" s="4">
        <f t="shared" si="37"/>
        <v>0</v>
      </c>
      <c r="K590" t="str" cm="1">
        <f t="array" ref="K590">_xlfn.IFS(G590&lt;=5, "Small", G590&lt;=15, "Medium", G590&gt;15, "Large")</f>
        <v>Large</v>
      </c>
      <c r="L590" t="str">
        <f t="shared" si="38"/>
        <v>Standard</v>
      </c>
      <c r="M590" t="str">
        <f t="shared" si="39"/>
        <v>Weekend</v>
      </c>
    </row>
    <row r="591" spans="1:13" x14ac:dyDescent="0.35">
      <c r="A591" t="s">
        <v>646</v>
      </c>
      <c r="B591" s="1">
        <v>45326</v>
      </c>
      <c r="C591" t="s">
        <v>30</v>
      </c>
      <c r="D591" t="s">
        <v>31</v>
      </c>
      <c r="E591" t="s">
        <v>11</v>
      </c>
      <c r="F591" s="4">
        <v>16106.3</v>
      </c>
      <c r="G591" s="5">
        <v>5</v>
      </c>
      <c r="H591" t="s">
        <v>15</v>
      </c>
      <c r="I591" t="str">
        <f t="shared" si="36"/>
        <v>2024-02</v>
      </c>
      <c r="J591" s="4">
        <f t="shared" si="37"/>
        <v>3221.2599999999998</v>
      </c>
      <c r="K591" t="str" cm="1">
        <f t="array" ref="K591">_xlfn.IFS(G591&lt;=5, "Small", G591&lt;=15, "Medium", G591&gt;15, "Large")</f>
        <v>Small</v>
      </c>
      <c r="L591" t="str">
        <f t="shared" si="38"/>
        <v>Standard</v>
      </c>
      <c r="M591" t="str">
        <f t="shared" si="39"/>
        <v>Weekend</v>
      </c>
    </row>
    <row r="592" spans="1:13" x14ac:dyDescent="0.35">
      <c r="A592" t="s">
        <v>647</v>
      </c>
      <c r="B592" s="1">
        <v>45177</v>
      </c>
      <c r="C592" t="s">
        <v>78</v>
      </c>
      <c r="D592" t="s">
        <v>31</v>
      </c>
      <c r="E592" t="s">
        <v>11</v>
      </c>
      <c r="F592" s="4">
        <v>16588.009999999998</v>
      </c>
      <c r="G592" s="5">
        <v>3</v>
      </c>
      <c r="H592" t="s">
        <v>15</v>
      </c>
      <c r="I592" t="str">
        <f t="shared" si="36"/>
        <v>2023-09</v>
      </c>
      <c r="J592" s="4">
        <f t="shared" si="37"/>
        <v>5529.3366666666661</v>
      </c>
      <c r="K592" t="str" cm="1">
        <f t="array" ref="K592">_xlfn.IFS(G592&lt;=5, "Small", G592&lt;=15, "Medium", G592&gt;15, "Large")</f>
        <v>Small</v>
      </c>
      <c r="L592" t="str">
        <f t="shared" si="38"/>
        <v>Standard</v>
      </c>
      <c r="M592" t="str">
        <f t="shared" si="39"/>
        <v>Weekday</v>
      </c>
    </row>
    <row r="593" spans="1:13" x14ac:dyDescent="0.35">
      <c r="A593" t="s">
        <v>648</v>
      </c>
      <c r="B593" s="1">
        <v>45528</v>
      </c>
      <c r="C593" t="s">
        <v>162</v>
      </c>
      <c r="D593" t="s">
        <v>26</v>
      </c>
      <c r="E593" t="s">
        <v>27</v>
      </c>
      <c r="F593" s="4">
        <v>39230.74</v>
      </c>
      <c r="G593" s="5">
        <v>3</v>
      </c>
      <c r="H593" t="s">
        <v>15</v>
      </c>
      <c r="I593" t="str">
        <f t="shared" si="36"/>
        <v>2024-08</v>
      </c>
      <c r="J593" s="4">
        <f t="shared" si="37"/>
        <v>13076.913333333332</v>
      </c>
      <c r="K593" t="str" cm="1">
        <f t="array" ref="K593">_xlfn.IFS(G593&lt;=5, "Small", G593&lt;=15, "Medium", G593&gt;15, "Large")</f>
        <v>Small</v>
      </c>
      <c r="L593" t="str">
        <f t="shared" si="38"/>
        <v>VIP</v>
      </c>
      <c r="M593" t="str">
        <f t="shared" si="39"/>
        <v>Weekend</v>
      </c>
    </row>
    <row r="594" spans="1:13" x14ac:dyDescent="0.35">
      <c r="A594" t="s">
        <v>649</v>
      </c>
      <c r="B594" s="1">
        <v>45572</v>
      </c>
      <c r="C594" t="s">
        <v>72</v>
      </c>
      <c r="D594" t="s">
        <v>26</v>
      </c>
      <c r="E594" t="s">
        <v>11</v>
      </c>
      <c r="F594" s="4">
        <v>0</v>
      </c>
      <c r="G594" s="5">
        <v>5</v>
      </c>
      <c r="H594" t="s">
        <v>12</v>
      </c>
      <c r="I594" t="str">
        <f t="shared" si="36"/>
        <v>2024-10</v>
      </c>
      <c r="J594" s="4">
        <f t="shared" si="37"/>
        <v>0</v>
      </c>
      <c r="K594" t="str" cm="1">
        <f t="array" ref="K594">_xlfn.IFS(G594&lt;=5, "Small", G594&lt;=15, "Medium", G594&gt;15, "Large")</f>
        <v>Small</v>
      </c>
      <c r="L594" t="str">
        <f t="shared" si="38"/>
        <v>Standard</v>
      </c>
      <c r="M594" t="str">
        <f t="shared" si="39"/>
        <v>Weekday</v>
      </c>
    </row>
    <row r="595" spans="1:13" x14ac:dyDescent="0.35">
      <c r="A595" t="s">
        <v>650</v>
      </c>
      <c r="B595" s="1">
        <v>45504</v>
      </c>
      <c r="C595" t="s">
        <v>50</v>
      </c>
      <c r="D595" t="s">
        <v>26</v>
      </c>
      <c r="E595" t="s">
        <v>27</v>
      </c>
      <c r="F595" s="4">
        <v>21305.56</v>
      </c>
      <c r="G595" s="5">
        <v>5</v>
      </c>
      <c r="H595" t="s">
        <v>15</v>
      </c>
      <c r="I595" t="str">
        <f t="shared" si="36"/>
        <v>2024-07</v>
      </c>
      <c r="J595" s="4">
        <f t="shared" si="37"/>
        <v>4261.1120000000001</v>
      </c>
      <c r="K595" t="str" cm="1">
        <f t="array" ref="K595">_xlfn.IFS(G595&lt;=5, "Small", G595&lt;=15, "Medium", G595&gt;15, "Large")</f>
        <v>Small</v>
      </c>
      <c r="L595" t="str">
        <f t="shared" si="38"/>
        <v>Standard</v>
      </c>
      <c r="M595" t="str">
        <f t="shared" si="39"/>
        <v>Weekday</v>
      </c>
    </row>
    <row r="596" spans="1:13" x14ac:dyDescent="0.35">
      <c r="A596" t="s">
        <v>651</v>
      </c>
      <c r="B596" s="1">
        <v>45072</v>
      </c>
      <c r="C596" t="s">
        <v>62</v>
      </c>
      <c r="D596" t="s">
        <v>10</v>
      </c>
      <c r="E596" t="s">
        <v>18</v>
      </c>
      <c r="F596" s="4">
        <v>792.21</v>
      </c>
      <c r="G596" s="5">
        <v>14</v>
      </c>
      <c r="H596" t="s">
        <v>15</v>
      </c>
      <c r="I596" t="str">
        <f t="shared" si="36"/>
        <v>2023-05</v>
      </c>
      <c r="J596" s="4">
        <f t="shared" si="37"/>
        <v>56.586428571428577</v>
      </c>
      <c r="K596" t="str" cm="1">
        <f t="array" ref="K596">_xlfn.IFS(G596&lt;=5, "Small", G596&lt;=15, "Medium", G596&gt;15, "Large")</f>
        <v>Medium</v>
      </c>
      <c r="L596" t="str">
        <f t="shared" si="38"/>
        <v>Standard</v>
      </c>
      <c r="M596" t="str">
        <f t="shared" si="39"/>
        <v>Weekday</v>
      </c>
    </row>
    <row r="597" spans="1:13" x14ac:dyDescent="0.35">
      <c r="A597" t="s">
        <v>652</v>
      </c>
      <c r="B597" s="1">
        <v>45582</v>
      </c>
      <c r="C597" t="s">
        <v>9</v>
      </c>
      <c r="D597" t="s">
        <v>10</v>
      </c>
      <c r="E597" t="s">
        <v>18</v>
      </c>
      <c r="F597" s="4">
        <v>2022.15</v>
      </c>
      <c r="G597" s="5">
        <v>28</v>
      </c>
      <c r="H597" t="s">
        <v>15</v>
      </c>
      <c r="I597" t="str">
        <f t="shared" si="36"/>
        <v>2024-10</v>
      </c>
      <c r="J597" s="4">
        <f t="shared" si="37"/>
        <v>72.219642857142858</v>
      </c>
      <c r="K597" t="str" cm="1">
        <f t="array" ref="K597">_xlfn.IFS(G597&lt;=5, "Small", G597&lt;=15, "Medium", G597&gt;15, "Large")</f>
        <v>Large</v>
      </c>
      <c r="L597" t="str">
        <f t="shared" si="38"/>
        <v>Standard</v>
      </c>
      <c r="M597" t="str">
        <f t="shared" si="39"/>
        <v>Weekday</v>
      </c>
    </row>
    <row r="598" spans="1:13" x14ac:dyDescent="0.35">
      <c r="A598" t="s">
        <v>653</v>
      </c>
      <c r="B598" s="1">
        <v>45394</v>
      </c>
      <c r="C598" t="s">
        <v>9</v>
      </c>
      <c r="D598" t="s">
        <v>10</v>
      </c>
      <c r="E598" t="s">
        <v>27</v>
      </c>
      <c r="F598" s="4">
        <v>36893.22</v>
      </c>
      <c r="G598" s="5">
        <v>4</v>
      </c>
      <c r="H598" t="s">
        <v>15</v>
      </c>
      <c r="I598" t="str">
        <f t="shared" si="36"/>
        <v>2024-04</v>
      </c>
      <c r="J598" s="4">
        <f t="shared" si="37"/>
        <v>9223.3050000000003</v>
      </c>
      <c r="K598" t="str" cm="1">
        <f t="array" ref="K598">_xlfn.IFS(G598&lt;=5, "Small", G598&lt;=15, "Medium", G598&gt;15, "Large")</f>
        <v>Small</v>
      </c>
      <c r="L598" t="str">
        <f t="shared" si="38"/>
        <v>VIP</v>
      </c>
      <c r="M598" t="str">
        <f t="shared" si="39"/>
        <v>Weekday</v>
      </c>
    </row>
    <row r="599" spans="1:13" x14ac:dyDescent="0.35">
      <c r="A599" t="s">
        <v>654</v>
      </c>
      <c r="B599" s="1">
        <v>45348</v>
      </c>
      <c r="C599" t="s">
        <v>30</v>
      </c>
      <c r="D599" t="s">
        <v>31</v>
      </c>
      <c r="E599" t="s">
        <v>18</v>
      </c>
      <c r="F599" s="4">
        <v>0</v>
      </c>
      <c r="G599" s="5">
        <v>8</v>
      </c>
      <c r="H599" t="s">
        <v>28</v>
      </c>
      <c r="I599" t="str">
        <f t="shared" si="36"/>
        <v>2024-02</v>
      </c>
      <c r="J599" s="4">
        <f t="shared" si="37"/>
        <v>0</v>
      </c>
      <c r="K599" t="str" cm="1">
        <f t="array" ref="K599">_xlfn.IFS(G599&lt;=5, "Small", G599&lt;=15, "Medium", G599&gt;15, "Large")</f>
        <v>Medium</v>
      </c>
      <c r="L599" t="str">
        <f t="shared" si="38"/>
        <v>Standard</v>
      </c>
      <c r="M599" t="str">
        <f t="shared" si="39"/>
        <v>Weekday</v>
      </c>
    </row>
    <row r="600" spans="1:13" x14ac:dyDescent="0.35">
      <c r="A600" t="s">
        <v>655</v>
      </c>
      <c r="B600" s="1">
        <v>45516</v>
      </c>
      <c r="C600" t="s">
        <v>48</v>
      </c>
      <c r="D600" t="s">
        <v>31</v>
      </c>
      <c r="E600" t="s">
        <v>11</v>
      </c>
      <c r="F600" s="4">
        <v>0</v>
      </c>
      <c r="G600" s="5">
        <v>8</v>
      </c>
      <c r="H600" t="s">
        <v>12</v>
      </c>
      <c r="I600" t="str">
        <f t="shared" si="36"/>
        <v>2024-08</v>
      </c>
      <c r="J600" s="4">
        <f t="shared" si="37"/>
        <v>0</v>
      </c>
      <c r="K600" t="str" cm="1">
        <f t="array" ref="K600">_xlfn.IFS(G600&lt;=5, "Small", G600&lt;=15, "Medium", G600&gt;15, "Large")</f>
        <v>Medium</v>
      </c>
      <c r="L600" t="str">
        <f t="shared" si="38"/>
        <v>Standard</v>
      </c>
      <c r="M600" t="str">
        <f t="shared" si="39"/>
        <v>Weekday</v>
      </c>
    </row>
    <row r="601" spans="1:13" x14ac:dyDescent="0.35">
      <c r="A601" t="s">
        <v>656</v>
      </c>
      <c r="B601" s="1">
        <v>44958</v>
      </c>
      <c r="C601" t="s">
        <v>9</v>
      </c>
      <c r="D601" t="s">
        <v>10</v>
      </c>
      <c r="E601" t="s">
        <v>18</v>
      </c>
      <c r="F601" s="4">
        <v>1893.24</v>
      </c>
      <c r="G601" s="5">
        <v>6</v>
      </c>
      <c r="H601" t="s">
        <v>15</v>
      </c>
      <c r="I601" t="str">
        <f t="shared" si="36"/>
        <v>2023-02</v>
      </c>
      <c r="J601" s="4">
        <f t="shared" si="37"/>
        <v>315.54000000000002</v>
      </c>
      <c r="K601" t="str" cm="1">
        <f t="array" ref="K601">_xlfn.IFS(G601&lt;=5, "Small", G601&lt;=15, "Medium", G601&gt;15, "Large")</f>
        <v>Medium</v>
      </c>
      <c r="L601" t="str">
        <f t="shared" si="38"/>
        <v>Standard</v>
      </c>
      <c r="M601" t="str">
        <f t="shared" si="39"/>
        <v>Weekday</v>
      </c>
    </row>
    <row r="602" spans="1:13" x14ac:dyDescent="0.35">
      <c r="A602" t="s">
        <v>657</v>
      </c>
      <c r="B602" s="1">
        <v>45144</v>
      </c>
      <c r="C602" t="s">
        <v>23</v>
      </c>
      <c r="D602" t="s">
        <v>21</v>
      </c>
      <c r="E602" t="s">
        <v>18</v>
      </c>
      <c r="F602" s="4">
        <v>2110.33</v>
      </c>
      <c r="G602" s="5">
        <v>3</v>
      </c>
      <c r="H602" t="s">
        <v>15</v>
      </c>
      <c r="I602" t="str">
        <f t="shared" si="36"/>
        <v>2023-08</v>
      </c>
      <c r="J602" s="4">
        <f t="shared" si="37"/>
        <v>703.44333333333327</v>
      </c>
      <c r="K602" t="str" cm="1">
        <f t="array" ref="K602">_xlfn.IFS(G602&lt;=5, "Small", G602&lt;=15, "Medium", G602&gt;15, "Large")</f>
        <v>Small</v>
      </c>
      <c r="L602" t="str">
        <f t="shared" si="38"/>
        <v>Standard</v>
      </c>
      <c r="M602" t="str">
        <f t="shared" si="39"/>
        <v>Weekend</v>
      </c>
    </row>
    <row r="603" spans="1:13" x14ac:dyDescent="0.35">
      <c r="A603" t="s">
        <v>345</v>
      </c>
      <c r="B603" s="1">
        <v>45493</v>
      </c>
      <c r="C603" t="s">
        <v>115</v>
      </c>
      <c r="D603" t="s">
        <v>10</v>
      </c>
      <c r="E603" t="s">
        <v>18</v>
      </c>
      <c r="F603" s="4">
        <v>776.67</v>
      </c>
      <c r="G603" s="5">
        <v>11</v>
      </c>
      <c r="H603" t="s">
        <v>15</v>
      </c>
      <c r="I603" t="str">
        <f t="shared" si="36"/>
        <v>2024-07</v>
      </c>
      <c r="J603" s="4">
        <f t="shared" si="37"/>
        <v>70.606363636363639</v>
      </c>
      <c r="K603" t="str" cm="1">
        <f t="array" ref="K603">_xlfn.IFS(G603&lt;=5, "Small", G603&lt;=15, "Medium", G603&gt;15, "Large")</f>
        <v>Medium</v>
      </c>
      <c r="L603" t="str">
        <f t="shared" si="38"/>
        <v>Standard</v>
      </c>
      <c r="M603" t="str">
        <f t="shared" si="39"/>
        <v>Weekend</v>
      </c>
    </row>
    <row r="604" spans="1:13" x14ac:dyDescent="0.35">
      <c r="A604" t="s">
        <v>658</v>
      </c>
      <c r="B604" s="1">
        <v>45078</v>
      </c>
      <c r="C604" t="s">
        <v>177</v>
      </c>
      <c r="D604" t="s">
        <v>26</v>
      </c>
      <c r="E604" t="s">
        <v>18</v>
      </c>
      <c r="F604" s="4">
        <v>2691.08</v>
      </c>
      <c r="G604" s="5">
        <v>28</v>
      </c>
      <c r="H604" t="s">
        <v>15</v>
      </c>
      <c r="I604" t="str">
        <f t="shared" si="36"/>
        <v>2023-06</v>
      </c>
      <c r="J604" s="4">
        <f t="shared" si="37"/>
        <v>96.11</v>
      </c>
      <c r="K604" t="str" cm="1">
        <f t="array" ref="K604">_xlfn.IFS(G604&lt;=5, "Small", G604&lt;=15, "Medium", G604&gt;15, "Large")</f>
        <v>Large</v>
      </c>
      <c r="L604" t="str">
        <f t="shared" si="38"/>
        <v>Standard</v>
      </c>
      <c r="M604" t="str">
        <f t="shared" si="39"/>
        <v>Weekday</v>
      </c>
    </row>
    <row r="605" spans="1:13" x14ac:dyDescent="0.35">
      <c r="A605" t="s">
        <v>659</v>
      </c>
      <c r="B605" s="1">
        <v>45471</v>
      </c>
      <c r="C605" t="s">
        <v>69</v>
      </c>
      <c r="D605" t="s">
        <v>31</v>
      </c>
      <c r="E605" t="s">
        <v>11</v>
      </c>
      <c r="F605" s="4">
        <v>11105.59</v>
      </c>
      <c r="G605" s="5">
        <v>5</v>
      </c>
      <c r="H605" t="s">
        <v>15</v>
      </c>
      <c r="I605" t="str">
        <f t="shared" si="36"/>
        <v>2024-06</v>
      </c>
      <c r="J605" s="4">
        <f t="shared" si="37"/>
        <v>2221.1179999999999</v>
      </c>
      <c r="K605" t="str" cm="1">
        <f t="array" ref="K605">_xlfn.IFS(G605&lt;=5, "Small", G605&lt;=15, "Medium", G605&gt;15, "Large")</f>
        <v>Small</v>
      </c>
      <c r="L605" t="str">
        <f t="shared" si="38"/>
        <v>Standard</v>
      </c>
      <c r="M605" t="str">
        <f t="shared" si="39"/>
        <v>Weekday</v>
      </c>
    </row>
    <row r="606" spans="1:13" x14ac:dyDescent="0.35">
      <c r="A606" t="s">
        <v>660</v>
      </c>
      <c r="B606" s="1">
        <v>45357</v>
      </c>
      <c r="C606" t="s">
        <v>30</v>
      </c>
      <c r="D606" t="s">
        <v>31</v>
      </c>
      <c r="E606" t="s">
        <v>11</v>
      </c>
      <c r="F606" s="4">
        <v>11323.52</v>
      </c>
      <c r="G606" s="5">
        <v>3</v>
      </c>
      <c r="H606" t="s">
        <v>15</v>
      </c>
      <c r="I606" t="str">
        <f t="shared" si="36"/>
        <v>2024-03</v>
      </c>
      <c r="J606" s="4">
        <f t="shared" si="37"/>
        <v>3774.5066666666667</v>
      </c>
      <c r="K606" t="str" cm="1">
        <f t="array" ref="K606">_xlfn.IFS(G606&lt;=5, "Small", G606&lt;=15, "Medium", G606&gt;15, "Large")</f>
        <v>Small</v>
      </c>
      <c r="L606" t="str">
        <f t="shared" si="38"/>
        <v>Standard</v>
      </c>
      <c r="M606" t="str">
        <f t="shared" si="39"/>
        <v>Weekday</v>
      </c>
    </row>
    <row r="607" spans="1:13" x14ac:dyDescent="0.35">
      <c r="A607" t="s">
        <v>661</v>
      </c>
      <c r="B607" s="1">
        <v>45655</v>
      </c>
      <c r="C607" t="s">
        <v>20</v>
      </c>
      <c r="D607" t="s">
        <v>21</v>
      </c>
      <c r="E607" t="s">
        <v>27</v>
      </c>
      <c r="F607" s="4">
        <v>26973.61</v>
      </c>
      <c r="G607" s="5">
        <v>4</v>
      </c>
      <c r="H607" t="s">
        <v>15</v>
      </c>
      <c r="I607" t="str">
        <f t="shared" si="36"/>
        <v>2024-12</v>
      </c>
      <c r="J607" s="4">
        <f t="shared" si="37"/>
        <v>6743.4025000000001</v>
      </c>
      <c r="K607" t="str" cm="1">
        <f t="array" ref="K607">_xlfn.IFS(G607&lt;=5, "Small", G607&lt;=15, "Medium", G607&gt;15, "Large")</f>
        <v>Small</v>
      </c>
      <c r="L607" t="str">
        <f t="shared" si="38"/>
        <v>Standard</v>
      </c>
      <c r="M607" t="str">
        <f t="shared" si="39"/>
        <v>Weekend</v>
      </c>
    </row>
    <row r="608" spans="1:13" x14ac:dyDescent="0.35">
      <c r="A608" t="s">
        <v>662</v>
      </c>
      <c r="B608" s="1">
        <v>45428</v>
      </c>
      <c r="C608" t="s">
        <v>30</v>
      </c>
      <c r="D608" t="s">
        <v>31</v>
      </c>
      <c r="E608" t="s">
        <v>18</v>
      </c>
      <c r="F608" s="4">
        <v>2023.95</v>
      </c>
      <c r="G608" s="5">
        <v>10</v>
      </c>
      <c r="H608" t="s">
        <v>15</v>
      </c>
      <c r="I608" t="str">
        <f t="shared" si="36"/>
        <v>2024-05</v>
      </c>
      <c r="J608" s="4">
        <f t="shared" si="37"/>
        <v>202.39500000000001</v>
      </c>
      <c r="K608" t="str" cm="1">
        <f t="array" ref="K608">_xlfn.IFS(G608&lt;=5, "Small", G608&lt;=15, "Medium", G608&gt;15, "Large")</f>
        <v>Medium</v>
      </c>
      <c r="L608" t="str">
        <f t="shared" si="38"/>
        <v>Standard</v>
      </c>
      <c r="M608" t="str">
        <f t="shared" si="39"/>
        <v>Weekday</v>
      </c>
    </row>
    <row r="609" spans="1:13" x14ac:dyDescent="0.35">
      <c r="A609" t="s">
        <v>663</v>
      </c>
      <c r="B609" s="1">
        <v>45275</v>
      </c>
      <c r="C609" t="s">
        <v>55</v>
      </c>
      <c r="D609" t="s">
        <v>10</v>
      </c>
      <c r="E609" t="s">
        <v>18</v>
      </c>
      <c r="F609" s="4">
        <v>3086.37</v>
      </c>
      <c r="G609" s="5">
        <v>18</v>
      </c>
      <c r="H609" t="s">
        <v>15</v>
      </c>
      <c r="I609" t="str">
        <f t="shared" si="36"/>
        <v>2023-12</v>
      </c>
      <c r="J609" s="4">
        <f t="shared" si="37"/>
        <v>171.465</v>
      </c>
      <c r="K609" t="str" cm="1">
        <f t="array" ref="K609">_xlfn.IFS(G609&lt;=5, "Small", G609&lt;=15, "Medium", G609&gt;15, "Large")</f>
        <v>Large</v>
      </c>
      <c r="L609" t="str">
        <f t="shared" si="38"/>
        <v>Standard</v>
      </c>
      <c r="M609" t="str">
        <f t="shared" si="39"/>
        <v>Weekday</v>
      </c>
    </row>
    <row r="610" spans="1:13" x14ac:dyDescent="0.35">
      <c r="A610" t="s">
        <v>664</v>
      </c>
      <c r="B610" s="1">
        <v>45245</v>
      </c>
      <c r="C610" t="s">
        <v>45</v>
      </c>
      <c r="D610" t="s">
        <v>21</v>
      </c>
      <c r="E610" t="s">
        <v>18</v>
      </c>
      <c r="F610" s="4">
        <v>3083.7</v>
      </c>
      <c r="G610" s="5">
        <v>1</v>
      </c>
      <c r="H610" t="s">
        <v>15</v>
      </c>
      <c r="I610" t="str">
        <f t="shared" si="36"/>
        <v>2023-11</v>
      </c>
      <c r="J610" s="4">
        <f t="shared" si="37"/>
        <v>3083.7</v>
      </c>
      <c r="K610" t="str" cm="1">
        <f t="array" ref="K610">_xlfn.IFS(G610&lt;=5, "Small", G610&lt;=15, "Medium", G610&gt;15, "Large")</f>
        <v>Small</v>
      </c>
      <c r="L610" t="str">
        <f t="shared" si="38"/>
        <v>Standard</v>
      </c>
      <c r="M610" t="str">
        <f t="shared" si="39"/>
        <v>Weekday</v>
      </c>
    </row>
    <row r="611" spans="1:13" x14ac:dyDescent="0.35">
      <c r="A611" t="s">
        <v>665</v>
      </c>
      <c r="B611" s="1">
        <v>45012</v>
      </c>
      <c r="C611" t="s">
        <v>253</v>
      </c>
      <c r="D611" t="s">
        <v>21</v>
      </c>
      <c r="E611" t="s">
        <v>18</v>
      </c>
      <c r="F611" s="4">
        <v>544.19000000000005</v>
      </c>
      <c r="G611" s="5">
        <v>7</v>
      </c>
      <c r="H611" t="s">
        <v>15</v>
      </c>
      <c r="I611" t="str">
        <f t="shared" si="36"/>
        <v>2023-03</v>
      </c>
      <c r="J611" s="4">
        <f t="shared" si="37"/>
        <v>77.741428571428585</v>
      </c>
      <c r="K611" t="str" cm="1">
        <f t="array" ref="K611">_xlfn.IFS(G611&lt;=5, "Small", G611&lt;=15, "Medium", G611&gt;15, "Large")</f>
        <v>Medium</v>
      </c>
      <c r="L611" t="str">
        <f t="shared" si="38"/>
        <v>Standard</v>
      </c>
      <c r="M611" t="str">
        <f t="shared" si="39"/>
        <v>Weekday</v>
      </c>
    </row>
    <row r="612" spans="1:13" x14ac:dyDescent="0.35">
      <c r="A612" t="s">
        <v>666</v>
      </c>
      <c r="B612" s="1">
        <v>44938</v>
      </c>
      <c r="C612" t="s">
        <v>74</v>
      </c>
      <c r="D612" t="s">
        <v>31</v>
      </c>
      <c r="E612" t="s">
        <v>11</v>
      </c>
      <c r="F612" s="4">
        <v>15378.12</v>
      </c>
      <c r="G612" s="5">
        <v>3</v>
      </c>
      <c r="H612" t="s">
        <v>15</v>
      </c>
      <c r="I612" t="str">
        <f t="shared" si="36"/>
        <v>2023-01</v>
      </c>
      <c r="J612" s="4">
        <f t="shared" si="37"/>
        <v>5126.04</v>
      </c>
      <c r="K612" t="str" cm="1">
        <f t="array" ref="K612">_xlfn.IFS(G612&lt;=5, "Small", G612&lt;=15, "Medium", G612&gt;15, "Large")</f>
        <v>Small</v>
      </c>
      <c r="L612" t="str">
        <f t="shared" si="38"/>
        <v>Standard</v>
      </c>
      <c r="M612" t="str">
        <f t="shared" si="39"/>
        <v>Weekday</v>
      </c>
    </row>
    <row r="613" spans="1:13" x14ac:dyDescent="0.35">
      <c r="A613" t="s">
        <v>667</v>
      </c>
      <c r="B613" s="1">
        <v>45328</v>
      </c>
      <c r="C613" t="s">
        <v>82</v>
      </c>
      <c r="D613" t="s">
        <v>10</v>
      </c>
      <c r="E613" t="s">
        <v>11</v>
      </c>
      <c r="F613" s="4">
        <v>0</v>
      </c>
      <c r="G613" s="5">
        <v>3</v>
      </c>
      <c r="H613" t="s">
        <v>28</v>
      </c>
      <c r="I613" t="str">
        <f t="shared" si="36"/>
        <v>2024-02</v>
      </c>
      <c r="J613" s="4">
        <f t="shared" si="37"/>
        <v>0</v>
      </c>
      <c r="K613" t="str" cm="1">
        <f t="array" ref="K613">_xlfn.IFS(G613&lt;=5, "Small", G613&lt;=15, "Medium", G613&gt;15, "Large")</f>
        <v>Small</v>
      </c>
      <c r="L613" t="str">
        <f t="shared" si="38"/>
        <v>Standard</v>
      </c>
      <c r="M613" t="str">
        <f t="shared" si="39"/>
        <v>Weekday</v>
      </c>
    </row>
    <row r="614" spans="1:13" x14ac:dyDescent="0.35">
      <c r="A614" t="s">
        <v>668</v>
      </c>
      <c r="B614" s="1">
        <v>45091</v>
      </c>
      <c r="C614" t="s">
        <v>82</v>
      </c>
      <c r="D614" t="s">
        <v>10</v>
      </c>
      <c r="E614" t="s">
        <v>27</v>
      </c>
      <c r="F614" s="4">
        <v>15410.88</v>
      </c>
      <c r="G614" s="5">
        <v>2</v>
      </c>
      <c r="H614" t="s">
        <v>15</v>
      </c>
      <c r="I614" t="str">
        <f t="shared" si="36"/>
        <v>2023-06</v>
      </c>
      <c r="J614" s="4">
        <f t="shared" si="37"/>
        <v>7705.44</v>
      </c>
      <c r="K614" t="str" cm="1">
        <f t="array" ref="K614">_xlfn.IFS(G614&lt;=5, "Small", G614&lt;=15, "Medium", G614&gt;15, "Large")</f>
        <v>Small</v>
      </c>
      <c r="L614" t="str">
        <f t="shared" si="38"/>
        <v>Standard</v>
      </c>
      <c r="M614" t="str">
        <f t="shared" si="39"/>
        <v>Weekday</v>
      </c>
    </row>
    <row r="615" spans="1:13" x14ac:dyDescent="0.35">
      <c r="A615" t="s">
        <v>669</v>
      </c>
      <c r="B615" s="1">
        <v>45037</v>
      </c>
      <c r="C615" t="s">
        <v>62</v>
      </c>
      <c r="D615" t="s">
        <v>10</v>
      </c>
      <c r="E615" t="s">
        <v>18</v>
      </c>
      <c r="F615" s="4">
        <v>1383.51</v>
      </c>
      <c r="G615" s="5">
        <v>13</v>
      </c>
      <c r="H615" t="s">
        <v>15</v>
      </c>
      <c r="I615" t="str">
        <f t="shared" si="36"/>
        <v>2023-04</v>
      </c>
      <c r="J615" s="4">
        <f t="shared" si="37"/>
        <v>106.42384615384616</v>
      </c>
      <c r="K615" t="str" cm="1">
        <f t="array" ref="K615">_xlfn.IFS(G615&lt;=5, "Small", G615&lt;=15, "Medium", G615&gt;15, "Large")</f>
        <v>Medium</v>
      </c>
      <c r="L615" t="str">
        <f t="shared" si="38"/>
        <v>Standard</v>
      </c>
      <c r="M615" t="str">
        <f t="shared" si="39"/>
        <v>Weekday</v>
      </c>
    </row>
    <row r="616" spans="1:13" x14ac:dyDescent="0.35">
      <c r="A616" t="s">
        <v>670</v>
      </c>
      <c r="B616" s="1">
        <v>45331</v>
      </c>
      <c r="C616" t="s">
        <v>91</v>
      </c>
      <c r="D616" t="s">
        <v>26</v>
      </c>
      <c r="E616" t="s">
        <v>11</v>
      </c>
      <c r="F616" s="4">
        <v>12544.97</v>
      </c>
      <c r="G616" s="5">
        <v>8</v>
      </c>
      <c r="H616" t="s">
        <v>15</v>
      </c>
      <c r="I616" t="str">
        <f t="shared" si="36"/>
        <v>2024-02</v>
      </c>
      <c r="J616" s="4">
        <f t="shared" si="37"/>
        <v>1568.1212499999999</v>
      </c>
      <c r="K616" t="str" cm="1">
        <f t="array" ref="K616">_xlfn.IFS(G616&lt;=5, "Small", G616&lt;=15, "Medium", G616&gt;15, "Large")</f>
        <v>Medium</v>
      </c>
      <c r="L616" t="str">
        <f t="shared" si="38"/>
        <v>Standard</v>
      </c>
      <c r="M616" t="str">
        <f t="shared" si="39"/>
        <v>Weekday</v>
      </c>
    </row>
    <row r="617" spans="1:13" x14ac:dyDescent="0.35">
      <c r="A617" t="s">
        <v>671</v>
      </c>
      <c r="B617" s="1">
        <v>45348</v>
      </c>
      <c r="C617" t="s">
        <v>50</v>
      </c>
      <c r="D617" t="s">
        <v>26</v>
      </c>
      <c r="E617" t="s">
        <v>18</v>
      </c>
      <c r="F617" s="4">
        <v>3269.71</v>
      </c>
      <c r="G617" s="5">
        <v>9</v>
      </c>
      <c r="H617" t="s">
        <v>15</v>
      </c>
      <c r="I617" t="str">
        <f t="shared" si="36"/>
        <v>2024-02</v>
      </c>
      <c r="J617" s="4">
        <f t="shared" si="37"/>
        <v>363.30111111111114</v>
      </c>
      <c r="K617" t="str" cm="1">
        <f t="array" ref="K617">_xlfn.IFS(G617&lt;=5, "Small", G617&lt;=15, "Medium", G617&gt;15, "Large")</f>
        <v>Medium</v>
      </c>
      <c r="L617" t="str">
        <f t="shared" si="38"/>
        <v>Standard</v>
      </c>
      <c r="M617" t="str">
        <f t="shared" si="39"/>
        <v>Weekday</v>
      </c>
    </row>
    <row r="618" spans="1:13" x14ac:dyDescent="0.35">
      <c r="A618" t="s">
        <v>672</v>
      </c>
      <c r="B618" s="1">
        <v>44956</v>
      </c>
      <c r="C618" t="s">
        <v>25</v>
      </c>
      <c r="D618" t="s">
        <v>26</v>
      </c>
      <c r="E618" t="s">
        <v>27</v>
      </c>
      <c r="F618" s="4">
        <v>22349.71</v>
      </c>
      <c r="G618" s="5">
        <v>3</v>
      </c>
      <c r="H618" t="s">
        <v>15</v>
      </c>
      <c r="I618" t="str">
        <f t="shared" si="36"/>
        <v>2023-01</v>
      </c>
      <c r="J618" s="4">
        <f t="shared" si="37"/>
        <v>7449.9033333333327</v>
      </c>
      <c r="K618" t="str" cm="1">
        <f t="array" ref="K618">_xlfn.IFS(G618&lt;=5, "Small", G618&lt;=15, "Medium", G618&gt;15, "Large")</f>
        <v>Small</v>
      </c>
      <c r="L618" t="str">
        <f t="shared" si="38"/>
        <v>Standard</v>
      </c>
      <c r="M618" t="str">
        <f t="shared" si="39"/>
        <v>Weekday</v>
      </c>
    </row>
    <row r="619" spans="1:13" x14ac:dyDescent="0.35">
      <c r="A619" t="s">
        <v>673</v>
      </c>
      <c r="B619" s="1">
        <v>44983</v>
      </c>
      <c r="C619" t="s">
        <v>37</v>
      </c>
      <c r="D619" t="s">
        <v>21</v>
      </c>
      <c r="E619" t="s">
        <v>18</v>
      </c>
      <c r="F619" s="4">
        <v>1365.8</v>
      </c>
      <c r="G619" s="5">
        <v>13</v>
      </c>
      <c r="H619" t="s">
        <v>15</v>
      </c>
      <c r="I619" t="str">
        <f t="shared" si="36"/>
        <v>2023-02</v>
      </c>
      <c r="J619" s="4">
        <f t="shared" si="37"/>
        <v>105.06153846153846</v>
      </c>
      <c r="K619" t="str" cm="1">
        <f t="array" ref="K619">_xlfn.IFS(G619&lt;=5, "Small", G619&lt;=15, "Medium", G619&gt;15, "Large")</f>
        <v>Medium</v>
      </c>
      <c r="L619" t="str">
        <f t="shared" si="38"/>
        <v>Standard</v>
      </c>
      <c r="M619" t="str">
        <f t="shared" si="39"/>
        <v>Weekend</v>
      </c>
    </row>
    <row r="620" spans="1:13" x14ac:dyDescent="0.35">
      <c r="A620" t="s">
        <v>674</v>
      </c>
      <c r="B620" s="1">
        <v>45182</v>
      </c>
      <c r="C620" t="s">
        <v>111</v>
      </c>
      <c r="D620" t="s">
        <v>31</v>
      </c>
      <c r="E620" t="s">
        <v>11</v>
      </c>
      <c r="F620" s="4">
        <v>1926.72</v>
      </c>
      <c r="G620" s="5">
        <v>7</v>
      </c>
      <c r="H620" t="s">
        <v>15</v>
      </c>
      <c r="I620" t="str">
        <f t="shared" si="36"/>
        <v>2023-09</v>
      </c>
      <c r="J620" s="4">
        <f t="shared" si="37"/>
        <v>275.24571428571431</v>
      </c>
      <c r="K620" t="str" cm="1">
        <f t="array" ref="K620">_xlfn.IFS(G620&lt;=5, "Small", G620&lt;=15, "Medium", G620&gt;15, "Large")</f>
        <v>Medium</v>
      </c>
      <c r="L620" t="str">
        <f t="shared" si="38"/>
        <v>Standard</v>
      </c>
      <c r="M620" t="str">
        <f t="shared" si="39"/>
        <v>Weekday</v>
      </c>
    </row>
    <row r="621" spans="1:13" x14ac:dyDescent="0.35">
      <c r="A621" t="s">
        <v>675</v>
      </c>
      <c r="B621" s="1">
        <v>45224</v>
      </c>
      <c r="C621" t="s">
        <v>23</v>
      </c>
      <c r="D621" t="s">
        <v>21</v>
      </c>
      <c r="E621" t="s">
        <v>11</v>
      </c>
      <c r="F621" s="4">
        <v>4694.38</v>
      </c>
      <c r="G621" s="5">
        <v>3</v>
      </c>
      <c r="H621" t="s">
        <v>15</v>
      </c>
      <c r="I621" t="str">
        <f t="shared" si="36"/>
        <v>2023-10</v>
      </c>
      <c r="J621" s="4">
        <f t="shared" si="37"/>
        <v>1564.7933333333333</v>
      </c>
      <c r="K621" t="str" cm="1">
        <f t="array" ref="K621">_xlfn.IFS(G621&lt;=5, "Small", G621&lt;=15, "Medium", G621&gt;15, "Large")</f>
        <v>Small</v>
      </c>
      <c r="L621" t="str">
        <f t="shared" si="38"/>
        <v>Standard</v>
      </c>
      <c r="M621" t="str">
        <f t="shared" si="39"/>
        <v>Weekday</v>
      </c>
    </row>
    <row r="622" spans="1:13" x14ac:dyDescent="0.35">
      <c r="A622" t="s">
        <v>676</v>
      </c>
      <c r="B622" s="1">
        <v>45631</v>
      </c>
      <c r="C622" t="s">
        <v>175</v>
      </c>
      <c r="D622" t="s">
        <v>21</v>
      </c>
      <c r="E622" t="s">
        <v>18</v>
      </c>
      <c r="F622" s="4">
        <v>1713.35</v>
      </c>
      <c r="G622" s="5">
        <v>11</v>
      </c>
      <c r="H622" t="s">
        <v>15</v>
      </c>
      <c r="I622" t="str">
        <f t="shared" si="36"/>
        <v>2024-12</v>
      </c>
      <c r="J622" s="4">
        <f t="shared" si="37"/>
        <v>155.7590909090909</v>
      </c>
      <c r="K622" t="str" cm="1">
        <f t="array" ref="K622">_xlfn.IFS(G622&lt;=5, "Small", G622&lt;=15, "Medium", G622&gt;15, "Large")</f>
        <v>Medium</v>
      </c>
      <c r="L622" t="str">
        <f t="shared" si="38"/>
        <v>Standard</v>
      </c>
      <c r="M622" t="str">
        <f t="shared" si="39"/>
        <v>Weekday</v>
      </c>
    </row>
    <row r="623" spans="1:13" x14ac:dyDescent="0.35">
      <c r="A623" t="s">
        <v>677</v>
      </c>
      <c r="B623" s="1">
        <v>45123</v>
      </c>
      <c r="C623" t="s">
        <v>48</v>
      </c>
      <c r="D623" t="s">
        <v>31</v>
      </c>
      <c r="E623" t="s">
        <v>11</v>
      </c>
      <c r="F623" s="4">
        <v>5927.74</v>
      </c>
      <c r="G623" s="5">
        <v>7</v>
      </c>
      <c r="H623" t="s">
        <v>15</v>
      </c>
      <c r="I623" t="str">
        <f t="shared" si="36"/>
        <v>2023-07</v>
      </c>
      <c r="J623" s="4">
        <f t="shared" si="37"/>
        <v>846.81999999999994</v>
      </c>
      <c r="K623" t="str" cm="1">
        <f t="array" ref="K623">_xlfn.IFS(G623&lt;=5, "Small", G623&lt;=15, "Medium", G623&gt;15, "Large")</f>
        <v>Medium</v>
      </c>
      <c r="L623" t="str">
        <f t="shared" si="38"/>
        <v>Standard</v>
      </c>
      <c r="M623" t="str">
        <f t="shared" si="39"/>
        <v>Weekend</v>
      </c>
    </row>
    <row r="624" spans="1:13" x14ac:dyDescent="0.35">
      <c r="A624" t="s">
        <v>678</v>
      </c>
      <c r="B624" s="1">
        <v>45419</v>
      </c>
      <c r="C624" t="s">
        <v>20</v>
      </c>
      <c r="D624" t="s">
        <v>21</v>
      </c>
      <c r="E624" t="s">
        <v>11</v>
      </c>
      <c r="F624" s="4">
        <v>0</v>
      </c>
      <c r="G624" s="5">
        <v>8</v>
      </c>
      <c r="H624" t="s">
        <v>28</v>
      </c>
      <c r="I624" t="str">
        <f t="shared" si="36"/>
        <v>2024-05</v>
      </c>
      <c r="J624" s="4">
        <f t="shared" si="37"/>
        <v>0</v>
      </c>
      <c r="K624" t="str" cm="1">
        <f t="array" ref="K624">_xlfn.IFS(G624&lt;=5, "Small", G624&lt;=15, "Medium", G624&gt;15, "Large")</f>
        <v>Medium</v>
      </c>
      <c r="L624" t="str">
        <f t="shared" si="38"/>
        <v>Standard</v>
      </c>
      <c r="M624" t="str">
        <f t="shared" si="39"/>
        <v>Weekday</v>
      </c>
    </row>
    <row r="625" spans="1:13" x14ac:dyDescent="0.35">
      <c r="A625" t="s">
        <v>679</v>
      </c>
      <c r="B625" s="1">
        <v>45246</v>
      </c>
      <c r="C625" t="s">
        <v>97</v>
      </c>
      <c r="D625" t="s">
        <v>21</v>
      </c>
      <c r="E625" t="s">
        <v>11</v>
      </c>
      <c r="F625" s="4">
        <v>5443.43</v>
      </c>
      <c r="G625" s="5">
        <v>7</v>
      </c>
      <c r="H625" t="s">
        <v>15</v>
      </c>
      <c r="I625" t="str">
        <f t="shared" si="36"/>
        <v>2023-11</v>
      </c>
      <c r="J625" s="4">
        <f t="shared" si="37"/>
        <v>777.63285714285723</v>
      </c>
      <c r="K625" t="str" cm="1">
        <f t="array" ref="K625">_xlfn.IFS(G625&lt;=5, "Small", G625&lt;=15, "Medium", G625&gt;15, "Large")</f>
        <v>Medium</v>
      </c>
      <c r="L625" t="str">
        <f t="shared" si="38"/>
        <v>Standard</v>
      </c>
      <c r="M625" t="str">
        <f t="shared" si="39"/>
        <v>Weekday</v>
      </c>
    </row>
    <row r="626" spans="1:13" x14ac:dyDescent="0.35">
      <c r="A626" t="s">
        <v>680</v>
      </c>
      <c r="B626" s="1">
        <v>45060</v>
      </c>
      <c r="C626" t="s">
        <v>58</v>
      </c>
      <c r="D626" t="s">
        <v>31</v>
      </c>
      <c r="E626" t="s">
        <v>27</v>
      </c>
      <c r="F626" s="4">
        <v>40031.65</v>
      </c>
      <c r="G626" s="5">
        <v>4</v>
      </c>
      <c r="H626" t="s">
        <v>15</v>
      </c>
      <c r="I626" t="str">
        <f t="shared" si="36"/>
        <v>2023-05</v>
      </c>
      <c r="J626" s="4">
        <f t="shared" si="37"/>
        <v>10007.9125</v>
      </c>
      <c r="K626" t="str" cm="1">
        <f t="array" ref="K626">_xlfn.IFS(G626&lt;=5, "Small", G626&lt;=15, "Medium", G626&gt;15, "Large")</f>
        <v>Small</v>
      </c>
      <c r="L626" t="str">
        <f t="shared" si="38"/>
        <v>VIP</v>
      </c>
      <c r="M626" t="str">
        <f t="shared" si="39"/>
        <v>Weekend</v>
      </c>
    </row>
    <row r="627" spans="1:13" x14ac:dyDescent="0.35">
      <c r="A627" t="s">
        <v>681</v>
      </c>
      <c r="B627" s="1">
        <v>45312</v>
      </c>
      <c r="C627" t="s">
        <v>69</v>
      </c>
      <c r="D627" t="s">
        <v>31</v>
      </c>
      <c r="E627" t="s">
        <v>27</v>
      </c>
      <c r="F627" s="4">
        <v>21428.05</v>
      </c>
      <c r="G627" s="5">
        <v>5</v>
      </c>
      <c r="H627" t="s">
        <v>15</v>
      </c>
      <c r="I627" t="str">
        <f t="shared" si="36"/>
        <v>2024-01</v>
      </c>
      <c r="J627" s="4">
        <f t="shared" si="37"/>
        <v>4285.6099999999997</v>
      </c>
      <c r="K627" t="str" cm="1">
        <f t="array" ref="K627">_xlfn.IFS(G627&lt;=5, "Small", G627&lt;=15, "Medium", G627&gt;15, "Large")</f>
        <v>Small</v>
      </c>
      <c r="L627" t="str">
        <f t="shared" si="38"/>
        <v>Standard</v>
      </c>
      <c r="M627" t="str">
        <f t="shared" si="39"/>
        <v>Weekend</v>
      </c>
    </row>
    <row r="628" spans="1:13" x14ac:dyDescent="0.35">
      <c r="A628" t="s">
        <v>682</v>
      </c>
      <c r="B628" s="1">
        <v>45060</v>
      </c>
      <c r="C628" t="s">
        <v>48</v>
      </c>
      <c r="D628" t="s">
        <v>31</v>
      </c>
      <c r="E628" t="s">
        <v>27</v>
      </c>
      <c r="F628" s="4">
        <v>5658.74</v>
      </c>
      <c r="G628" s="5">
        <v>1</v>
      </c>
      <c r="H628" t="s">
        <v>15</v>
      </c>
      <c r="I628" t="str">
        <f t="shared" si="36"/>
        <v>2023-05</v>
      </c>
      <c r="J628" s="4">
        <f t="shared" si="37"/>
        <v>5658.74</v>
      </c>
      <c r="K628" t="str" cm="1">
        <f t="array" ref="K628">_xlfn.IFS(G628&lt;=5, "Small", G628&lt;=15, "Medium", G628&gt;15, "Large")</f>
        <v>Small</v>
      </c>
      <c r="L628" t="str">
        <f t="shared" si="38"/>
        <v>Standard</v>
      </c>
      <c r="M628" t="str">
        <f t="shared" si="39"/>
        <v>Weekend</v>
      </c>
    </row>
    <row r="629" spans="1:13" x14ac:dyDescent="0.35">
      <c r="A629" t="s">
        <v>683</v>
      </c>
      <c r="B629" s="1">
        <v>45541</v>
      </c>
      <c r="C629" t="s">
        <v>97</v>
      </c>
      <c r="D629" t="s">
        <v>21</v>
      </c>
      <c r="E629" t="s">
        <v>11</v>
      </c>
      <c r="F629" s="4">
        <v>10036.44</v>
      </c>
      <c r="G629" s="5">
        <v>6</v>
      </c>
      <c r="H629" t="s">
        <v>15</v>
      </c>
      <c r="I629" t="str">
        <f t="shared" si="36"/>
        <v>2024-09</v>
      </c>
      <c r="J629" s="4">
        <f t="shared" si="37"/>
        <v>1672.74</v>
      </c>
      <c r="K629" t="str" cm="1">
        <f t="array" ref="K629">_xlfn.IFS(G629&lt;=5, "Small", G629&lt;=15, "Medium", G629&gt;15, "Large")</f>
        <v>Medium</v>
      </c>
      <c r="L629" t="str">
        <f t="shared" si="38"/>
        <v>Standard</v>
      </c>
      <c r="M629" t="str">
        <f t="shared" si="39"/>
        <v>Weekday</v>
      </c>
    </row>
    <row r="630" spans="1:13" x14ac:dyDescent="0.35">
      <c r="A630" t="s">
        <v>684</v>
      </c>
      <c r="B630" s="1">
        <v>45217</v>
      </c>
      <c r="C630" t="s">
        <v>35</v>
      </c>
      <c r="D630" t="s">
        <v>31</v>
      </c>
      <c r="E630" t="s">
        <v>11</v>
      </c>
      <c r="F630" s="4">
        <v>0</v>
      </c>
      <c r="G630" s="5">
        <v>1</v>
      </c>
      <c r="H630" t="s">
        <v>28</v>
      </c>
      <c r="I630" t="str">
        <f t="shared" si="36"/>
        <v>2023-10</v>
      </c>
      <c r="J630" s="4">
        <f t="shared" si="37"/>
        <v>0</v>
      </c>
      <c r="K630" t="str" cm="1">
        <f t="array" ref="K630">_xlfn.IFS(G630&lt;=5, "Small", G630&lt;=15, "Medium", G630&gt;15, "Large")</f>
        <v>Small</v>
      </c>
      <c r="L630" t="str">
        <f t="shared" si="38"/>
        <v>Standard</v>
      </c>
      <c r="M630" t="str">
        <f t="shared" si="39"/>
        <v>Weekday</v>
      </c>
    </row>
    <row r="631" spans="1:13" x14ac:dyDescent="0.35">
      <c r="A631" t="s">
        <v>16</v>
      </c>
      <c r="B631" s="1">
        <v>45167</v>
      </c>
      <c r="C631" t="s">
        <v>17</v>
      </c>
      <c r="D631" t="s">
        <v>10</v>
      </c>
      <c r="E631" t="s">
        <v>18</v>
      </c>
      <c r="F631" s="4">
        <v>899.44</v>
      </c>
      <c r="G631" s="5">
        <v>20</v>
      </c>
      <c r="H631" t="s">
        <v>15</v>
      </c>
      <c r="I631" t="str">
        <f t="shared" si="36"/>
        <v>2023-08</v>
      </c>
      <c r="J631" s="4">
        <f t="shared" si="37"/>
        <v>44.972000000000001</v>
      </c>
      <c r="K631" t="str" cm="1">
        <f t="array" ref="K631">_xlfn.IFS(G631&lt;=5, "Small", G631&lt;=15, "Medium", G631&gt;15, "Large")</f>
        <v>Large</v>
      </c>
      <c r="L631" t="str">
        <f t="shared" si="38"/>
        <v>Standard</v>
      </c>
      <c r="M631" t="str">
        <f t="shared" si="39"/>
        <v>Weekday</v>
      </c>
    </row>
    <row r="632" spans="1:13" x14ac:dyDescent="0.35">
      <c r="A632" t="s">
        <v>685</v>
      </c>
      <c r="B632" s="1">
        <v>45340</v>
      </c>
      <c r="C632" t="s">
        <v>20</v>
      </c>
      <c r="D632" t="s">
        <v>10</v>
      </c>
      <c r="E632" t="s">
        <v>11</v>
      </c>
      <c r="F632" s="4">
        <v>9260.41</v>
      </c>
      <c r="G632" s="5">
        <v>2</v>
      </c>
      <c r="H632" t="s">
        <v>15</v>
      </c>
      <c r="I632" t="str">
        <f t="shared" si="36"/>
        <v>2024-02</v>
      </c>
      <c r="J632" s="4">
        <f t="shared" si="37"/>
        <v>4630.2049999999999</v>
      </c>
      <c r="K632" t="str" cm="1">
        <f t="array" ref="K632">_xlfn.IFS(G632&lt;=5, "Small", G632&lt;=15, "Medium", G632&gt;15, "Large")</f>
        <v>Small</v>
      </c>
      <c r="L632" t="str">
        <f t="shared" si="38"/>
        <v>Standard</v>
      </c>
      <c r="M632" t="str">
        <f t="shared" si="39"/>
        <v>Weekend</v>
      </c>
    </row>
    <row r="633" spans="1:13" x14ac:dyDescent="0.35">
      <c r="A633" t="s">
        <v>686</v>
      </c>
      <c r="B633" s="1">
        <v>44931</v>
      </c>
      <c r="C633" t="s">
        <v>175</v>
      </c>
      <c r="D633" t="s">
        <v>21</v>
      </c>
      <c r="E633" t="s">
        <v>27</v>
      </c>
      <c r="F633" s="4">
        <v>32279.200000000001</v>
      </c>
      <c r="G633" s="5">
        <v>4</v>
      </c>
      <c r="H633" t="s">
        <v>15</v>
      </c>
      <c r="I633" t="str">
        <f t="shared" si="36"/>
        <v>2023-01</v>
      </c>
      <c r="J633" s="4">
        <f t="shared" si="37"/>
        <v>8069.8</v>
      </c>
      <c r="K633" t="str" cm="1">
        <f t="array" ref="K633">_xlfn.IFS(G633&lt;=5, "Small", G633&lt;=15, "Medium", G633&gt;15, "Large")</f>
        <v>Small</v>
      </c>
      <c r="L633" t="str">
        <f t="shared" si="38"/>
        <v>VIP</v>
      </c>
      <c r="M633" t="str">
        <f t="shared" si="39"/>
        <v>Weekday</v>
      </c>
    </row>
    <row r="634" spans="1:13" x14ac:dyDescent="0.35">
      <c r="A634" t="s">
        <v>687</v>
      </c>
      <c r="B634" s="1">
        <v>45507</v>
      </c>
      <c r="C634" t="s">
        <v>48</v>
      </c>
      <c r="D634" t="s">
        <v>31</v>
      </c>
      <c r="E634" t="s">
        <v>11</v>
      </c>
      <c r="F634" s="4">
        <v>6201.88</v>
      </c>
      <c r="G634" s="5">
        <v>5</v>
      </c>
      <c r="H634" t="s">
        <v>15</v>
      </c>
      <c r="I634" t="str">
        <f t="shared" si="36"/>
        <v>2024-08</v>
      </c>
      <c r="J634" s="4">
        <f t="shared" si="37"/>
        <v>1240.376</v>
      </c>
      <c r="K634" t="str" cm="1">
        <f t="array" ref="K634">_xlfn.IFS(G634&lt;=5, "Small", G634&lt;=15, "Medium", G634&gt;15, "Large")</f>
        <v>Small</v>
      </c>
      <c r="L634" t="str">
        <f t="shared" si="38"/>
        <v>Standard</v>
      </c>
      <c r="M634" t="str">
        <f t="shared" si="39"/>
        <v>Weekend</v>
      </c>
    </row>
    <row r="635" spans="1:13" x14ac:dyDescent="0.35">
      <c r="A635" t="s">
        <v>688</v>
      </c>
      <c r="B635" s="1">
        <v>45097</v>
      </c>
      <c r="C635" t="s">
        <v>33</v>
      </c>
      <c r="D635" t="s">
        <v>10</v>
      </c>
      <c r="E635" t="s">
        <v>11</v>
      </c>
      <c r="F635" s="4">
        <v>2506.86</v>
      </c>
      <c r="G635" s="5">
        <v>2</v>
      </c>
      <c r="H635" t="s">
        <v>15</v>
      </c>
      <c r="I635" t="str">
        <f t="shared" si="36"/>
        <v>2023-06</v>
      </c>
      <c r="J635" s="4">
        <f t="shared" si="37"/>
        <v>1253.43</v>
      </c>
      <c r="K635" t="str" cm="1">
        <f t="array" ref="K635">_xlfn.IFS(G635&lt;=5, "Small", G635&lt;=15, "Medium", G635&gt;15, "Large")</f>
        <v>Small</v>
      </c>
      <c r="L635" t="str">
        <f t="shared" si="38"/>
        <v>Standard</v>
      </c>
      <c r="M635" t="str">
        <f t="shared" si="39"/>
        <v>Weekday</v>
      </c>
    </row>
    <row r="636" spans="1:13" x14ac:dyDescent="0.35">
      <c r="A636" t="s">
        <v>689</v>
      </c>
      <c r="B636" s="1">
        <v>45510</v>
      </c>
      <c r="C636" t="s">
        <v>69</v>
      </c>
      <c r="D636" t="s">
        <v>31</v>
      </c>
      <c r="E636" t="s">
        <v>18</v>
      </c>
      <c r="F636" s="4">
        <v>0</v>
      </c>
      <c r="G636" s="5">
        <v>11</v>
      </c>
      <c r="H636" t="s">
        <v>28</v>
      </c>
      <c r="I636" t="str">
        <f t="shared" si="36"/>
        <v>2024-08</v>
      </c>
      <c r="J636" s="4">
        <f t="shared" si="37"/>
        <v>0</v>
      </c>
      <c r="K636" t="str" cm="1">
        <f t="array" ref="K636">_xlfn.IFS(G636&lt;=5, "Small", G636&lt;=15, "Medium", G636&gt;15, "Large")</f>
        <v>Medium</v>
      </c>
      <c r="L636" t="str">
        <f t="shared" si="38"/>
        <v>Standard</v>
      </c>
      <c r="M636" t="str">
        <f t="shared" si="39"/>
        <v>Weekday</v>
      </c>
    </row>
    <row r="637" spans="1:13" x14ac:dyDescent="0.35">
      <c r="A637" t="s">
        <v>690</v>
      </c>
      <c r="B637" s="1">
        <v>45380</v>
      </c>
      <c r="C637" t="s">
        <v>23</v>
      </c>
      <c r="D637" t="s">
        <v>26</v>
      </c>
      <c r="E637" t="s">
        <v>11</v>
      </c>
      <c r="F637" s="4">
        <v>5625.72</v>
      </c>
      <c r="G637" s="5">
        <v>4</v>
      </c>
      <c r="H637" t="s">
        <v>15</v>
      </c>
      <c r="I637" t="str">
        <f t="shared" si="36"/>
        <v>2024-03</v>
      </c>
      <c r="J637" s="4">
        <f t="shared" si="37"/>
        <v>1406.43</v>
      </c>
      <c r="K637" t="str" cm="1">
        <f t="array" ref="K637">_xlfn.IFS(G637&lt;=5, "Small", G637&lt;=15, "Medium", G637&gt;15, "Large")</f>
        <v>Small</v>
      </c>
      <c r="L637" t="str">
        <f t="shared" si="38"/>
        <v>Standard</v>
      </c>
      <c r="M637" t="str">
        <f t="shared" si="39"/>
        <v>Weekday</v>
      </c>
    </row>
    <row r="638" spans="1:13" x14ac:dyDescent="0.35">
      <c r="A638" t="s">
        <v>691</v>
      </c>
      <c r="B638" s="1">
        <v>45317</v>
      </c>
      <c r="C638" t="s">
        <v>115</v>
      </c>
      <c r="D638" t="s">
        <v>21</v>
      </c>
      <c r="E638" t="s">
        <v>27</v>
      </c>
      <c r="F638" s="4">
        <v>12600.44</v>
      </c>
      <c r="G638" s="5">
        <v>2</v>
      </c>
      <c r="H638" t="s">
        <v>15</v>
      </c>
      <c r="I638" t="str">
        <f t="shared" si="36"/>
        <v>2024-01</v>
      </c>
      <c r="J638" s="4">
        <f t="shared" si="37"/>
        <v>6300.22</v>
      </c>
      <c r="K638" t="str" cm="1">
        <f t="array" ref="K638">_xlfn.IFS(G638&lt;=5, "Small", G638&lt;=15, "Medium", G638&gt;15, "Large")</f>
        <v>Small</v>
      </c>
      <c r="L638" t="str">
        <f t="shared" si="38"/>
        <v>Standard</v>
      </c>
      <c r="M638" t="str">
        <f t="shared" si="39"/>
        <v>Weekday</v>
      </c>
    </row>
    <row r="639" spans="1:13" x14ac:dyDescent="0.35">
      <c r="A639" t="s">
        <v>692</v>
      </c>
      <c r="B639" s="1">
        <v>45648</v>
      </c>
      <c r="C639" t="s">
        <v>45</v>
      </c>
      <c r="D639" t="s">
        <v>21</v>
      </c>
      <c r="E639" t="s">
        <v>27</v>
      </c>
      <c r="F639" s="4">
        <v>31495.61</v>
      </c>
      <c r="G639" s="5">
        <v>4</v>
      </c>
      <c r="H639" t="s">
        <v>15</v>
      </c>
      <c r="I639" t="str">
        <f t="shared" si="36"/>
        <v>2024-12</v>
      </c>
      <c r="J639" s="4">
        <f t="shared" si="37"/>
        <v>7873.9025000000001</v>
      </c>
      <c r="K639" t="str" cm="1">
        <f t="array" ref="K639">_xlfn.IFS(G639&lt;=5, "Small", G639&lt;=15, "Medium", G639&gt;15, "Large")</f>
        <v>Small</v>
      </c>
      <c r="L639" t="str">
        <f t="shared" si="38"/>
        <v>VIP</v>
      </c>
      <c r="M639" t="str">
        <f t="shared" si="39"/>
        <v>Weekend</v>
      </c>
    </row>
    <row r="640" spans="1:13" x14ac:dyDescent="0.35">
      <c r="A640" t="s">
        <v>693</v>
      </c>
      <c r="B640" s="1">
        <v>45613</v>
      </c>
      <c r="C640" t="s">
        <v>25</v>
      </c>
      <c r="D640" t="s">
        <v>26</v>
      </c>
      <c r="E640" t="s">
        <v>18</v>
      </c>
      <c r="F640" s="4">
        <v>1131.24</v>
      </c>
      <c r="G640" s="5">
        <v>13</v>
      </c>
      <c r="H640" t="s">
        <v>15</v>
      </c>
      <c r="I640" t="str">
        <f t="shared" si="36"/>
        <v>2024-11</v>
      </c>
      <c r="J640" s="4">
        <f t="shared" si="37"/>
        <v>87.018461538461537</v>
      </c>
      <c r="K640" t="str" cm="1">
        <f t="array" ref="K640">_xlfn.IFS(G640&lt;=5, "Small", G640&lt;=15, "Medium", G640&gt;15, "Large")</f>
        <v>Medium</v>
      </c>
      <c r="L640" t="str">
        <f t="shared" si="38"/>
        <v>Standard</v>
      </c>
      <c r="M640" t="str">
        <f t="shared" si="39"/>
        <v>Weekend</v>
      </c>
    </row>
    <row r="641" spans="1:13" x14ac:dyDescent="0.35">
      <c r="A641" t="s">
        <v>694</v>
      </c>
      <c r="B641" s="1">
        <v>45599</v>
      </c>
      <c r="C641" t="s">
        <v>177</v>
      </c>
      <c r="D641" t="s">
        <v>26</v>
      </c>
      <c r="E641" t="s">
        <v>27</v>
      </c>
      <c r="F641" s="4">
        <v>25482.32</v>
      </c>
      <c r="G641" s="5">
        <v>5</v>
      </c>
      <c r="H641" t="s">
        <v>15</v>
      </c>
      <c r="I641" t="str">
        <f t="shared" si="36"/>
        <v>2024-11</v>
      </c>
      <c r="J641" s="4">
        <f t="shared" si="37"/>
        <v>5096.4639999999999</v>
      </c>
      <c r="K641" t="str" cm="1">
        <f t="array" ref="K641">_xlfn.IFS(G641&lt;=5, "Small", G641&lt;=15, "Medium", G641&gt;15, "Large")</f>
        <v>Small</v>
      </c>
      <c r="L641" t="str">
        <f t="shared" si="38"/>
        <v>Standard</v>
      </c>
      <c r="M641" t="str">
        <f t="shared" si="39"/>
        <v>Weekend</v>
      </c>
    </row>
    <row r="642" spans="1:13" x14ac:dyDescent="0.35">
      <c r="A642" t="s">
        <v>695</v>
      </c>
      <c r="B642" s="1">
        <v>45012</v>
      </c>
      <c r="C642" t="s">
        <v>50</v>
      </c>
      <c r="D642" t="s">
        <v>10</v>
      </c>
      <c r="E642" t="s">
        <v>27</v>
      </c>
      <c r="F642" s="4">
        <v>24508.45</v>
      </c>
      <c r="G642" s="5">
        <v>4</v>
      </c>
      <c r="H642" t="s">
        <v>15</v>
      </c>
      <c r="I642" t="str">
        <f t="shared" si="36"/>
        <v>2023-03</v>
      </c>
      <c r="J642" s="4">
        <f t="shared" si="37"/>
        <v>6127.1125000000002</v>
      </c>
      <c r="K642" t="str" cm="1">
        <f t="array" ref="K642">_xlfn.IFS(G642&lt;=5, "Small", G642&lt;=15, "Medium", G642&gt;15, "Large")</f>
        <v>Small</v>
      </c>
      <c r="L642" t="str">
        <f t="shared" si="38"/>
        <v>Standard</v>
      </c>
      <c r="M642" t="str">
        <f t="shared" si="39"/>
        <v>Weekday</v>
      </c>
    </row>
    <row r="643" spans="1:13" x14ac:dyDescent="0.35">
      <c r="A643" t="s">
        <v>696</v>
      </c>
      <c r="B643" s="1">
        <v>45294</v>
      </c>
      <c r="C643" t="s">
        <v>50</v>
      </c>
      <c r="D643" t="s">
        <v>26</v>
      </c>
      <c r="E643" t="s">
        <v>27</v>
      </c>
      <c r="F643" s="4">
        <v>8569.0400000000009</v>
      </c>
      <c r="G643" s="5">
        <v>5</v>
      </c>
      <c r="H643" t="s">
        <v>15</v>
      </c>
      <c r="I643" t="str">
        <f t="shared" ref="I643:I706" si="40">TEXT(B643, "YYYY-MM")</f>
        <v>2024-01</v>
      </c>
      <c r="J643" s="4">
        <f t="shared" ref="J643:J706" si="41">IFERROR(F643/G643, 0)</f>
        <v>1713.8080000000002</v>
      </c>
      <c r="K643" t="str" cm="1">
        <f t="array" ref="K643">_xlfn.IFS(G643&lt;=5, "Small", G643&lt;=15, "Medium", G643&gt;15, "Large")</f>
        <v>Small</v>
      </c>
      <c r="L643" t="str">
        <f t="shared" ref="L643:L706" si="42">IF(F643&gt;_xlfn.PERCENTILE.INC($F$2:$F$10000, 0.9), "VIP", "Standard")</f>
        <v>Standard</v>
      </c>
      <c r="M643" t="str">
        <f t="shared" ref="M643:M706" si="43">IF(WEEKDAY(B643, 2)&gt;5, "Weekend", "Weekday")</f>
        <v>Weekday</v>
      </c>
    </row>
    <row r="644" spans="1:13" x14ac:dyDescent="0.35">
      <c r="A644" t="s">
        <v>697</v>
      </c>
      <c r="B644" s="1">
        <v>45257</v>
      </c>
      <c r="C644" t="s">
        <v>35</v>
      </c>
      <c r="D644" t="s">
        <v>31</v>
      </c>
      <c r="E644" t="s">
        <v>27</v>
      </c>
      <c r="F644" s="4">
        <v>10918.46</v>
      </c>
      <c r="G644" s="5">
        <v>5</v>
      </c>
      <c r="H644" t="s">
        <v>15</v>
      </c>
      <c r="I644" t="str">
        <f t="shared" si="40"/>
        <v>2023-11</v>
      </c>
      <c r="J644" s="4">
        <f t="shared" si="41"/>
        <v>2183.692</v>
      </c>
      <c r="K644" t="str" cm="1">
        <f t="array" ref="K644">_xlfn.IFS(G644&lt;=5, "Small", G644&lt;=15, "Medium", G644&gt;15, "Large")</f>
        <v>Small</v>
      </c>
      <c r="L644" t="str">
        <f t="shared" si="42"/>
        <v>Standard</v>
      </c>
      <c r="M644" t="str">
        <f t="shared" si="43"/>
        <v>Weekday</v>
      </c>
    </row>
    <row r="645" spans="1:13" x14ac:dyDescent="0.35">
      <c r="A645" t="s">
        <v>698</v>
      </c>
      <c r="B645" s="1">
        <v>45539</v>
      </c>
      <c r="C645" t="s">
        <v>30</v>
      </c>
      <c r="D645" t="s">
        <v>31</v>
      </c>
      <c r="E645" t="s">
        <v>18</v>
      </c>
      <c r="F645" s="4">
        <v>2711.13</v>
      </c>
      <c r="G645" s="5">
        <v>13</v>
      </c>
      <c r="H645" t="s">
        <v>15</v>
      </c>
      <c r="I645" t="str">
        <f t="shared" si="40"/>
        <v>2024-09</v>
      </c>
      <c r="J645" s="4">
        <f t="shared" si="41"/>
        <v>208.54846153846154</v>
      </c>
      <c r="K645" t="str" cm="1">
        <f t="array" ref="K645">_xlfn.IFS(G645&lt;=5, "Small", G645&lt;=15, "Medium", G645&gt;15, "Large")</f>
        <v>Medium</v>
      </c>
      <c r="L645" t="str">
        <f t="shared" si="42"/>
        <v>Standard</v>
      </c>
      <c r="M645" t="str">
        <f t="shared" si="43"/>
        <v>Weekday</v>
      </c>
    </row>
    <row r="646" spans="1:13" x14ac:dyDescent="0.35">
      <c r="A646" t="s">
        <v>699</v>
      </c>
      <c r="B646" s="1">
        <v>45006</v>
      </c>
      <c r="C646" t="s">
        <v>89</v>
      </c>
      <c r="D646" t="s">
        <v>21</v>
      </c>
      <c r="E646" t="s">
        <v>27</v>
      </c>
      <c r="F646" s="4">
        <v>20277.080000000002</v>
      </c>
      <c r="G646" s="5">
        <v>2</v>
      </c>
      <c r="H646" t="s">
        <v>15</v>
      </c>
      <c r="I646" t="str">
        <f t="shared" si="40"/>
        <v>2023-03</v>
      </c>
      <c r="J646" s="4">
        <f t="shared" si="41"/>
        <v>10138.540000000001</v>
      </c>
      <c r="K646" t="str" cm="1">
        <f t="array" ref="K646">_xlfn.IFS(G646&lt;=5, "Small", G646&lt;=15, "Medium", G646&gt;15, "Large")</f>
        <v>Small</v>
      </c>
      <c r="L646" t="str">
        <f t="shared" si="42"/>
        <v>Standard</v>
      </c>
      <c r="M646" t="str">
        <f t="shared" si="43"/>
        <v>Weekday</v>
      </c>
    </row>
    <row r="647" spans="1:13" x14ac:dyDescent="0.35">
      <c r="A647" t="s">
        <v>700</v>
      </c>
      <c r="B647" s="1">
        <v>45645</v>
      </c>
      <c r="C647" t="s">
        <v>74</v>
      </c>
      <c r="D647" t="s">
        <v>26</v>
      </c>
      <c r="E647" t="s">
        <v>18</v>
      </c>
      <c r="F647" s="4">
        <v>947.54</v>
      </c>
      <c r="G647" s="5">
        <v>3</v>
      </c>
      <c r="H647" t="s">
        <v>15</v>
      </c>
      <c r="I647" t="str">
        <f t="shared" si="40"/>
        <v>2024-12</v>
      </c>
      <c r="J647" s="4">
        <f t="shared" si="41"/>
        <v>315.84666666666664</v>
      </c>
      <c r="K647" t="str" cm="1">
        <f t="array" ref="K647">_xlfn.IFS(G647&lt;=5, "Small", G647&lt;=15, "Medium", G647&gt;15, "Large")</f>
        <v>Small</v>
      </c>
      <c r="L647" t="str">
        <f t="shared" si="42"/>
        <v>Standard</v>
      </c>
      <c r="M647" t="str">
        <f t="shared" si="43"/>
        <v>Weekday</v>
      </c>
    </row>
    <row r="648" spans="1:13" x14ac:dyDescent="0.35">
      <c r="A648" t="s">
        <v>701</v>
      </c>
      <c r="B648" s="1">
        <v>45422</v>
      </c>
      <c r="C648" t="s">
        <v>55</v>
      </c>
      <c r="D648" t="s">
        <v>10</v>
      </c>
      <c r="E648" t="s">
        <v>18</v>
      </c>
      <c r="F648" s="4">
        <v>2108.9299999999998</v>
      </c>
      <c r="G648" s="5">
        <v>4</v>
      </c>
      <c r="H648" t="s">
        <v>15</v>
      </c>
      <c r="I648" t="str">
        <f t="shared" si="40"/>
        <v>2024-05</v>
      </c>
      <c r="J648" s="4">
        <f t="shared" si="41"/>
        <v>527.23249999999996</v>
      </c>
      <c r="K648" t="str" cm="1">
        <f t="array" ref="K648">_xlfn.IFS(G648&lt;=5, "Small", G648&lt;=15, "Medium", G648&gt;15, "Large")</f>
        <v>Small</v>
      </c>
      <c r="L648" t="str">
        <f t="shared" si="42"/>
        <v>Standard</v>
      </c>
      <c r="M648" t="str">
        <f t="shared" si="43"/>
        <v>Weekday</v>
      </c>
    </row>
    <row r="649" spans="1:13" x14ac:dyDescent="0.35">
      <c r="A649" t="s">
        <v>702</v>
      </c>
      <c r="B649" s="1">
        <v>45366</v>
      </c>
      <c r="C649" t="s">
        <v>241</v>
      </c>
      <c r="D649" t="s">
        <v>31</v>
      </c>
      <c r="E649" t="s">
        <v>27</v>
      </c>
      <c r="F649" s="4">
        <v>0</v>
      </c>
      <c r="G649" s="5">
        <v>0</v>
      </c>
      <c r="H649" t="s">
        <v>15</v>
      </c>
      <c r="I649" t="str">
        <f t="shared" si="40"/>
        <v>2024-03</v>
      </c>
      <c r="J649" s="4">
        <f t="shared" si="41"/>
        <v>0</v>
      </c>
      <c r="K649" t="str" cm="1">
        <f t="array" ref="K649">_xlfn.IFS(G649&lt;=5, "Small", G649&lt;=15, "Medium", G649&gt;15, "Large")</f>
        <v>Small</v>
      </c>
      <c r="L649" t="str">
        <f t="shared" si="42"/>
        <v>Standard</v>
      </c>
      <c r="M649" t="str">
        <f t="shared" si="43"/>
        <v>Weekday</v>
      </c>
    </row>
    <row r="650" spans="1:13" x14ac:dyDescent="0.35">
      <c r="A650" t="s">
        <v>703</v>
      </c>
      <c r="B650" s="1">
        <v>45266</v>
      </c>
      <c r="C650" t="s">
        <v>20</v>
      </c>
      <c r="D650" t="s">
        <v>21</v>
      </c>
      <c r="E650" t="s">
        <v>27</v>
      </c>
      <c r="F650" s="4">
        <v>40349.769999999997</v>
      </c>
      <c r="G650" s="5">
        <v>1</v>
      </c>
      <c r="H650" t="s">
        <v>15</v>
      </c>
      <c r="I650" t="str">
        <f t="shared" si="40"/>
        <v>2023-12</v>
      </c>
      <c r="J650" s="4">
        <f t="shared" si="41"/>
        <v>40349.769999999997</v>
      </c>
      <c r="K650" t="str" cm="1">
        <f t="array" ref="K650">_xlfn.IFS(G650&lt;=5, "Small", G650&lt;=15, "Medium", G650&gt;15, "Large")</f>
        <v>Small</v>
      </c>
      <c r="L650" t="str">
        <f t="shared" si="42"/>
        <v>VIP</v>
      </c>
      <c r="M650" t="str">
        <f t="shared" si="43"/>
        <v>Weekday</v>
      </c>
    </row>
    <row r="651" spans="1:13" x14ac:dyDescent="0.35">
      <c r="A651" t="s">
        <v>704</v>
      </c>
      <c r="B651" s="1">
        <v>45454</v>
      </c>
      <c r="C651" t="s">
        <v>241</v>
      </c>
      <c r="D651" t="s">
        <v>31</v>
      </c>
      <c r="E651" t="s">
        <v>18</v>
      </c>
      <c r="F651" s="4">
        <v>1670.46</v>
      </c>
      <c r="G651" s="5">
        <v>1</v>
      </c>
      <c r="H651" t="s">
        <v>15</v>
      </c>
      <c r="I651" t="str">
        <f t="shared" si="40"/>
        <v>2024-06</v>
      </c>
      <c r="J651" s="4">
        <f t="shared" si="41"/>
        <v>1670.46</v>
      </c>
      <c r="K651" t="str" cm="1">
        <f t="array" ref="K651">_xlfn.IFS(G651&lt;=5, "Small", G651&lt;=15, "Medium", G651&gt;15, "Large")</f>
        <v>Small</v>
      </c>
      <c r="L651" t="str">
        <f t="shared" si="42"/>
        <v>Standard</v>
      </c>
      <c r="M651" t="str">
        <f t="shared" si="43"/>
        <v>Weekday</v>
      </c>
    </row>
    <row r="652" spans="1:13" x14ac:dyDescent="0.35">
      <c r="A652" t="s">
        <v>705</v>
      </c>
      <c r="B652" s="1">
        <v>45180</v>
      </c>
      <c r="C652" t="s">
        <v>42</v>
      </c>
      <c r="D652" t="s">
        <v>10</v>
      </c>
      <c r="E652" t="s">
        <v>11</v>
      </c>
      <c r="F652" s="4">
        <v>7263.18</v>
      </c>
      <c r="G652" s="5">
        <v>3</v>
      </c>
      <c r="H652" t="s">
        <v>15</v>
      </c>
      <c r="I652" t="str">
        <f t="shared" si="40"/>
        <v>2023-09</v>
      </c>
      <c r="J652" s="4">
        <f t="shared" si="41"/>
        <v>2421.06</v>
      </c>
      <c r="K652" t="str" cm="1">
        <f t="array" ref="K652">_xlfn.IFS(G652&lt;=5, "Small", G652&lt;=15, "Medium", G652&gt;15, "Large")</f>
        <v>Small</v>
      </c>
      <c r="L652" t="str">
        <f t="shared" si="42"/>
        <v>Standard</v>
      </c>
      <c r="M652" t="str">
        <f t="shared" si="43"/>
        <v>Weekday</v>
      </c>
    </row>
    <row r="653" spans="1:13" x14ac:dyDescent="0.35">
      <c r="A653" t="s">
        <v>706</v>
      </c>
      <c r="B653" s="1">
        <v>45541</v>
      </c>
      <c r="C653" t="s">
        <v>50</v>
      </c>
      <c r="D653" t="s">
        <v>26</v>
      </c>
      <c r="E653" t="s">
        <v>18</v>
      </c>
      <c r="F653" s="4">
        <v>1800.57</v>
      </c>
      <c r="G653" s="5">
        <v>5</v>
      </c>
      <c r="H653" t="s">
        <v>15</v>
      </c>
      <c r="I653" t="str">
        <f t="shared" si="40"/>
        <v>2024-09</v>
      </c>
      <c r="J653" s="4">
        <f t="shared" si="41"/>
        <v>360.11399999999998</v>
      </c>
      <c r="K653" t="str" cm="1">
        <f t="array" ref="K653">_xlfn.IFS(G653&lt;=5, "Small", G653&lt;=15, "Medium", G653&gt;15, "Large")</f>
        <v>Small</v>
      </c>
      <c r="L653" t="str">
        <f t="shared" si="42"/>
        <v>Standard</v>
      </c>
      <c r="M653" t="str">
        <f t="shared" si="43"/>
        <v>Weekday</v>
      </c>
    </row>
    <row r="654" spans="1:13" x14ac:dyDescent="0.35">
      <c r="A654" t="s">
        <v>707</v>
      </c>
      <c r="B654" s="1">
        <v>45284</v>
      </c>
      <c r="C654" t="s">
        <v>69</v>
      </c>
      <c r="D654" t="s">
        <v>31</v>
      </c>
      <c r="E654" t="s">
        <v>18</v>
      </c>
      <c r="F654" s="4">
        <v>2861.88</v>
      </c>
      <c r="G654" s="5">
        <v>8</v>
      </c>
      <c r="H654" t="s">
        <v>15</v>
      </c>
      <c r="I654" t="str">
        <f t="shared" si="40"/>
        <v>2023-12</v>
      </c>
      <c r="J654" s="4">
        <f t="shared" si="41"/>
        <v>357.73500000000001</v>
      </c>
      <c r="K654" t="str" cm="1">
        <f t="array" ref="K654">_xlfn.IFS(G654&lt;=5, "Small", G654&lt;=15, "Medium", G654&gt;15, "Large")</f>
        <v>Medium</v>
      </c>
      <c r="L654" t="str">
        <f t="shared" si="42"/>
        <v>Standard</v>
      </c>
      <c r="M654" t="str">
        <f t="shared" si="43"/>
        <v>Weekend</v>
      </c>
    </row>
    <row r="655" spans="1:13" x14ac:dyDescent="0.35">
      <c r="A655" t="s">
        <v>708</v>
      </c>
      <c r="B655" s="1">
        <v>45349</v>
      </c>
      <c r="C655" t="s">
        <v>241</v>
      </c>
      <c r="D655" t="s">
        <v>31</v>
      </c>
      <c r="E655" t="s">
        <v>27</v>
      </c>
      <c r="F655" s="4">
        <v>17968.12</v>
      </c>
      <c r="G655" s="5">
        <v>3</v>
      </c>
      <c r="H655" t="s">
        <v>15</v>
      </c>
      <c r="I655" t="str">
        <f t="shared" si="40"/>
        <v>2024-02</v>
      </c>
      <c r="J655" s="4">
        <f t="shared" si="41"/>
        <v>5989.373333333333</v>
      </c>
      <c r="K655" t="str" cm="1">
        <f t="array" ref="K655">_xlfn.IFS(G655&lt;=5, "Small", G655&lt;=15, "Medium", G655&gt;15, "Large")</f>
        <v>Small</v>
      </c>
      <c r="L655" t="str">
        <f t="shared" si="42"/>
        <v>Standard</v>
      </c>
      <c r="M655" t="str">
        <f t="shared" si="43"/>
        <v>Weekday</v>
      </c>
    </row>
    <row r="656" spans="1:13" x14ac:dyDescent="0.35">
      <c r="A656" t="s">
        <v>709</v>
      </c>
      <c r="B656" s="1">
        <v>45535</v>
      </c>
      <c r="C656" t="s">
        <v>45</v>
      </c>
      <c r="D656" t="s">
        <v>21</v>
      </c>
      <c r="E656" t="s">
        <v>18</v>
      </c>
      <c r="F656" s="4">
        <v>0</v>
      </c>
      <c r="G656" s="5">
        <v>26</v>
      </c>
      <c r="H656" t="s">
        <v>28</v>
      </c>
      <c r="I656" t="str">
        <f t="shared" si="40"/>
        <v>2024-08</v>
      </c>
      <c r="J656" s="4">
        <f t="shared" si="41"/>
        <v>0</v>
      </c>
      <c r="K656" t="str" cm="1">
        <f t="array" ref="K656">_xlfn.IFS(G656&lt;=5, "Small", G656&lt;=15, "Medium", G656&gt;15, "Large")</f>
        <v>Large</v>
      </c>
      <c r="L656" t="str">
        <f t="shared" si="42"/>
        <v>Standard</v>
      </c>
      <c r="M656" t="str">
        <f t="shared" si="43"/>
        <v>Weekend</v>
      </c>
    </row>
    <row r="657" spans="1:13" x14ac:dyDescent="0.35">
      <c r="A657" t="s">
        <v>710</v>
      </c>
      <c r="B657" s="1">
        <v>45255</v>
      </c>
      <c r="C657" t="s">
        <v>72</v>
      </c>
      <c r="D657" t="s">
        <v>21</v>
      </c>
      <c r="E657" t="s">
        <v>27</v>
      </c>
      <c r="F657" s="4">
        <v>0</v>
      </c>
      <c r="G657" s="5">
        <v>3</v>
      </c>
      <c r="H657" t="s">
        <v>28</v>
      </c>
      <c r="I657" t="str">
        <f t="shared" si="40"/>
        <v>2023-11</v>
      </c>
      <c r="J657" s="4">
        <f t="shared" si="41"/>
        <v>0</v>
      </c>
      <c r="K657" t="str" cm="1">
        <f t="array" ref="K657">_xlfn.IFS(G657&lt;=5, "Small", G657&lt;=15, "Medium", G657&gt;15, "Large")</f>
        <v>Small</v>
      </c>
      <c r="L657" t="str">
        <f t="shared" si="42"/>
        <v>Standard</v>
      </c>
      <c r="M657" t="str">
        <f t="shared" si="43"/>
        <v>Weekend</v>
      </c>
    </row>
    <row r="658" spans="1:13" x14ac:dyDescent="0.35">
      <c r="A658" t="s">
        <v>711</v>
      </c>
      <c r="B658" s="1">
        <v>45102</v>
      </c>
      <c r="C658" t="s">
        <v>48</v>
      </c>
      <c r="D658" t="s">
        <v>21</v>
      </c>
      <c r="E658" t="s">
        <v>27</v>
      </c>
      <c r="F658" s="4">
        <v>41485.089999999997</v>
      </c>
      <c r="G658" s="5">
        <v>4</v>
      </c>
      <c r="H658" t="s">
        <v>15</v>
      </c>
      <c r="I658" t="str">
        <f t="shared" si="40"/>
        <v>2023-06</v>
      </c>
      <c r="J658" s="4">
        <f t="shared" si="41"/>
        <v>10371.272499999999</v>
      </c>
      <c r="K658" t="str" cm="1">
        <f t="array" ref="K658">_xlfn.IFS(G658&lt;=5, "Small", G658&lt;=15, "Medium", G658&gt;15, "Large")</f>
        <v>Small</v>
      </c>
      <c r="L658" t="str">
        <f t="shared" si="42"/>
        <v>VIP</v>
      </c>
      <c r="M658" t="str">
        <f t="shared" si="43"/>
        <v>Weekend</v>
      </c>
    </row>
    <row r="659" spans="1:13" x14ac:dyDescent="0.35">
      <c r="A659" t="s">
        <v>712</v>
      </c>
      <c r="B659" s="1">
        <v>45625</v>
      </c>
      <c r="C659" t="s">
        <v>35</v>
      </c>
      <c r="D659" t="s">
        <v>31</v>
      </c>
      <c r="E659" t="s">
        <v>27</v>
      </c>
      <c r="F659" s="4">
        <v>26796.87</v>
      </c>
      <c r="G659" s="5">
        <v>1</v>
      </c>
      <c r="H659" t="s">
        <v>15</v>
      </c>
      <c r="I659" t="str">
        <f t="shared" si="40"/>
        <v>2024-11</v>
      </c>
      <c r="J659" s="4">
        <f t="shared" si="41"/>
        <v>26796.87</v>
      </c>
      <c r="K659" t="str" cm="1">
        <f t="array" ref="K659">_xlfn.IFS(G659&lt;=5, "Small", G659&lt;=15, "Medium", G659&gt;15, "Large")</f>
        <v>Small</v>
      </c>
      <c r="L659" t="str">
        <f t="shared" si="42"/>
        <v>Standard</v>
      </c>
      <c r="M659" t="str">
        <f t="shared" si="43"/>
        <v>Weekday</v>
      </c>
    </row>
    <row r="660" spans="1:13" x14ac:dyDescent="0.35">
      <c r="A660" t="s">
        <v>713</v>
      </c>
      <c r="B660" s="1">
        <v>45648</v>
      </c>
      <c r="C660" t="s">
        <v>60</v>
      </c>
      <c r="D660" t="s">
        <v>21</v>
      </c>
      <c r="E660" t="s">
        <v>11</v>
      </c>
      <c r="F660" s="4">
        <v>0</v>
      </c>
      <c r="G660" s="5">
        <v>2</v>
      </c>
      <c r="H660" t="s">
        <v>28</v>
      </c>
      <c r="I660" t="str">
        <f t="shared" si="40"/>
        <v>2024-12</v>
      </c>
      <c r="J660" s="4">
        <f t="shared" si="41"/>
        <v>0</v>
      </c>
      <c r="K660" t="str" cm="1">
        <f t="array" ref="K660">_xlfn.IFS(G660&lt;=5, "Small", G660&lt;=15, "Medium", G660&gt;15, "Large")</f>
        <v>Small</v>
      </c>
      <c r="L660" t="str">
        <f t="shared" si="42"/>
        <v>Standard</v>
      </c>
      <c r="M660" t="str">
        <f t="shared" si="43"/>
        <v>Weekend</v>
      </c>
    </row>
    <row r="661" spans="1:13" x14ac:dyDescent="0.35">
      <c r="A661" t="s">
        <v>714</v>
      </c>
      <c r="B661" s="1">
        <v>44991</v>
      </c>
      <c r="C661" t="s">
        <v>30</v>
      </c>
      <c r="D661" t="s">
        <v>26</v>
      </c>
      <c r="E661" t="s">
        <v>27</v>
      </c>
      <c r="F661" s="4">
        <v>26989.86</v>
      </c>
      <c r="G661" s="5">
        <v>3</v>
      </c>
      <c r="H661" t="s">
        <v>15</v>
      </c>
      <c r="I661" t="str">
        <f t="shared" si="40"/>
        <v>2023-03</v>
      </c>
      <c r="J661" s="4">
        <f t="shared" si="41"/>
        <v>8996.6200000000008</v>
      </c>
      <c r="K661" t="str" cm="1">
        <f t="array" ref="K661">_xlfn.IFS(G661&lt;=5, "Small", G661&lt;=15, "Medium", G661&gt;15, "Large")</f>
        <v>Small</v>
      </c>
      <c r="L661" t="str">
        <f t="shared" si="42"/>
        <v>Standard</v>
      </c>
      <c r="M661" t="str">
        <f t="shared" si="43"/>
        <v>Weekday</v>
      </c>
    </row>
    <row r="662" spans="1:13" x14ac:dyDescent="0.35">
      <c r="A662" t="s">
        <v>715</v>
      </c>
      <c r="B662" s="1">
        <v>45217</v>
      </c>
      <c r="C662" t="s">
        <v>253</v>
      </c>
      <c r="D662" t="s">
        <v>21</v>
      </c>
      <c r="E662" t="s">
        <v>27</v>
      </c>
      <c r="F662" s="4">
        <v>28177.360000000001</v>
      </c>
      <c r="G662" s="5">
        <v>1</v>
      </c>
      <c r="H662" t="s">
        <v>15</v>
      </c>
      <c r="I662" t="str">
        <f t="shared" si="40"/>
        <v>2023-10</v>
      </c>
      <c r="J662" s="4">
        <f t="shared" si="41"/>
        <v>28177.360000000001</v>
      </c>
      <c r="K662" t="str" cm="1">
        <f t="array" ref="K662">_xlfn.IFS(G662&lt;=5, "Small", G662&lt;=15, "Medium", G662&gt;15, "Large")</f>
        <v>Small</v>
      </c>
      <c r="L662" t="str">
        <f t="shared" si="42"/>
        <v>VIP</v>
      </c>
      <c r="M662" t="str">
        <f t="shared" si="43"/>
        <v>Weekday</v>
      </c>
    </row>
    <row r="663" spans="1:13" x14ac:dyDescent="0.35">
      <c r="A663" t="s">
        <v>716</v>
      </c>
      <c r="B663" s="1">
        <v>45414</v>
      </c>
      <c r="C663" t="s">
        <v>45</v>
      </c>
      <c r="D663" t="s">
        <v>21</v>
      </c>
      <c r="E663" t="s">
        <v>27</v>
      </c>
      <c r="F663" s="4">
        <v>0</v>
      </c>
      <c r="G663" s="5">
        <v>3</v>
      </c>
      <c r="H663" t="s">
        <v>28</v>
      </c>
      <c r="I663" t="str">
        <f t="shared" si="40"/>
        <v>2024-05</v>
      </c>
      <c r="J663" s="4">
        <f t="shared" si="41"/>
        <v>0</v>
      </c>
      <c r="K663" t="str" cm="1">
        <f t="array" ref="K663">_xlfn.IFS(G663&lt;=5, "Small", G663&lt;=15, "Medium", G663&gt;15, "Large")</f>
        <v>Small</v>
      </c>
      <c r="L663" t="str">
        <f t="shared" si="42"/>
        <v>Standard</v>
      </c>
      <c r="M663" t="str">
        <f t="shared" si="43"/>
        <v>Weekday</v>
      </c>
    </row>
    <row r="664" spans="1:13" x14ac:dyDescent="0.35">
      <c r="A664" t="s">
        <v>717</v>
      </c>
      <c r="B664" s="1">
        <v>44929</v>
      </c>
      <c r="C664" t="s">
        <v>23</v>
      </c>
      <c r="D664" t="s">
        <v>21</v>
      </c>
      <c r="E664" t="s">
        <v>11</v>
      </c>
      <c r="F664" s="4">
        <v>5348.91</v>
      </c>
      <c r="G664" s="5">
        <v>8</v>
      </c>
      <c r="H664" t="s">
        <v>15</v>
      </c>
      <c r="I664" t="str">
        <f t="shared" si="40"/>
        <v>2023-01</v>
      </c>
      <c r="J664" s="4">
        <f t="shared" si="41"/>
        <v>668.61374999999998</v>
      </c>
      <c r="K664" t="str" cm="1">
        <f t="array" ref="K664">_xlfn.IFS(G664&lt;=5, "Small", G664&lt;=15, "Medium", G664&gt;15, "Large")</f>
        <v>Medium</v>
      </c>
      <c r="L664" t="str">
        <f t="shared" si="42"/>
        <v>Standard</v>
      </c>
      <c r="M664" t="str">
        <f t="shared" si="43"/>
        <v>Weekday</v>
      </c>
    </row>
    <row r="665" spans="1:13" x14ac:dyDescent="0.35">
      <c r="A665" t="s">
        <v>718</v>
      </c>
      <c r="B665" s="1">
        <v>45524</v>
      </c>
      <c r="C665" t="s">
        <v>62</v>
      </c>
      <c r="D665" t="s">
        <v>10</v>
      </c>
      <c r="E665" t="s">
        <v>18</v>
      </c>
      <c r="F665" s="4">
        <v>1227.3399999999999</v>
      </c>
      <c r="G665" s="5">
        <v>4</v>
      </c>
      <c r="H665" t="s">
        <v>15</v>
      </c>
      <c r="I665" t="str">
        <f t="shared" si="40"/>
        <v>2024-08</v>
      </c>
      <c r="J665" s="4">
        <f t="shared" si="41"/>
        <v>306.83499999999998</v>
      </c>
      <c r="K665" t="str" cm="1">
        <f t="array" ref="K665">_xlfn.IFS(G665&lt;=5, "Small", G665&lt;=15, "Medium", G665&gt;15, "Large")</f>
        <v>Small</v>
      </c>
      <c r="L665" t="str">
        <f t="shared" si="42"/>
        <v>Standard</v>
      </c>
      <c r="M665" t="str">
        <f t="shared" si="43"/>
        <v>Weekday</v>
      </c>
    </row>
    <row r="666" spans="1:13" x14ac:dyDescent="0.35">
      <c r="A666" t="s">
        <v>719</v>
      </c>
      <c r="B666" s="1">
        <v>44967</v>
      </c>
      <c r="C666" t="s">
        <v>175</v>
      </c>
      <c r="D666" t="s">
        <v>21</v>
      </c>
      <c r="E666" t="s">
        <v>18</v>
      </c>
      <c r="F666" s="4">
        <v>0</v>
      </c>
      <c r="G666" s="5">
        <v>9</v>
      </c>
      <c r="H666" t="s">
        <v>28</v>
      </c>
      <c r="I666" t="str">
        <f t="shared" si="40"/>
        <v>2023-02</v>
      </c>
      <c r="J666" s="4">
        <f t="shared" si="41"/>
        <v>0</v>
      </c>
      <c r="K666" t="str" cm="1">
        <f t="array" ref="K666">_xlfn.IFS(G666&lt;=5, "Small", G666&lt;=15, "Medium", G666&gt;15, "Large")</f>
        <v>Medium</v>
      </c>
      <c r="L666" t="str">
        <f t="shared" si="42"/>
        <v>Standard</v>
      </c>
      <c r="M666" t="str">
        <f t="shared" si="43"/>
        <v>Weekday</v>
      </c>
    </row>
    <row r="667" spans="1:13" x14ac:dyDescent="0.35">
      <c r="A667" t="s">
        <v>720</v>
      </c>
      <c r="B667" s="1">
        <v>45216</v>
      </c>
      <c r="C667" t="s">
        <v>62</v>
      </c>
      <c r="D667" t="s">
        <v>10</v>
      </c>
      <c r="E667" t="s">
        <v>11</v>
      </c>
      <c r="F667" s="4">
        <v>9403.27</v>
      </c>
      <c r="G667" s="5">
        <v>8</v>
      </c>
      <c r="H667" t="s">
        <v>15</v>
      </c>
      <c r="I667" t="str">
        <f t="shared" si="40"/>
        <v>2023-10</v>
      </c>
      <c r="J667" s="4">
        <f t="shared" si="41"/>
        <v>1175.4087500000001</v>
      </c>
      <c r="K667" t="str" cm="1">
        <f t="array" ref="K667">_xlfn.IFS(G667&lt;=5, "Small", G667&lt;=15, "Medium", G667&gt;15, "Large")</f>
        <v>Medium</v>
      </c>
      <c r="L667" t="str">
        <f t="shared" si="42"/>
        <v>Standard</v>
      </c>
      <c r="M667" t="str">
        <f t="shared" si="43"/>
        <v>Weekday</v>
      </c>
    </row>
    <row r="668" spans="1:13" x14ac:dyDescent="0.35">
      <c r="A668" t="s">
        <v>721</v>
      </c>
      <c r="B668" s="1">
        <v>45468</v>
      </c>
      <c r="C668" t="s">
        <v>78</v>
      </c>
      <c r="D668" t="s">
        <v>31</v>
      </c>
      <c r="E668" t="s">
        <v>11</v>
      </c>
      <c r="F668" s="4">
        <v>1679.46</v>
      </c>
      <c r="G668" s="5">
        <v>4</v>
      </c>
      <c r="H668" t="s">
        <v>15</v>
      </c>
      <c r="I668" t="str">
        <f t="shared" si="40"/>
        <v>2024-06</v>
      </c>
      <c r="J668" s="4">
        <f t="shared" si="41"/>
        <v>419.86500000000001</v>
      </c>
      <c r="K668" t="str" cm="1">
        <f t="array" ref="K668">_xlfn.IFS(G668&lt;=5, "Small", G668&lt;=15, "Medium", G668&gt;15, "Large")</f>
        <v>Small</v>
      </c>
      <c r="L668" t="str">
        <f t="shared" si="42"/>
        <v>Standard</v>
      </c>
      <c r="M668" t="str">
        <f t="shared" si="43"/>
        <v>Weekday</v>
      </c>
    </row>
    <row r="669" spans="1:13" x14ac:dyDescent="0.35">
      <c r="A669" t="s">
        <v>722</v>
      </c>
      <c r="B669" s="1">
        <v>45152</v>
      </c>
      <c r="C669" t="s">
        <v>166</v>
      </c>
      <c r="D669" t="s">
        <v>26</v>
      </c>
      <c r="E669" t="s">
        <v>18</v>
      </c>
      <c r="F669" s="4">
        <v>599.83000000000004</v>
      </c>
      <c r="G669" s="5">
        <v>18</v>
      </c>
      <c r="H669" t="s">
        <v>15</v>
      </c>
      <c r="I669" t="str">
        <f t="shared" si="40"/>
        <v>2023-08</v>
      </c>
      <c r="J669" s="4">
        <f t="shared" si="41"/>
        <v>33.323888888888888</v>
      </c>
      <c r="K669" t="str" cm="1">
        <f t="array" ref="K669">_xlfn.IFS(G669&lt;=5, "Small", G669&lt;=15, "Medium", G669&gt;15, "Large")</f>
        <v>Large</v>
      </c>
      <c r="L669" t="str">
        <f t="shared" si="42"/>
        <v>Standard</v>
      </c>
      <c r="M669" t="str">
        <f t="shared" si="43"/>
        <v>Weekday</v>
      </c>
    </row>
    <row r="670" spans="1:13" x14ac:dyDescent="0.35">
      <c r="A670" t="s">
        <v>723</v>
      </c>
      <c r="B670" s="1">
        <v>45073</v>
      </c>
      <c r="C670" t="s">
        <v>115</v>
      </c>
      <c r="D670" t="s">
        <v>10</v>
      </c>
      <c r="E670" t="s">
        <v>11</v>
      </c>
      <c r="F670" s="4">
        <v>1161.1199999999999</v>
      </c>
      <c r="G670" s="5">
        <v>5</v>
      </c>
      <c r="H670" t="s">
        <v>15</v>
      </c>
      <c r="I670" t="str">
        <f t="shared" si="40"/>
        <v>2023-05</v>
      </c>
      <c r="J670" s="4">
        <f t="shared" si="41"/>
        <v>232.22399999999999</v>
      </c>
      <c r="K670" t="str" cm="1">
        <f t="array" ref="K670">_xlfn.IFS(G670&lt;=5, "Small", G670&lt;=15, "Medium", G670&gt;15, "Large")</f>
        <v>Small</v>
      </c>
      <c r="L670" t="str">
        <f t="shared" si="42"/>
        <v>Standard</v>
      </c>
      <c r="M670" t="str">
        <f t="shared" si="43"/>
        <v>Weekend</v>
      </c>
    </row>
    <row r="671" spans="1:13" x14ac:dyDescent="0.35">
      <c r="A671" t="s">
        <v>724</v>
      </c>
      <c r="B671" s="1">
        <v>45438</v>
      </c>
      <c r="C671" t="s">
        <v>35</v>
      </c>
      <c r="D671" t="s">
        <v>21</v>
      </c>
      <c r="E671" t="s">
        <v>11</v>
      </c>
      <c r="F671" s="4">
        <v>16830.46</v>
      </c>
      <c r="G671" s="5">
        <v>3</v>
      </c>
      <c r="H671" t="s">
        <v>15</v>
      </c>
      <c r="I671" t="str">
        <f t="shared" si="40"/>
        <v>2024-05</v>
      </c>
      <c r="J671" s="4">
        <f t="shared" si="41"/>
        <v>5610.1533333333327</v>
      </c>
      <c r="K671" t="str" cm="1">
        <f t="array" ref="K671">_xlfn.IFS(G671&lt;=5, "Small", G671&lt;=15, "Medium", G671&gt;15, "Large")</f>
        <v>Small</v>
      </c>
      <c r="L671" t="str">
        <f t="shared" si="42"/>
        <v>Standard</v>
      </c>
      <c r="M671" t="str">
        <f t="shared" si="43"/>
        <v>Weekend</v>
      </c>
    </row>
    <row r="672" spans="1:13" x14ac:dyDescent="0.35">
      <c r="A672" t="s">
        <v>725</v>
      </c>
      <c r="B672" s="1">
        <v>45152</v>
      </c>
      <c r="C672" t="s">
        <v>97</v>
      </c>
      <c r="D672" t="s">
        <v>21</v>
      </c>
      <c r="E672" t="s">
        <v>27</v>
      </c>
      <c r="F672" s="4">
        <v>0</v>
      </c>
      <c r="G672" s="5">
        <v>2</v>
      </c>
      <c r="H672" t="s">
        <v>28</v>
      </c>
      <c r="I672" t="str">
        <f t="shared" si="40"/>
        <v>2023-08</v>
      </c>
      <c r="J672" s="4">
        <f t="shared" si="41"/>
        <v>0</v>
      </c>
      <c r="K672" t="str" cm="1">
        <f t="array" ref="K672">_xlfn.IFS(G672&lt;=5, "Small", G672&lt;=15, "Medium", G672&gt;15, "Large")</f>
        <v>Small</v>
      </c>
      <c r="L672" t="str">
        <f t="shared" si="42"/>
        <v>Standard</v>
      </c>
      <c r="M672" t="str">
        <f t="shared" si="43"/>
        <v>Weekday</v>
      </c>
    </row>
    <row r="673" spans="1:13" x14ac:dyDescent="0.35">
      <c r="A673" t="s">
        <v>726</v>
      </c>
      <c r="B673" s="1">
        <v>45364</v>
      </c>
      <c r="C673" t="s">
        <v>33</v>
      </c>
      <c r="D673" t="s">
        <v>10</v>
      </c>
      <c r="E673" t="s">
        <v>18</v>
      </c>
      <c r="F673" s="4">
        <v>2206.56</v>
      </c>
      <c r="G673" s="5">
        <v>16</v>
      </c>
      <c r="H673" t="s">
        <v>15</v>
      </c>
      <c r="I673" t="str">
        <f t="shared" si="40"/>
        <v>2024-03</v>
      </c>
      <c r="J673" s="4">
        <f t="shared" si="41"/>
        <v>137.91</v>
      </c>
      <c r="K673" t="str" cm="1">
        <f t="array" ref="K673">_xlfn.IFS(G673&lt;=5, "Small", G673&lt;=15, "Medium", G673&gt;15, "Large")</f>
        <v>Large</v>
      </c>
      <c r="L673" t="str">
        <f t="shared" si="42"/>
        <v>Standard</v>
      </c>
      <c r="M673" t="str">
        <f t="shared" si="43"/>
        <v>Weekday</v>
      </c>
    </row>
    <row r="674" spans="1:13" x14ac:dyDescent="0.35">
      <c r="A674" t="s">
        <v>727</v>
      </c>
      <c r="B674" s="1">
        <v>45119</v>
      </c>
      <c r="C674" t="s">
        <v>30</v>
      </c>
      <c r="D674" t="s">
        <v>31</v>
      </c>
      <c r="E674" t="s">
        <v>27</v>
      </c>
      <c r="F674" s="4">
        <v>34500.18</v>
      </c>
      <c r="G674" s="5">
        <v>5</v>
      </c>
      <c r="H674" t="s">
        <v>15</v>
      </c>
      <c r="I674" t="str">
        <f t="shared" si="40"/>
        <v>2023-07</v>
      </c>
      <c r="J674" s="4">
        <f t="shared" si="41"/>
        <v>6900.0360000000001</v>
      </c>
      <c r="K674" t="str" cm="1">
        <f t="array" ref="K674">_xlfn.IFS(G674&lt;=5, "Small", G674&lt;=15, "Medium", G674&gt;15, "Large")</f>
        <v>Small</v>
      </c>
      <c r="L674" t="str">
        <f t="shared" si="42"/>
        <v>VIP</v>
      </c>
      <c r="M674" t="str">
        <f t="shared" si="43"/>
        <v>Weekday</v>
      </c>
    </row>
    <row r="675" spans="1:13" x14ac:dyDescent="0.35">
      <c r="A675" t="s">
        <v>728</v>
      </c>
      <c r="B675" s="1">
        <v>45331</v>
      </c>
      <c r="C675" t="s">
        <v>17</v>
      </c>
      <c r="D675" t="s">
        <v>10</v>
      </c>
      <c r="E675" t="s">
        <v>27</v>
      </c>
      <c r="F675" s="4">
        <v>33571.300000000003</v>
      </c>
      <c r="G675" s="5">
        <v>2</v>
      </c>
      <c r="H675" t="s">
        <v>15</v>
      </c>
      <c r="I675" t="str">
        <f t="shared" si="40"/>
        <v>2024-02</v>
      </c>
      <c r="J675" s="4">
        <f t="shared" si="41"/>
        <v>16785.650000000001</v>
      </c>
      <c r="K675" t="str" cm="1">
        <f t="array" ref="K675">_xlfn.IFS(G675&lt;=5, "Small", G675&lt;=15, "Medium", G675&gt;15, "Large")</f>
        <v>Small</v>
      </c>
      <c r="L675" t="str">
        <f t="shared" si="42"/>
        <v>VIP</v>
      </c>
      <c r="M675" t="str">
        <f t="shared" si="43"/>
        <v>Weekday</v>
      </c>
    </row>
    <row r="676" spans="1:13" x14ac:dyDescent="0.35">
      <c r="A676" t="s">
        <v>729</v>
      </c>
      <c r="B676" s="1">
        <v>45353</v>
      </c>
      <c r="C676" t="s">
        <v>35</v>
      </c>
      <c r="D676" t="s">
        <v>31</v>
      </c>
      <c r="E676" t="s">
        <v>18</v>
      </c>
      <c r="F676" s="4">
        <v>828.62</v>
      </c>
      <c r="G676" s="5">
        <v>17</v>
      </c>
      <c r="H676" t="s">
        <v>15</v>
      </c>
      <c r="I676" t="str">
        <f t="shared" si="40"/>
        <v>2024-03</v>
      </c>
      <c r="J676" s="4">
        <f t="shared" si="41"/>
        <v>48.74235294117647</v>
      </c>
      <c r="K676" t="str" cm="1">
        <f t="array" ref="K676">_xlfn.IFS(G676&lt;=5, "Small", G676&lt;=15, "Medium", G676&gt;15, "Large")</f>
        <v>Large</v>
      </c>
      <c r="L676" t="str">
        <f t="shared" si="42"/>
        <v>Standard</v>
      </c>
      <c r="M676" t="str">
        <f t="shared" si="43"/>
        <v>Weekend</v>
      </c>
    </row>
    <row r="677" spans="1:13" x14ac:dyDescent="0.35">
      <c r="A677" t="s">
        <v>730</v>
      </c>
      <c r="B677" s="1">
        <v>45224</v>
      </c>
      <c r="C677" t="s">
        <v>126</v>
      </c>
      <c r="D677" t="s">
        <v>21</v>
      </c>
      <c r="E677" t="s">
        <v>18</v>
      </c>
      <c r="F677" s="4">
        <v>362.41</v>
      </c>
      <c r="G677" s="5">
        <v>12</v>
      </c>
      <c r="H677" t="s">
        <v>15</v>
      </c>
      <c r="I677" t="str">
        <f t="shared" si="40"/>
        <v>2023-10</v>
      </c>
      <c r="J677" s="4">
        <f t="shared" si="41"/>
        <v>30.200833333333335</v>
      </c>
      <c r="K677" t="str" cm="1">
        <f t="array" ref="K677">_xlfn.IFS(G677&lt;=5, "Small", G677&lt;=15, "Medium", G677&gt;15, "Large")</f>
        <v>Medium</v>
      </c>
      <c r="L677" t="str">
        <f t="shared" si="42"/>
        <v>Standard</v>
      </c>
      <c r="M677" t="str">
        <f t="shared" si="43"/>
        <v>Weekday</v>
      </c>
    </row>
    <row r="678" spans="1:13" x14ac:dyDescent="0.35">
      <c r="A678" t="s">
        <v>731</v>
      </c>
      <c r="B678" s="1">
        <v>45504</v>
      </c>
      <c r="C678" t="s">
        <v>115</v>
      </c>
      <c r="D678" t="s">
        <v>10</v>
      </c>
      <c r="E678" t="s">
        <v>27</v>
      </c>
      <c r="F678" s="4">
        <v>37782</v>
      </c>
      <c r="G678" s="5">
        <v>4</v>
      </c>
      <c r="H678" t="s">
        <v>15</v>
      </c>
      <c r="I678" t="str">
        <f t="shared" si="40"/>
        <v>2024-07</v>
      </c>
      <c r="J678" s="4">
        <f t="shared" si="41"/>
        <v>9445.5</v>
      </c>
      <c r="K678" t="str" cm="1">
        <f t="array" ref="K678">_xlfn.IFS(G678&lt;=5, "Small", G678&lt;=15, "Medium", G678&gt;15, "Large")</f>
        <v>Small</v>
      </c>
      <c r="L678" t="str">
        <f t="shared" si="42"/>
        <v>VIP</v>
      </c>
      <c r="M678" t="str">
        <f t="shared" si="43"/>
        <v>Weekday</v>
      </c>
    </row>
    <row r="679" spans="1:13" x14ac:dyDescent="0.35">
      <c r="A679" t="s">
        <v>732</v>
      </c>
      <c r="B679" s="1">
        <v>45049</v>
      </c>
      <c r="C679" t="s">
        <v>84</v>
      </c>
      <c r="D679" t="s">
        <v>26</v>
      </c>
      <c r="E679" t="s">
        <v>18</v>
      </c>
      <c r="F679" s="4">
        <v>110.53</v>
      </c>
      <c r="G679" s="5">
        <v>9</v>
      </c>
      <c r="H679" t="s">
        <v>15</v>
      </c>
      <c r="I679" t="str">
        <f t="shared" si="40"/>
        <v>2023-05</v>
      </c>
      <c r="J679" s="4">
        <f t="shared" si="41"/>
        <v>12.281111111111111</v>
      </c>
      <c r="K679" t="str" cm="1">
        <f t="array" ref="K679">_xlfn.IFS(G679&lt;=5, "Small", G679&lt;=15, "Medium", G679&gt;15, "Large")</f>
        <v>Medium</v>
      </c>
      <c r="L679" t="str">
        <f t="shared" si="42"/>
        <v>Standard</v>
      </c>
      <c r="M679" t="str">
        <f t="shared" si="43"/>
        <v>Weekday</v>
      </c>
    </row>
    <row r="680" spans="1:13" x14ac:dyDescent="0.35">
      <c r="A680" t="s">
        <v>733</v>
      </c>
      <c r="B680" s="1">
        <v>45429</v>
      </c>
      <c r="C680" t="s">
        <v>175</v>
      </c>
      <c r="D680" t="s">
        <v>21</v>
      </c>
      <c r="E680" t="s">
        <v>11</v>
      </c>
      <c r="F680" s="4">
        <v>0</v>
      </c>
      <c r="G680" s="5">
        <v>4</v>
      </c>
      <c r="H680" t="s">
        <v>28</v>
      </c>
      <c r="I680" t="str">
        <f t="shared" si="40"/>
        <v>2024-05</v>
      </c>
      <c r="J680" s="4">
        <f t="shared" si="41"/>
        <v>0</v>
      </c>
      <c r="K680" t="str" cm="1">
        <f t="array" ref="K680">_xlfn.IFS(G680&lt;=5, "Small", G680&lt;=15, "Medium", G680&gt;15, "Large")</f>
        <v>Small</v>
      </c>
      <c r="L680" t="str">
        <f t="shared" si="42"/>
        <v>Standard</v>
      </c>
      <c r="M680" t="str">
        <f t="shared" si="43"/>
        <v>Weekday</v>
      </c>
    </row>
    <row r="681" spans="1:13" x14ac:dyDescent="0.35">
      <c r="A681" t="s">
        <v>734</v>
      </c>
      <c r="B681" s="1">
        <v>45173</v>
      </c>
      <c r="C681" t="s">
        <v>25</v>
      </c>
      <c r="D681" t="s">
        <v>26</v>
      </c>
      <c r="E681" t="s">
        <v>27</v>
      </c>
      <c r="F681" s="4">
        <v>11062.73</v>
      </c>
      <c r="G681" s="5">
        <v>3</v>
      </c>
      <c r="H681" t="s">
        <v>15</v>
      </c>
      <c r="I681" t="str">
        <f t="shared" si="40"/>
        <v>2023-09</v>
      </c>
      <c r="J681" s="4">
        <f t="shared" si="41"/>
        <v>3687.5766666666664</v>
      </c>
      <c r="K681" t="str" cm="1">
        <f t="array" ref="K681">_xlfn.IFS(G681&lt;=5, "Small", G681&lt;=15, "Medium", G681&gt;15, "Large")</f>
        <v>Small</v>
      </c>
      <c r="L681" t="str">
        <f t="shared" si="42"/>
        <v>Standard</v>
      </c>
      <c r="M681" t="str">
        <f t="shared" si="43"/>
        <v>Weekday</v>
      </c>
    </row>
    <row r="682" spans="1:13" x14ac:dyDescent="0.35">
      <c r="A682" t="s">
        <v>735</v>
      </c>
      <c r="B682" s="1">
        <v>45198</v>
      </c>
      <c r="C682" t="s">
        <v>126</v>
      </c>
      <c r="D682" t="s">
        <v>21</v>
      </c>
      <c r="E682" t="s">
        <v>18</v>
      </c>
      <c r="F682" s="4">
        <v>1909.47</v>
      </c>
      <c r="G682" s="5">
        <v>24</v>
      </c>
      <c r="H682" t="s">
        <v>15</v>
      </c>
      <c r="I682" t="str">
        <f t="shared" si="40"/>
        <v>2023-09</v>
      </c>
      <c r="J682" s="4">
        <f t="shared" si="41"/>
        <v>79.561250000000001</v>
      </c>
      <c r="K682" t="str" cm="1">
        <f t="array" ref="K682">_xlfn.IFS(G682&lt;=5, "Small", G682&lt;=15, "Medium", G682&gt;15, "Large")</f>
        <v>Large</v>
      </c>
      <c r="L682" t="str">
        <f t="shared" si="42"/>
        <v>Standard</v>
      </c>
      <c r="M682" t="str">
        <f t="shared" si="43"/>
        <v>Weekday</v>
      </c>
    </row>
    <row r="683" spans="1:13" x14ac:dyDescent="0.35">
      <c r="A683" t="s">
        <v>736</v>
      </c>
      <c r="B683" s="1">
        <v>45495</v>
      </c>
      <c r="C683" t="s">
        <v>30</v>
      </c>
      <c r="D683" t="s">
        <v>31</v>
      </c>
      <c r="E683" t="s">
        <v>27</v>
      </c>
      <c r="F683" s="4">
        <v>14415.18</v>
      </c>
      <c r="G683" s="5">
        <v>4</v>
      </c>
      <c r="H683" t="s">
        <v>15</v>
      </c>
      <c r="I683" t="str">
        <f t="shared" si="40"/>
        <v>2024-07</v>
      </c>
      <c r="J683" s="4">
        <f t="shared" si="41"/>
        <v>3603.7950000000001</v>
      </c>
      <c r="K683" t="str" cm="1">
        <f t="array" ref="K683">_xlfn.IFS(G683&lt;=5, "Small", G683&lt;=15, "Medium", G683&gt;15, "Large")</f>
        <v>Small</v>
      </c>
      <c r="L683" t="str">
        <f t="shared" si="42"/>
        <v>Standard</v>
      </c>
      <c r="M683" t="str">
        <f t="shared" si="43"/>
        <v>Weekday</v>
      </c>
    </row>
    <row r="684" spans="1:13" x14ac:dyDescent="0.35">
      <c r="A684" t="s">
        <v>737</v>
      </c>
      <c r="B684" s="1">
        <v>45410</v>
      </c>
      <c r="C684" t="s">
        <v>115</v>
      </c>
      <c r="D684" t="s">
        <v>10</v>
      </c>
      <c r="E684" t="s">
        <v>27</v>
      </c>
      <c r="F684" s="4">
        <v>0</v>
      </c>
      <c r="G684" s="5">
        <v>5</v>
      </c>
      <c r="H684" t="s">
        <v>28</v>
      </c>
      <c r="I684" t="str">
        <f t="shared" si="40"/>
        <v>2024-04</v>
      </c>
      <c r="J684" s="4">
        <f t="shared" si="41"/>
        <v>0</v>
      </c>
      <c r="K684" t="str" cm="1">
        <f t="array" ref="K684">_xlfn.IFS(G684&lt;=5, "Small", G684&lt;=15, "Medium", G684&gt;15, "Large")</f>
        <v>Small</v>
      </c>
      <c r="L684" t="str">
        <f t="shared" si="42"/>
        <v>Standard</v>
      </c>
      <c r="M684" t="str">
        <f t="shared" si="43"/>
        <v>Weekend</v>
      </c>
    </row>
    <row r="685" spans="1:13" x14ac:dyDescent="0.35">
      <c r="A685" t="s">
        <v>738</v>
      </c>
      <c r="B685" s="1">
        <v>45048</v>
      </c>
      <c r="C685" t="s">
        <v>64</v>
      </c>
      <c r="D685" t="s">
        <v>10</v>
      </c>
      <c r="E685" t="s">
        <v>11</v>
      </c>
      <c r="F685" s="4">
        <v>0</v>
      </c>
      <c r="G685" s="5">
        <v>5</v>
      </c>
      <c r="H685" t="s">
        <v>28</v>
      </c>
      <c r="I685" t="str">
        <f t="shared" si="40"/>
        <v>2023-05</v>
      </c>
      <c r="J685" s="4">
        <f t="shared" si="41"/>
        <v>0</v>
      </c>
      <c r="K685" t="str" cm="1">
        <f t="array" ref="K685">_xlfn.IFS(G685&lt;=5, "Small", G685&lt;=15, "Medium", G685&gt;15, "Large")</f>
        <v>Small</v>
      </c>
      <c r="L685" t="str">
        <f t="shared" si="42"/>
        <v>Standard</v>
      </c>
      <c r="M685" t="str">
        <f t="shared" si="43"/>
        <v>Weekday</v>
      </c>
    </row>
    <row r="686" spans="1:13" x14ac:dyDescent="0.35">
      <c r="A686" t="s">
        <v>739</v>
      </c>
      <c r="B686" s="1">
        <v>45009</v>
      </c>
      <c r="C686" t="s">
        <v>9</v>
      </c>
      <c r="D686" t="s">
        <v>10</v>
      </c>
      <c r="E686" t="s">
        <v>18</v>
      </c>
      <c r="F686" s="4">
        <v>1361.03</v>
      </c>
      <c r="G686" s="5">
        <v>11</v>
      </c>
      <c r="H686" t="s">
        <v>15</v>
      </c>
      <c r="I686" t="str">
        <f t="shared" si="40"/>
        <v>2023-03</v>
      </c>
      <c r="J686" s="4">
        <f t="shared" si="41"/>
        <v>123.73</v>
      </c>
      <c r="K686" t="str" cm="1">
        <f t="array" ref="K686">_xlfn.IFS(G686&lt;=5, "Small", G686&lt;=15, "Medium", G686&gt;15, "Large")</f>
        <v>Medium</v>
      </c>
      <c r="L686" t="str">
        <f t="shared" si="42"/>
        <v>Standard</v>
      </c>
      <c r="M686" t="str">
        <f t="shared" si="43"/>
        <v>Weekday</v>
      </c>
    </row>
    <row r="687" spans="1:13" x14ac:dyDescent="0.35">
      <c r="A687" t="s">
        <v>740</v>
      </c>
      <c r="B687" s="1">
        <v>45334</v>
      </c>
      <c r="C687" t="s">
        <v>9</v>
      </c>
      <c r="D687" t="s">
        <v>10</v>
      </c>
      <c r="E687" t="s">
        <v>11</v>
      </c>
      <c r="F687" s="4">
        <v>14544.9</v>
      </c>
      <c r="G687" s="5">
        <v>3</v>
      </c>
      <c r="H687" t="s">
        <v>15</v>
      </c>
      <c r="I687" t="str">
        <f t="shared" si="40"/>
        <v>2024-02</v>
      </c>
      <c r="J687" s="4">
        <f t="shared" si="41"/>
        <v>4848.3</v>
      </c>
      <c r="K687" t="str" cm="1">
        <f t="array" ref="K687">_xlfn.IFS(G687&lt;=5, "Small", G687&lt;=15, "Medium", G687&gt;15, "Large")</f>
        <v>Small</v>
      </c>
      <c r="L687" t="str">
        <f t="shared" si="42"/>
        <v>Standard</v>
      </c>
      <c r="M687" t="str">
        <f t="shared" si="43"/>
        <v>Weekday</v>
      </c>
    </row>
    <row r="688" spans="1:13" x14ac:dyDescent="0.35">
      <c r="A688" t="s">
        <v>741</v>
      </c>
      <c r="B688" s="1">
        <v>45030</v>
      </c>
      <c r="C688" t="s">
        <v>40</v>
      </c>
      <c r="D688" t="s">
        <v>26</v>
      </c>
      <c r="E688" t="s">
        <v>27</v>
      </c>
      <c r="F688" s="4">
        <v>24186.07</v>
      </c>
      <c r="G688" s="5">
        <v>2</v>
      </c>
      <c r="H688" t="s">
        <v>15</v>
      </c>
      <c r="I688" t="str">
        <f t="shared" si="40"/>
        <v>2023-04</v>
      </c>
      <c r="J688" s="4">
        <f t="shared" si="41"/>
        <v>12093.035</v>
      </c>
      <c r="K688" t="str" cm="1">
        <f t="array" ref="K688">_xlfn.IFS(G688&lt;=5, "Small", G688&lt;=15, "Medium", G688&gt;15, "Large")</f>
        <v>Small</v>
      </c>
      <c r="L688" t="str">
        <f t="shared" si="42"/>
        <v>Standard</v>
      </c>
      <c r="M688" t="str">
        <f t="shared" si="43"/>
        <v>Weekday</v>
      </c>
    </row>
    <row r="689" spans="1:13" x14ac:dyDescent="0.35">
      <c r="A689" t="s">
        <v>742</v>
      </c>
      <c r="B689" s="1">
        <v>45195</v>
      </c>
      <c r="C689" t="s">
        <v>177</v>
      </c>
      <c r="D689" t="s">
        <v>26</v>
      </c>
      <c r="E689" t="s">
        <v>27</v>
      </c>
      <c r="F689" s="4">
        <v>17137.990000000002</v>
      </c>
      <c r="G689" s="5">
        <v>4</v>
      </c>
      <c r="H689" t="s">
        <v>15</v>
      </c>
      <c r="I689" t="str">
        <f t="shared" si="40"/>
        <v>2023-09</v>
      </c>
      <c r="J689" s="4">
        <f t="shared" si="41"/>
        <v>4284.4975000000004</v>
      </c>
      <c r="K689" t="str" cm="1">
        <f t="array" ref="K689">_xlfn.IFS(G689&lt;=5, "Small", G689&lt;=15, "Medium", G689&gt;15, "Large")</f>
        <v>Small</v>
      </c>
      <c r="L689" t="str">
        <f t="shared" si="42"/>
        <v>Standard</v>
      </c>
      <c r="M689" t="str">
        <f t="shared" si="43"/>
        <v>Weekday</v>
      </c>
    </row>
    <row r="690" spans="1:13" x14ac:dyDescent="0.35">
      <c r="A690" t="s">
        <v>743</v>
      </c>
      <c r="B690" s="1">
        <v>45601</v>
      </c>
      <c r="C690" t="s">
        <v>162</v>
      </c>
      <c r="D690" t="s">
        <v>26</v>
      </c>
      <c r="E690" t="s">
        <v>27</v>
      </c>
      <c r="F690" s="4">
        <v>43399.38</v>
      </c>
      <c r="G690" s="5">
        <v>4</v>
      </c>
      <c r="H690" t="s">
        <v>15</v>
      </c>
      <c r="I690" t="str">
        <f t="shared" si="40"/>
        <v>2024-11</v>
      </c>
      <c r="J690" s="4">
        <f t="shared" si="41"/>
        <v>10849.844999999999</v>
      </c>
      <c r="K690" t="str" cm="1">
        <f t="array" ref="K690">_xlfn.IFS(G690&lt;=5, "Small", G690&lt;=15, "Medium", G690&gt;15, "Large")</f>
        <v>Small</v>
      </c>
      <c r="L690" t="str">
        <f t="shared" si="42"/>
        <v>VIP</v>
      </c>
      <c r="M690" t="str">
        <f t="shared" si="43"/>
        <v>Weekday</v>
      </c>
    </row>
    <row r="691" spans="1:13" x14ac:dyDescent="0.35">
      <c r="A691" t="s">
        <v>744</v>
      </c>
      <c r="B691" s="1">
        <v>45479</v>
      </c>
      <c r="C691" t="s">
        <v>89</v>
      </c>
      <c r="D691" t="s">
        <v>21</v>
      </c>
      <c r="E691" t="s">
        <v>18</v>
      </c>
      <c r="F691" s="4">
        <v>2289.85</v>
      </c>
      <c r="G691" s="5">
        <v>17</v>
      </c>
      <c r="H691" t="s">
        <v>15</v>
      </c>
      <c r="I691" t="str">
        <f t="shared" si="40"/>
        <v>2024-07</v>
      </c>
      <c r="J691" s="4">
        <f t="shared" si="41"/>
        <v>134.6970588235294</v>
      </c>
      <c r="K691" t="str" cm="1">
        <f t="array" ref="K691">_xlfn.IFS(G691&lt;=5, "Small", G691&lt;=15, "Medium", G691&gt;15, "Large")</f>
        <v>Large</v>
      </c>
      <c r="L691" t="str">
        <f t="shared" si="42"/>
        <v>Standard</v>
      </c>
      <c r="M691" t="str">
        <f t="shared" si="43"/>
        <v>Weekend</v>
      </c>
    </row>
    <row r="692" spans="1:13" x14ac:dyDescent="0.35">
      <c r="A692" t="s">
        <v>745</v>
      </c>
      <c r="B692" s="1">
        <v>45258</v>
      </c>
      <c r="C692" t="s">
        <v>253</v>
      </c>
      <c r="D692" t="s">
        <v>21</v>
      </c>
      <c r="E692" t="s">
        <v>27</v>
      </c>
      <c r="F692" s="4">
        <v>13056.11</v>
      </c>
      <c r="G692" s="5">
        <v>1</v>
      </c>
      <c r="H692" t="s">
        <v>15</v>
      </c>
      <c r="I692" t="str">
        <f t="shared" si="40"/>
        <v>2023-11</v>
      </c>
      <c r="J692" s="4">
        <f t="shared" si="41"/>
        <v>13056.11</v>
      </c>
      <c r="K692" t="str" cm="1">
        <f t="array" ref="K692">_xlfn.IFS(G692&lt;=5, "Small", G692&lt;=15, "Medium", G692&gt;15, "Large")</f>
        <v>Small</v>
      </c>
      <c r="L692" t="str">
        <f t="shared" si="42"/>
        <v>Standard</v>
      </c>
      <c r="M692" t="str">
        <f t="shared" si="43"/>
        <v>Weekday</v>
      </c>
    </row>
    <row r="693" spans="1:13" x14ac:dyDescent="0.35">
      <c r="A693" t="s">
        <v>746</v>
      </c>
      <c r="B693" s="1">
        <v>45470</v>
      </c>
      <c r="C693" t="s">
        <v>115</v>
      </c>
      <c r="D693" t="s">
        <v>10</v>
      </c>
      <c r="E693" t="s">
        <v>11</v>
      </c>
      <c r="F693" s="4">
        <v>9886.43</v>
      </c>
      <c r="G693" s="5">
        <v>8</v>
      </c>
      <c r="H693" t="s">
        <v>15</v>
      </c>
      <c r="I693" t="str">
        <f t="shared" si="40"/>
        <v>2024-06</v>
      </c>
      <c r="J693" s="4">
        <f t="shared" si="41"/>
        <v>1235.80375</v>
      </c>
      <c r="K693" t="str" cm="1">
        <f t="array" ref="K693">_xlfn.IFS(G693&lt;=5, "Small", G693&lt;=15, "Medium", G693&gt;15, "Large")</f>
        <v>Medium</v>
      </c>
      <c r="L693" t="str">
        <f t="shared" si="42"/>
        <v>Standard</v>
      </c>
      <c r="M693" t="str">
        <f t="shared" si="43"/>
        <v>Weekday</v>
      </c>
    </row>
    <row r="694" spans="1:13" x14ac:dyDescent="0.35">
      <c r="A694" t="s">
        <v>747</v>
      </c>
      <c r="B694" s="1">
        <v>45577</v>
      </c>
      <c r="C694" t="s">
        <v>74</v>
      </c>
      <c r="D694" t="s">
        <v>31</v>
      </c>
      <c r="E694" t="s">
        <v>27</v>
      </c>
      <c r="F694" s="4">
        <v>8022.39</v>
      </c>
      <c r="G694" s="5">
        <v>4</v>
      </c>
      <c r="H694" t="s">
        <v>15</v>
      </c>
      <c r="I694" t="str">
        <f t="shared" si="40"/>
        <v>2024-10</v>
      </c>
      <c r="J694" s="4">
        <f t="shared" si="41"/>
        <v>2005.5975000000001</v>
      </c>
      <c r="K694" t="str" cm="1">
        <f t="array" ref="K694">_xlfn.IFS(G694&lt;=5, "Small", G694&lt;=15, "Medium", G694&gt;15, "Large")</f>
        <v>Small</v>
      </c>
      <c r="L694" t="str">
        <f t="shared" si="42"/>
        <v>Standard</v>
      </c>
      <c r="M694" t="str">
        <f t="shared" si="43"/>
        <v>Weekend</v>
      </c>
    </row>
    <row r="695" spans="1:13" x14ac:dyDescent="0.35">
      <c r="A695" t="s">
        <v>748</v>
      </c>
      <c r="B695" s="1">
        <v>45562</v>
      </c>
      <c r="C695" t="s">
        <v>23</v>
      </c>
      <c r="D695" t="s">
        <v>21</v>
      </c>
      <c r="E695" t="s">
        <v>11</v>
      </c>
      <c r="F695" s="4">
        <v>8091.95</v>
      </c>
      <c r="G695" s="5">
        <v>7</v>
      </c>
      <c r="H695" t="s">
        <v>15</v>
      </c>
      <c r="I695" t="str">
        <f t="shared" si="40"/>
        <v>2024-09</v>
      </c>
      <c r="J695" s="4">
        <f t="shared" si="41"/>
        <v>1155.992857142857</v>
      </c>
      <c r="K695" t="str" cm="1">
        <f t="array" ref="K695">_xlfn.IFS(G695&lt;=5, "Small", G695&lt;=15, "Medium", G695&gt;15, "Large")</f>
        <v>Medium</v>
      </c>
      <c r="L695" t="str">
        <f t="shared" si="42"/>
        <v>Standard</v>
      </c>
      <c r="M695" t="str">
        <f t="shared" si="43"/>
        <v>Weekday</v>
      </c>
    </row>
    <row r="696" spans="1:13" x14ac:dyDescent="0.35">
      <c r="A696" t="s">
        <v>749</v>
      </c>
      <c r="B696" s="1">
        <v>45172</v>
      </c>
      <c r="C696" t="s">
        <v>84</v>
      </c>
      <c r="D696" t="s">
        <v>26</v>
      </c>
      <c r="E696" t="s">
        <v>11</v>
      </c>
      <c r="F696" s="4">
        <v>11111.32</v>
      </c>
      <c r="G696" s="5">
        <v>6</v>
      </c>
      <c r="H696" t="s">
        <v>15</v>
      </c>
      <c r="I696" t="str">
        <f t="shared" si="40"/>
        <v>2023-09</v>
      </c>
      <c r="J696" s="4">
        <f t="shared" si="41"/>
        <v>1851.8866666666665</v>
      </c>
      <c r="K696" t="str" cm="1">
        <f t="array" ref="K696">_xlfn.IFS(G696&lt;=5, "Small", G696&lt;=15, "Medium", G696&gt;15, "Large")</f>
        <v>Medium</v>
      </c>
      <c r="L696" t="str">
        <f t="shared" si="42"/>
        <v>Standard</v>
      </c>
      <c r="M696" t="str">
        <f t="shared" si="43"/>
        <v>Weekend</v>
      </c>
    </row>
    <row r="697" spans="1:13" x14ac:dyDescent="0.35">
      <c r="A697" t="s">
        <v>750</v>
      </c>
      <c r="B697" s="1">
        <v>45539</v>
      </c>
      <c r="C697" t="s">
        <v>97</v>
      </c>
      <c r="D697" t="s">
        <v>21</v>
      </c>
      <c r="E697" t="s">
        <v>11</v>
      </c>
      <c r="F697" s="4">
        <v>2676.53</v>
      </c>
      <c r="G697" s="5">
        <v>6</v>
      </c>
      <c r="H697" t="s">
        <v>15</v>
      </c>
      <c r="I697" t="str">
        <f t="shared" si="40"/>
        <v>2024-09</v>
      </c>
      <c r="J697" s="4">
        <f t="shared" si="41"/>
        <v>446.08833333333337</v>
      </c>
      <c r="K697" t="str" cm="1">
        <f t="array" ref="K697">_xlfn.IFS(G697&lt;=5, "Small", G697&lt;=15, "Medium", G697&gt;15, "Large")</f>
        <v>Medium</v>
      </c>
      <c r="L697" t="str">
        <f t="shared" si="42"/>
        <v>Standard</v>
      </c>
      <c r="M697" t="str">
        <f t="shared" si="43"/>
        <v>Weekday</v>
      </c>
    </row>
    <row r="698" spans="1:13" x14ac:dyDescent="0.35">
      <c r="A698" t="s">
        <v>751</v>
      </c>
      <c r="B698" s="1">
        <v>45632</v>
      </c>
      <c r="C698" t="s">
        <v>126</v>
      </c>
      <c r="D698" t="s">
        <v>21</v>
      </c>
      <c r="E698" t="s">
        <v>11</v>
      </c>
      <c r="F698" s="4">
        <v>3113.9</v>
      </c>
      <c r="G698" s="5">
        <v>5</v>
      </c>
      <c r="H698" t="s">
        <v>15</v>
      </c>
      <c r="I698" t="str">
        <f t="shared" si="40"/>
        <v>2024-12</v>
      </c>
      <c r="J698" s="4">
        <f t="shared" si="41"/>
        <v>622.78</v>
      </c>
      <c r="K698" t="str" cm="1">
        <f t="array" ref="K698">_xlfn.IFS(G698&lt;=5, "Small", G698&lt;=15, "Medium", G698&gt;15, "Large")</f>
        <v>Small</v>
      </c>
      <c r="L698" t="str">
        <f t="shared" si="42"/>
        <v>Standard</v>
      </c>
      <c r="M698" t="str">
        <f t="shared" si="43"/>
        <v>Weekday</v>
      </c>
    </row>
    <row r="699" spans="1:13" x14ac:dyDescent="0.35">
      <c r="A699" t="s">
        <v>752</v>
      </c>
      <c r="B699" s="1">
        <v>45607</v>
      </c>
      <c r="C699" t="s">
        <v>160</v>
      </c>
      <c r="D699" t="s">
        <v>26</v>
      </c>
      <c r="E699" t="s">
        <v>27</v>
      </c>
      <c r="F699" s="4">
        <v>40590.800000000003</v>
      </c>
      <c r="G699" s="5">
        <v>3</v>
      </c>
      <c r="H699" t="s">
        <v>15</v>
      </c>
      <c r="I699" t="str">
        <f t="shared" si="40"/>
        <v>2024-11</v>
      </c>
      <c r="J699" s="4">
        <f t="shared" si="41"/>
        <v>13530.266666666668</v>
      </c>
      <c r="K699" t="str" cm="1">
        <f t="array" ref="K699">_xlfn.IFS(G699&lt;=5, "Small", G699&lt;=15, "Medium", G699&gt;15, "Large")</f>
        <v>Small</v>
      </c>
      <c r="L699" t="str">
        <f t="shared" si="42"/>
        <v>VIP</v>
      </c>
      <c r="M699" t="str">
        <f t="shared" si="43"/>
        <v>Weekday</v>
      </c>
    </row>
    <row r="700" spans="1:13" x14ac:dyDescent="0.35">
      <c r="A700" t="s">
        <v>753</v>
      </c>
      <c r="B700" s="1">
        <v>45015</v>
      </c>
      <c r="C700" t="s">
        <v>58</v>
      </c>
      <c r="D700" t="s">
        <v>31</v>
      </c>
      <c r="E700" t="s">
        <v>27</v>
      </c>
      <c r="F700" s="4">
        <v>7709.08</v>
      </c>
      <c r="G700" s="5">
        <v>4</v>
      </c>
      <c r="H700" t="s">
        <v>15</v>
      </c>
      <c r="I700" t="str">
        <f t="shared" si="40"/>
        <v>2023-03</v>
      </c>
      <c r="J700" s="4">
        <f t="shared" si="41"/>
        <v>1927.27</v>
      </c>
      <c r="K700" t="str" cm="1">
        <f t="array" ref="K700">_xlfn.IFS(G700&lt;=5, "Small", G700&lt;=15, "Medium", G700&gt;15, "Large")</f>
        <v>Small</v>
      </c>
      <c r="L700" t="str">
        <f t="shared" si="42"/>
        <v>Standard</v>
      </c>
      <c r="M700" t="str">
        <f t="shared" si="43"/>
        <v>Weekday</v>
      </c>
    </row>
    <row r="701" spans="1:13" x14ac:dyDescent="0.35">
      <c r="A701" t="s">
        <v>754</v>
      </c>
      <c r="B701" s="1">
        <v>45396</v>
      </c>
      <c r="C701" t="s">
        <v>33</v>
      </c>
      <c r="D701" t="s">
        <v>10</v>
      </c>
      <c r="E701" t="s">
        <v>18</v>
      </c>
      <c r="F701" s="4">
        <v>510.62</v>
      </c>
      <c r="G701" s="5">
        <v>27</v>
      </c>
      <c r="H701" t="s">
        <v>15</v>
      </c>
      <c r="I701" t="str">
        <f t="shared" si="40"/>
        <v>2024-04</v>
      </c>
      <c r="J701" s="4">
        <f t="shared" si="41"/>
        <v>18.911851851851853</v>
      </c>
      <c r="K701" t="str" cm="1">
        <f t="array" ref="K701">_xlfn.IFS(G701&lt;=5, "Small", G701&lt;=15, "Medium", G701&gt;15, "Large")</f>
        <v>Large</v>
      </c>
      <c r="L701" t="str">
        <f t="shared" si="42"/>
        <v>Standard</v>
      </c>
      <c r="M701" t="str">
        <f t="shared" si="43"/>
        <v>Weekend</v>
      </c>
    </row>
    <row r="702" spans="1:13" x14ac:dyDescent="0.35">
      <c r="A702" t="s">
        <v>755</v>
      </c>
      <c r="B702" s="1">
        <v>45078</v>
      </c>
      <c r="C702" t="s">
        <v>33</v>
      </c>
      <c r="D702" t="s">
        <v>10</v>
      </c>
      <c r="E702" t="s">
        <v>11</v>
      </c>
      <c r="F702" s="4">
        <v>0</v>
      </c>
      <c r="G702" s="5">
        <v>1</v>
      </c>
      <c r="H702" t="s">
        <v>28</v>
      </c>
      <c r="I702" t="str">
        <f t="shared" si="40"/>
        <v>2023-06</v>
      </c>
      <c r="J702" s="4">
        <f t="shared" si="41"/>
        <v>0</v>
      </c>
      <c r="K702" t="str" cm="1">
        <f t="array" ref="K702">_xlfn.IFS(G702&lt;=5, "Small", G702&lt;=15, "Medium", G702&gt;15, "Large")</f>
        <v>Small</v>
      </c>
      <c r="L702" t="str">
        <f t="shared" si="42"/>
        <v>Standard</v>
      </c>
      <c r="M702" t="str">
        <f t="shared" si="43"/>
        <v>Weekday</v>
      </c>
    </row>
    <row r="703" spans="1:13" x14ac:dyDescent="0.35">
      <c r="A703" t="s">
        <v>756</v>
      </c>
      <c r="B703" s="1">
        <v>45641</v>
      </c>
      <c r="C703" t="s">
        <v>82</v>
      </c>
      <c r="D703" t="s">
        <v>10</v>
      </c>
      <c r="E703" t="s">
        <v>18</v>
      </c>
      <c r="F703" s="4">
        <v>3354.23</v>
      </c>
      <c r="G703" s="5">
        <v>6</v>
      </c>
      <c r="H703" t="s">
        <v>15</v>
      </c>
      <c r="I703" t="str">
        <f t="shared" si="40"/>
        <v>2024-12</v>
      </c>
      <c r="J703" s="4">
        <f t="shared" si="41"/>
        <v>559.0383333333333</v>
      </c>
      <c r="K703" t="str" cm="1">
        <f t="array" ref="K703">_xlfn.IFS(G703&lt;=5, "Small", G703&lt;=15, "Medium", G703&gt;15, "Large")</f>
        <v>Medium</v>
      </c>
      <c r="L703" t="str">
        <f t="shared" si="42"/>
        <v>Standard</v>
      </c>
      <c r="M703" t="str">
        <f t="shared" si="43"/>
        <v>Weekend</v>
      </c>
    </row>
    <row r="704" spans="1:13" x14ac:dyDescent="0.35">
      <c r="A704" t="s">
        <v>757</v>
      </c>
      <c r="B704" s="1">
        <v>45401</v>
      </c>
      <c r="C704" t="s">
        <v>78</v>
      </c>
      <c r="D704" t="s">
        <v>31</v>
      </c>
      <c r="E704" t="s">
        <v>27</v>
      </c>
      <c r="F704" s="4">
        <v>3276.89</v>
      </c>
      <c r="G704" s="5">
        <v>4</v>
      </c>
      <c r="H704" t="s">
        <v>15</v>
      </c>
      <c r="I704" t="str">
        <f t="shared" si="40"/>
        <v>2024-04</v>
      </c>
      <c r="J704" s="4">
        <f t="shared" si="41"/>
        <v>819.22249999999997</v>
      </c>
      <c r="K704" t="str" cm="1">
        <f t="array" ref="K704">_xlfn.IFS(G704&lt;=5, "Small", G704&lt;=15, "Medium", G704&gt;15, "Large")</f>
        <v>Small</v>
      </c>
      <c r="L704" t="str">
        <f t="shared" si="42"/>
        <v>Standard</v>
      </c>
      <c r="M704" t="str">
        <f t="shared" si="43"/>
        <v>Weekday</v>
      </c>
    </row>
    <row r="705" spans="1:13" x14ac:dyDescent="0.35">
      <c r="A705" t="s">
        <v>758</v>
      </c>
      <c r="B705" s="1">
        <v>45380</v>
      </c>
      <c r="C705" t="s">
        <v>40</v>
      </c>
      <c r="D705" t="s">
        <v>26</v>
      </c>
      <c r="E705" t="s">
        <v>11</v>
      </c>
      <c r="F705" s="4">
        <v>0</v>
      </c>
      <c r="G705" s="5">
        <v>4</v>
      </c>
      <c r="H705" t="s">
        <v>12</v>
      </c>
      <c r="I705" t="str">
        <f t="shared" si="40"/>
        <v>2024-03</v>
      </c>
      <c r="J705" s="4">
        <f t="shared" si="41"/>
        <v>0</v>
      </c>
      <c r="K705" t="str" cm="1">
        <f t="array" ref="K705">_xlfn.IFS(G705&lt;=5, "Small", G705&lt;=15, "Medium", G705&gt;15, "Large")</f>
        <v>Small</v>
      </c>
      <c r="L705" t="str">
        <f t="shared" si="42"/>
        <v>Standard</v>
      </c>
      <c r="M705" t="str">
        <f t="shared" si="43"/>
        <v>Weekday</v>
      </c>
    </row>
    <row r="706" spans="1:13" x14ac:dyDescent="0.35">
      <c r="A706" t="s">
        <v>759</v>
      </c>
      <c r="B706" s="1">
        <v>45352</v>
      </c>
      <c r="C706" t="s">
        <v>74</v>
      </c>
      <c r="D706" t="s">
        <v>31</v>
      </c>
      <c r="E706" t="s">
        <v>18</v>
      </c>
      <c r="F706" s="4">
        <v>619.27</v>
      </c>
      <c r="G706" s="5">
        <v>8</v>
      </c>
      <c r="H706" t="s">
        <v>15</v>
      </c>
      <c r="I706" t="str">
        <f t="shared" si="40"/>
        <v>2024-03</v>
      </c>
      <c r="J706" s="4">
        <f t="shared" si="41"/>
        <v>77.408749999999998</v>
      </c>
      <c r="K706" t="str" cm="1">
        <f t="array" ref="K706">_xlfn.IFS(G706&lt;=5, "Small", G706&lt;=15, "Medium", G706&gt;15, "Large")</f>
        <v>Medium</v>
      </c>
      <c r="L706" t="str">
        <f t="shared" si="42"/>
        <v>Standard</v>
      </c>
      <c r="M706" t="str">
        <f t="shared" si="43"/>
        <v>Weekday</v>
      </c>
    </row>
    <row r="707" spans="1:13" x14ac:dyDescent="0.35">
      <c r="A707" t="s">
        <v>760</v>
      </c>
      <c r="B707" s="1">
        <v>45168</v>
      </c>
      <c r="C707" t="s">
        <v>40</v>
      </c>
      <c r="D707" t="s">
        <v>26</v>
      </c>
      <c r="E707" t="s">
        <v>27</v>
      </c>
      <c r="F707" s="4">
        <v>8541.82</v>
      </c>
      <c r="G707" s="5">
        <v>3</v>
      </c>
      <c r="H707" t="s">
        <v>15</v>
      </c>
      <c r="I707" t="str">
        <f t="shared" ref="I707:I770" si="44">TEXT(B707, "YYYY-MM")</f>
        <v>2023-08</v>
      </c>
      <c r="J707" s="4">
        <f t="shared" ref="J707:J770" si="45">IFERROR(F707/G707, 0)</f>
        <v>2847.2733333333331</v>
      </c>
      <c r="K707" t="str" cm="1">
        <f t="array" ref="K707">_xlfn.IFS(G707&lt;=5, "Small", G707&lt;=15, "Medium", G707&gt;15, "Large")</f>
        <v>Small</v>
      </c>
      <c r="L707" t="str">
        <f t="shared" ref="L707:L770" si="46">IF(F707&gt;_xlfn.PERCENTILE.INC($F$2:$F$10000, 0.9), "VIP", "Standard")</f>
        <v>Standard</v>
      </c>
      <c r="M707" t="str">
        <f t="shared" ref="M707:M770" si="47">IF(WEEKDAY(B707, 2)&gt;5, "Weekend", "Weekday")</f>
        <v>Weekday</v>
      </c>
    </row>
    <row r="708" spans="1:13" x14ac:dyDescent="0.35">
      <c r="A708" t="s">
        <v>761</v>
      </c>
      <c r="B708" s="1">
        <v>45121</v>
      </c>
      <c r="C708" t="s">
        <v>42</v>
      </c>
      <c r="D708" t="s">
        <v>10</v>
      </c>
      <c r="E708" t="s">
        <v>18</v>
      </c>
      <c r="F708" s="4">
        <v>581.75</v>
      </c>
      <c r="G708" s="5">
        <v>10</v>
      </c>
      <c r="H708" t="s">
        <v>15</v>
      </c>
      <c r="I708" t="str">
        <f t="shared" si="44"/>
        <v>2023-07</v>
      </c>
      <c r="J708" s="4">
        <f t="shared" si="45"/>
        <v>58.174999999999997</v>
      </c>
      <c r="K708" t="str" cm="1">
        <f t="array" ref="K708">_xlfn.IFS(G708&lt;=5, "Small", G708&lt;=15, "Medium", G708&gt;15, "Large")</f>
        <v>Medium</v>
      </c>
      <c r="L708" t="str">
        <f t="shared" si="46"/>
        <v>Standard</v>
      </c>
      <c r="M708" t="str">
        <f t="shared" si="47"/>
        <v>Weekday</v>
      </c>
    </row>
    <row r="709" spans="1:13" x14ac:dyDescent="0.35">
      <c r="A709" t="s">
        <v>762</v>
      </c>
      <c r="B709" s="1">
        <v>45065</v>
      </c>
      <c r="C709" t="s">
        <v>241</v>
      </c>
      <c r="D709" t="s">
        <v>31</v>
      </c>
      <c r="E709" t="s">
        <v>11</v>
      </c>
      <c r="F709" s="4">
        <v>0</v>
      </c>
      <c r="G709" s="5">
        <v>3</v>
      </c>
      <c r="H709" t="s">
        <v>28</v>
      </c>
      <c r="I709" t="str">
        <f t="shared" si="44"/>
        <v>2023-05</v>
      </c>
      <c r="J709" s="4">
        <f t="shared" si="45"/>
        <v>0</v>
      </c>
      <c r="K709" t="str" cm="1">
        <f t="array" ref="K709">_xlfn.IFS(G709&lt;=5, "Small", G709&lt;=15, "Medium", G709&gt;15, "Large")</f>
        <v>Small</v>
      </c>
      <c r="L709" t="str">
        <f t="shared" si="46"/>
        <v>Standard</v>
      </c>
      <c r="M709" t="str">
        <f t="shared" si="47"/>
        <v>Weekday</v>
      </c>
    </row>
    <row r="710" spans="1:13" x14ac:dyDescent="0.35">
      <c r="A710" t="s">
        <v>763</v>
      </c>
      <c r="B710" s="1">
        <v>45009</v>
      </c>
      <c r="C710" t="s">
        <v>160</v>
      </c>
      <c r="D710" t="s">
        <v>26</v>
      </c>
      <c r="E710" t="s">
        <v>18</v>
      </c>
      <c r="F710" s="4">
        <v>0</v>
      </c>
      <c r="G710" s="5">
        <v>17</v>
      </c>
      <c r="H710" t="s">
        <v>28</v>
      </c>
      <c r="I710" t="str">
        <f t="shared" si="44"/>
        <v>2023-03</v>
      </c>
      <c r="J710" s="4">
        <f t="shared" si="45"/>
        <v>0</v>
      </c>
      <c r="K710" t="str" cm="1">
        <f t="array" ref="K710">_xlfn.IFS(G710&lt;=5, "Small", G710&lt;=15, "Medium", G710&gt;15, "Large")</f>
        <v>Large</v>
      </c>
      <c r="L710" t="str">
        <f t="shared" si="46"/>
        <v>Standard</v>
      </c>
      <c r="M710" t="str">
        <f t="shared" si="47"/>
        <v>Weekday</v>
      </c>
    </row>
    <row r="711" spans="1:13" x14ac:dyDescent="0.35">
      <c r="A711" t="s">
        <v>764</v>
      </c>
      <c r="B711" s="1">
        <v>45626</v>
      </c>
      <c r="C711" t="s">
        <v>60</v>
      </c>
      <c r="D711" t="s">
        <v>21</v>
      </c>
      <c r="E711" t="s">
        <v>27</v>
      </c>
      <c r="F711" s="4">
        <v>11180.87</v>
      </c>
      <c r="G711" s="5">
        <v>2</v>
      </c>
      <c r="H711" t="s">
        <v>15</v>
      </c>
      <c r="I711" t="str">
        <f t="shared" si="44"/>
        <v>2024-11</v>
      </c>
      <c r="J711" s="4">
        <f t="shared" si="45"/>
        <v>5590.4350000000004</v>
      </c>
      <c r="K711" t="str" cm="1">
        <f t="array" ref="K711">_xlfn.IFS(G711&lt;=5, "Small", G711&lt;=15, "Medium", G711&gt;15, "Large")</f>
        <v>Small</v>
      </c>
      <c r="L711" t="str">
        <f t="shared" si="46"/>
        <v>Standard</v>
      </c>
      <c r="M711" t="str">
        <f t="shared" si="47"/>
        <v>Weekend</v>
      </c>
    </row>
    <row r="712" spans="1:13" x14ac:dyDescent="0.35">
      <c r="A712" t="s">
        <v>765</v>
      </c>
      <c r="B712" s="1">
        <v>45296</v>
      </c>
      <c r="C712" t="s">
        <v>40</v>
      </c>
      <c r="D712" t="s">
        <v>26</v>
      </c>
      <c r="E712" t="s">
        <v>11</v>
      </c>
      <c r="F712" s="4">
        <v>11148.89</v>
      </c>
      <c r="G712" s="5">
        <v>5</v>
      </c>
      <c r="H712" t="s">
        <v>15</v>
      </c>
      <c r="I712" t="str">
        <f t="shared" si="44"/>
        <v>2024-01</v>
      </c>
      <c r="J712" s="4">
        <f t="shared" si="45"/>
        <v>2229.7779999999998</v>
      </c>
      <c r="K712" t="str" cm="1">
        <f t="array" ref="K712">_xlfn.IFS(G712&lt;=5, "Small", G712&lt;=15, "Medium", G712&gt;15, "Large")</f>
        <v>Small</v>
      </c>
      <c r="L712" t="str">
        <f t="shared" si="46"/>
        <v>Standard</v>
      </c>
      <c r="M712" t="str">
        <f t="shared" si="47"/>
        <v>Weekday</v>
      </c>
    </row>
    <row r="713" spans="1:13" x14ac:dyDescent="0.35">
      <c r="A713" t="s">
        <v>766</v>
      </c>
      <c r="B713" s="1">
        <v>45452</v>
      </c>
      <c r="C713" t="s">
        <v>74</v>
      </c>
      <c r="D713" t="s">
        <v>31</v>
      </c>
      <c r="E713" t="s">
        <v>27</v>
      </c>
      <c r="F713" s="4">
        <v>38311.18</v>
      </c>
      <c r="G713" s="5">
        <v>4</v>
      </c>
      <c r="H713" t="s">
        <v>15</v>
      </c>
      <c r="I713" t="str">
        <f t="shared" si="44"/>
        <v>2024-06</v>
      </c>
      <c r="J713" s="4">
        <f t="shared" si="45"/>
        <v>9577.7950000000001</v>
      </c>
      <c r="K713" t="str" cm="1">
        <f t="array" ref="K713">_xlfn.IFS(G713&lt;=5, "Small", G713&lt;=15, "Medium", G713&gt;15, "Large")</f>
        <v>Small</v>
      </c>
      <c r="L713" t="str">
        <f t="shared" si="46"/>
        <v>VIP</v>
      </c>
      <c r="M713" t="str">
        <f t="shared" si="47"/>
        <v>Weekend</v>
      </c>
    </row>
    <row r="714" spans="1:13" x14ac:dyDescent="0.35">
      <c r="A714" t="s">
        <v>767</v>
      </c>
      <c r="B714" s="1">
        <v>45454</v>
      </c>
      <c r="C714" t="s">
        <v>9</v>
      </c>
      <c r="D714" t="s">
        <v>10</v>
      </c>
      <c r="E714" t="s">
        <v>27</v>
      </c>
      <c r="F714" s="4">
        <v>28512.19</v>
      </c>
      <c r="G714" s="5">
        <v>4</v>
      </c>
      <c r="H714" t="s">
        <v>15</v>
      </c>
      <c r="I714" t="str">
        <f t="shared" si="44"/>
        <v>2024-06</v>
      </c>
      <c r="J714" s="4">
        <f t="shared" si="45"/>
        <v>7128.0474999999997</v>
      </c>
      <c r="K714" t="str" cm="1">
        <f t="array" ref="K714">_xlfn.IFS(G714&lt;=5, "Small", G714&lt;=15, "Medium", G714&gt;15, "Large")</f>
        <v>Small</v>
      </c>
      <c r="L714" t="str">
        <f t="shared" si="46"/>
        <v>VIP</v>
      </c>
      <c r="M714" t="str">
        <f t="shared" si="47"/>
        <v>Weekday</v>
      </c>
    </row>
    <row r="715" spans="1:13" x14ac:dyDescent="0.35">
      <c r="A715" t="s">
        <v>768</v>
      </c>
      <c r="B715" s="1">
        <v>45532</v>
      </c>
      <c r="C715" t="s">
        <v>72</v>
      </c>
      <c r="D715" t="s">
        <v>26</v>
      </c>
      <c r="E715" t="s">
        <v>27</v>
      </c>
      <c r="F715" s="4">
        <v>14520.03</v>
      </c>
      <c r="G715" s="5">
        <v>4</v>
      </c>
      <c r="H715" t="s">
        <v>15</v>
      </c>
      <c r="I715" t="str">
        <f t="shared" si="44"/>
        <v>2024-08</v>
      </c>
      <c r="J715" s="4">
        <f t="shared" si="45"/>
        <v>3630.0075000000002</v>
      </c>
      <c r="K715" t="str" cm="1">
        <f t="array" ref="K715">_xlfn.IFS(G715&lt;=5, "Small", G715&lt;=15, "Medium", G715&gt;15, "Large")</f>
        <v>Small</v>
      </c>
      <c r="L715" t="str">
        <f t="shared" si="46"/>
        <v>Standard</v>
      </c>
      <c r="M715" t="str">
        <f t="shared" si="47"/>
        <v>Weekday</v>
      </c>
    </row>
    <row r="716" spans="1:13" x14ac:dyDescent="0.35">
      <c r="A716" t="s">
        <v>769</v>
      </c>
      <c r="B716" s="1">
        <v>45383</v>
      </c>
      <c r="C716" t="s">
        <v>78</v>
      </c>
      <c r="D716" t="s">
        <v>31</v>
      </c>
      <c r="E716" t="s">
        <v>11</v>
      </c>
      <c r="F716" s="4">
        <v>4962.1899999999996</v>
      </c>
      <c r="G716" s="5">
        <v>5</v>
      </c>
      <c r="H716" t="s">
        <v>15</v>
      </c>
      <c r="I716" t="str">
        <f t="shared" si="44"/>
        <v>2024-04</v>
      </c>
      <c r="J716" s="4">
        <f t="shared" si="45"/>
        <v>992.43799999999987</v>
      </c>
      <c r="K716" t="str" cm="1">
        <f t="array" ref="K716">_xlfn.IFS(G716&lt;=5, "Small", G716&lt;=15, "Medium", G716&gt;15, "Large")</f>
        <v>Small</v>
      </c>
      <c r="L716" t="str">
        <f t="shared" si="46"/>
        <v>Standard</v>
      </c>
      <c r="M716" t="str">
        <f t="shared" si="47"/>
        <v>Weekday</v>
      </c>
    </row>
    <row r="717" spans="1:13" x14ac:dyDescent="0.35">
      <c r="A717" t="s">
        <v>770</v>
      </c>
      <c r="B717" s="1">
        <v>45098</v>
      </c>
      <c r="C717" t="s">
        <v>33</v>
      </c>
      <c r="D717" t="s">
        <v>10</v>
      </c>
      <c r="E717" t="s">
        <v>27</v>
      </c>
      <c r="F717" s="4">
        <v>13710.37</v>
      </c>
      <c r="G717" s="5">
        <v>3</v>
      </c>
      <c r="H717" t="s">
        <v>15</v>
      </c>
      <c r="I717" t="str">
        <f t="shared" si="44"/>
        <v>2023-06</v>
      </c>
      <c r="J717" s="4">
        <f t="shared" si="45"/>
        <v>4570.1233333333339</v>
      </c>
      <c r="K717" t="str" cm="1">
        <f t="array" ref="K717">_xlfn.IFS(G717&lt;=5, "Small", G717&lt;=15, "Medium", G717&gt;15, "Large")</f>
        <v>Small</v>
      </c>
      <c r="L717" t="str">
        <f t="shared" si="46"/>
        <v>Standard</v>
      </c>
      <c r="M717" t="str">
        <f t="shared" si="47"/>
        <v>Weekday</v>
      </c>
    </row>
    <row r="718" spans="1:13" x14ac:dyDescent="0.35">
      <c r="A718" t="s">
        <v>771</v>
      </c>
      <c r="B718" s="1">
        <v>45624</v>
      </c>
      <c r="C718" t="s">
        <v>162</v>
      </c>
      <c r="D718" t="s">
        <v>26</v>
      </c>
      <c r="E718" t="s">
        <v>27</v>
      </c>
      <c r="F718" s="4">
        <v>42254.75</v>
      </c>
      <c r="G718" s="5">
        <v>1</v>
      </c>
      <c r="H718" t="s">
        <v>15</v>
      </c>
      <c r="I718" t="str">
        <f t="shared" si="44"/>
        <v>2024-11</v>
      </c>
      <c r="J718" s="4">
        <f t="shared" si="45"/>
        <v>42254.75</v>
      </c>
      <c r="K718" t="str" cm="1">
        <f t="array" ref="K718">_xlfn.IFS(G718&lt;=5, "Small", G718&lt;=15, "Medium", G718&gt;15, "Large")</f>
        <v>Small</v>
      </c>
      <c r="L718" t="str">
        <f t="shared" si="46"/>
        <v>VIP</v>
      </c>
      <c r="M718" t="str">
        <f t="shared" si="47"/>
        <v>Weekday</v>
      </c>
    </row>
    <row r="719" spans="1:13" x14ac:dyDescent="0.35">
      <c r="A719" t="s">
        <v>772</v>
      </c>
      <c r="B719" s="1">
        <v>45242</v>
      </c>
      <c r="C719" t="s">
        <v>62</v>
      </c>
      <c r="D719" t="s">
        <v>10</v>
      </c>
      <c r="E719" t="s">
        <v>11</v>
      </c>
      <c r="F719" s="4">
        <v>0</v>
      </c>
      <c r="G719" s="5">
        <v>4</v>
      </c>
      <c r="H719" t="s">
        <v>28</v>
      </c>
      <c r="I719" t="str">
        <f t="shared" si="44"/>
        <v>2023-11</v>
      </c>
      <c r="J719" s="4">
        <f t="shared" si="45"/>
        <v>0</v>
      </c>
      <c r="K719" t="str" cm="1">
        <f t="array" ref="K719">_xlfn.IFS(G719&lt;=5, "Small", G719&lt;=15, "Medium", G719&gt;15, "Large")</f>
        <v>Small</v>
      </c>
      <c r="L719" t="str">
        <f t="shared" si="46"/>
        <v>Standard</v>
      </c>
      <c r="M719" t="str">
        <f t="shared" si="47"/>
        <v>Weekend</v>
      </c>
    </row>
    <row r="720" spans="1:13" x14ac:dyDescent="0.35">
      <c r="A720" t="s">
        <v>773</v>
      </c>
      <c r="B720" s="1">
        <v>45365</v>
      </c>
      <c r="C720" t="s">
        <v>58</v>
      </c>
      <c r="D720" t="s">
        <v>31</v>
      </c>
      <c r="E720" t="s">
        <v>18</v>
      </c>
      <c r="F720" s="4">
        <v>3172.95</v>
      </c>
      <c r="G720" s="5">
        <v>24</v>
      </c>
      <c r="H720" t="s">
        <v>15</v>
      </c>
      <c r="I720" t="str">
        <f t="shared" si="44"/>
        <v>2024-03</v>
      </c>
      <c r="J720" s="4">
        <f t="shared" si="45"/>
        <v>132.20624999999998</v>
      </c>
      <c r="K720" t="str" cm="1">
        <f t="array" ref="K720">_xlfn.IFS(G720&lt;=5, "Small", G720&lt;=15, "Medium", G720&gt;15, "Large")</f>
        <v>Large</v>
      </c>
      <c r="L720" t="str">
        <f t="shared" si="46"/>
        <v>Standard</v>
      </c>
      <c r="M720" t="str">
        <f t="shared" si="47"/>
        <v>Weekday</v>
      </c>
    </row>
    <row r="721" spans="1:13" x14ac:dyDescent="0.35">
      <c r="A721" t="s">
        <v>774</v>
      </c>
      <c r="B721" s="1">
        <v>45594</v>
      </c>
      <c r="C721" t="s">
        <v>82</v>
      </c>
      <c r="D721" t="s">
        <v>10</v>
      </c>
      <c r="E721" t="s">
        <v>11</v>
      </c>
      <c r="F721" s="4">
        <v>0</v>
      </c>
      <c r="G721" s="5">
        <v>8</v>
      </c>
      <c r="H721" t="s">
        <v>28</v>
      </c>
      <c r="I721" t="str">
        <f t="shared" si="44"/>
        <v>2024-10</v>
      </c>
      <c r="J721" s="4">
        <f t="shared" si="45"/>
        <v>0</v>
      </c>
      <c r="K721" t="str" cm="1">
        <f t="array" ref="K721">_xlfn.IFS(G721&lt;=5, "Small", G721&lt;=15, "Medium", G721&gt;15, "Large")</f>
        <v>Medium</v>
      </c>
      <c r="L721" t="str">
        <f t="shared" si="46"/>
        <v>Standard</v>
      </c>
      <c r="M721" t="str">
        <f t="shared" si="47"/>
        <v>Weekday</v>
      </c>
    </row>
    <row r="722" spans="1:13" x14ac:dyDescent="0.35">
      <c r="A722" t="s">
        <v>775</v>
      </c>
      <c r="B722" s="1">
        <v>45238</v>
      </c>
      <c r="C722" t="s">
        <v>74</v>
      </c>
      <c r="D722" t="s">
        <v>31</v>
      </c>
      <c r="E722" t="s">
        <v>18</v>
      </c>
      <c r="F722" s="4">
        <v>827.87</v>
      </c>
      <c r="G722" s="5">
        <v>17</v>
      </c>
      <c r="H722" t="s">
        <v>15</v>
      </c>
      <c r="I722" t="str">
        <f t="shared" si="44"/>
        <v>2023-11</v>
      </c>
      <c r="J722" s="4">
        <f t="shared" si="45"/>
        <v>48.698235294117644</v>
      </c>
      <c r="K722" t="str" cm="1">
        <f t="array" ref="K722">_xlfn.IFS(G722&lt;=5, "Small", G722&lt;=15, "Medium", G722&gt;15, "Large")</f>
        <v>Large</v>
      </c>
      <c r="L722" t="str">
        <f t="shared" si="46"/>
        <v>Standard</v>
      </c>
      <c r="M722" t="str">
        <f t="shared" si="47"/>
        <v>Weekday</v>
      </c>
    </row>
    <row r="723" spans="1:13" x14ac:dyDescent="0.35">
      <c r="A723" t="s">
        <v>776</v>
      </c>
      <c r="B723" s="1">
        <v>45100</v>
      </c>
      <c r="C723" t="s">
        <v>33</v>
      </c>
      <c r="D723" t="s">
        <v>10</v>
      </c>
      <c r="E723" t="s">
        <v>18</v>
      </c>
      <c r="F723" s="4">
        <v>2233.65</v>
      </c>
      <c r="G723" s="5">
        <v>11</v>
      </c>
      <c r="H723" t="s">
        <v>15</v>
      </c>
      <c r="I723" t="str">
        <f t="shared" si="44"/>
        <v>2023-06</v>
      </c>
      <c r="J723" s="4">
        <f t="shared" si="45"/>
        <v>203.05909090909091</v>
      </c>
      <c r="K723" t="str" cm="1">
        <f t="array" ref="K723">_xlfn.IFS(G723&lt;=5, "Small", G723&lt;=15, "Medium", G723&gt;15, "Large")</f>
        <v>Medium</v>
      </c>
      <c r="L723" t="str">
        <f t="shared" si="46"/>
        <v>Standard</v>
      </c>
      <c r="M723" t="str">
        <f t="shared" si="47"/>
        <v>Weekday</v>
      </c>
    </row>
    <row r="724" spans="1:13" x14ac:dyDescent="0.35">
      <c r="A724" t="s">
        <v>777</v>
      </c>
      <c r="B724" s="1">
        <v>45606</v>
      </c>
      <c r="C724" t="s">
        <v>115</v>
      </c>
      <c r="D724" t="s">
        <v>10</v>
      </c>
      <c r="E724" t="s">
        <v>27</v>
      </c>
      <c r="F724" s="4">
        <v>6380.09</v>
      </c>
      <c r="G724" s="5">
        <v>5</v>
      </c>
      <c r="H724" t="s">
        <v>15</v>
      </c>
      <c r="I724" t="str">
        <f t="shared" si="44"/>
        <v>2024-11</v>
      </c>
      <c r="J724" s="4">
        <f t="shared" si="45"/>
        <v>1276.018</v>
      </c>
      <c r="K724" t="str" cm="1">
        <f t="array" ref="K724">_xlfn.IFS(G724&lt;=5, "Small", G724&lt;=15, "Medium", G724&gt;15, "Large")</f>
        <v>Small</v>
      </c>
      <c r="L724" t="str">
        <f t="shared" si="46"/>
        <v>Standard</v>
      </c>
      <c r="M724" t="str">
        <f t="shared" si="47"/>
        <v>Weekend</v>
      </c>
    </row>
    <row r="725" spans="1:13" x14ac:dyDescent="0.35">
      <c r="A725" t="s">
        <v>778</v>
      </c>
      <c r="B725" s="1">
        <v>45097</v>
      </c>
      <c r="C725" t="s">
        <v>166</v>
      </c>
      <c r="D725" t="s">
        <v>26</v>
      </c>
      <c r="E725" t="s">
        <v>18</v>
      </c>
      <c r="F725" s="4">
        <v>1214.42</v>
      </c>
      <c r="G725" s="5">
        <v>6</v>
      </c>
      <c r="H725" t="s">
        <v>15</v>
      </c>
      <c r="I725" t="str">
        <f t="shared" si="44"/>
        <v>2023-06</v>
      </c>
      <c r="J725" s="4">
        <f t="shared" si="45"/>
        <v>202.40333333333334</v>
      </c>
      <c r="K725" t="str" cm="1">
        <f t="array" ref="K725">_xlfn.IFS(G725&lt;=5, "Small", G725&lt;=15, "Medium", G725&gt;15, "Large")</f>
        <v>Medium</v>
      </c>
      <c r="L725" t="str">
        <f t="shared" si="46"/>
        <v>Standard</v>
      </c>
      <c r="M725" t="str">
        <f t="shared" si="47"/>
        <v>Weekday</v>
      </c>
    </row>
    <row r="726" spans="1:13" x14ac:dyDescent="0.35">
      <c r="A726" t="s">
        <v>779</v>
      </c>
      <c r="B726" s="1">
        <v>45263</v>
      </c>
      <c r="C726" t="s">
        <v>115</v>
      </c>
      <c r="D726" t="s">
        <v>10</v>
      </c>
      <c r="E726" t="s">
        <v>18</v>
      </c>
      <c r="F726" s="4">
        <v>59.78</v>
      </c>
      <c r="G726" s="5">
        <v>28</v>
      </c>
      <c r="H726" t="s">
        <v>15</v>
      </c>
      <c r="I726" t="str">
        <f t="shared" si="44"/>
        <v>2023-12</v>
      </c>
      <c r="J726" s="4">
        <f t="shared" si="45"/>
        <v>2.1350000000000002</v>
      </c>
      <c r="K726" t="str" cm="1">
        <f t="array" ref="K726">_xlfn.IFS(G726&lt;=5, "Small", G726&lt;=15, "Medium", G726&gt;15, "Large")</f>
        <v>Large</v>
      </c>
      <c r="L726" t="str">
        <f t="shared" si="46"/>
        <v>Standard</v>
      </c>
      <c r="M726" t="str">
        <f t="shared" si="47"/>
        <v>Weekend</v>
      </c>
    </row>
    <row r="727" spans="1:13" x14ac:dyDescent="0.35">
      <c r="A727" t="s">
        <v>780</v>
      </c>
      <c r="B727" s="1">
        <v>45340</v>
      </c>
      <c r="C727" t="s">
        <v>33</v>
      </c>
      <c r="D727" t="s">
        <v>10</v>
      </c>
      <c r="E727" t="s">
        <v>27</v>
      </c>
      <c r="F727" s="4">
        <v>30119.38</v>
      </c>
      <c r="G727" s="5">
        <v>3</v>
      </c>
      <c r="H727" t="s">
        <v>15</v>
      </c>
      <c r="I727" t="str">
        <f t="shared" si="44"/>
        <v>2024-02</v>
      </c>
      <c r="J727" s="4">
        <f t="shared" si="45"/>
        <v>10039.793333333333</v>
      </c>
      <c r="K727" t="str" cm="1">
        <f t="array" ref="K727">_xlfn.IFS(G727&lt;=5, "Small", G727&lt;=15, "Medium", G727&gt;15, "Large")</f>
        <v>Small</v>
      </c>
      <c r="L727" t="str">
        <f t="shared" si="46"/>
        <v>VIP</v>
      </c>
      <c r="M727" t="str">
        <f t="shared" si="47"/>
        <v>Weekend</v>
      </c>
    </row>
    <row r="728" spans="1:13" x14ac:dyDescent="0.35">
      <c r="A728" t="s">
        <v>781</v>
      </c>
      <c r="B728" s="1">
        <v>45485</v>
      </c>
      <c r="C728" t="s">
        <v>33</v>
      </c>
      <c r="D728" t="s">
        <v>10</v>
      </c>
      <c r="E728" t="s">
        <v>27</v>
      </c>
      <c r="F728" s="4">
        <v>2117.04</v>
      </c>
      <c r="G728" s="5">
        <v>2</v>
      </c>
      <c r="H728" t="s">
        <v>15</v>
      </c>
      <c r="I728" t="str">
        <f t="shared" si="44"/>
        <v>2024-07</v>
      </c>
      <c r="J728" s="4">
        <f t="shared" si="45"/>
        <v>1058.52</v>
      </c>
      <c r="K728" t="str" cm="1">
        <f t="array" ref="K728">_xlfn.IFS(G728&lt;=5, "Small", G728&lt;=15, "Medium", G728&gt;15, "Large")</f>
        <v>Small</v>
      </c>
      <c r="L728" t="str">
        <f t="shared" si="46"/>
        <v>Standard</v>
      </c>
      <c r="M728" t="str">
        <f t="shared" si="47"/>
        <v>Weekday</v>
      </c>
    </row>
    <row r="729" spans="1:13" x14ac:dyDescent="0.35">
      <c r="A729" t="s">
        <v>782</v>
      </c>
      <c r="B729" s="1">
        <v>45476</v>
      </c>
      <c r="C729" t="s">
        <v>115</v>
      </c>
      <c r="D729" t="s">
        <v>10</v>
      </c>
      <c r="E729" t="s">
        <v>27</v>
      </c>
      <c r="F729" s="4">
        <v>0</v>
      </c>
      <c r="G729" s="5">
        <v>1</v>
      </c>
      <c r="H729" t="s">
        <v>28</v>
      </c>
      <c r="I729" t="str">
        <f t="shared" si="44"/>
        <v>2024-07</v>
      </c>
      <c r="J729" s="4">
        <f t="shared" si="45"/>
        <v>0</v>
      </c>
      <c r="K729" t="str" cm="1">
        <f t="array" ref="K729">_xlfn.IFS(G729&lt;=5, "Small", G729&lt;=15, "Medium", G729&gt;15, "Large")</f>
        <v>Small</v>
      </c>
      <c r="L729" t="str">
        <f t="shared" si="46"/>
        <v>Standard</v>
      </c>
      <c r="M729" t="str">
        <f t="shared" si="47"/>
        <v>Weekday</v>
      </c>
    </row>
    <row r="730" spans="1:13" x14ac:dyDescent="0.35">
      <c r="A730" t="s">
        <v>783</v>
      </c>
      <c r="B730" s="1">
        <v>44960</v>
      </c>
      <c r="C730" t="s">
        <v>97</v>
      </c>
      <c r="D730" t="s">
        <v>21</v>
      </c>
      <c r="E730" t="s">
        <v>27</v>
      </c>
      <c r="F730" s="4">
        <v>0</v>
      </c>
      <c r="G730" s="5">
        <v>1</v>
      </c>
      <c r="H730" t="s">
        <v>12</v>
      </c>
      <c r="I730" t="str">
        <f t="shared" si="44"/>
        <v>2023-02</v>
      </c>
      <c r="J730" s="4">
        <f t="shared" si="45"/>
        <v>0</v>
      </c>
      <c r="K730" t="str" cm="1">
        <f t="array" ref="K730">_xlfn.IFS(G730&lt;=5, "Small", G730&lt;=15, "Medium", G730&gt;15, "Large")</f>
        <v>Small</v>
      </c>
      <c r="L730" t="str">
        <f t="shared" si="46"/>
        <v>Standard</v>
      </c>
      <c r="M730" t="str">
        <f t="shared" si="47"/>
        <v>Weekday</v>
      </c>
    </row>
    <row r="731" spans="1:13" x14ac:dyDescent="0.35">
      <c r="A731" t="s">
        <v>198</v>
      </c>
      <c r="B731" s="1">
        <v>45220</v>
      </c>
      <c r="C731" t="s">
        <v>14</v>
      </c>
      <c r="D731" t="s">
        <v>10</v>
      </c>
      <c r="E731" t="s">
        <v>18</v>
      </c>
      <c r="F731" s="4">
        <v>2142.98</v>
      </c>
      <c r="G731" s="5">
        <v>11</v>
      </c>
      <c r="H731" t="s">
        <v>15</v>
      </c>
      <c r="I731" t="str">
        <f t="shared" si="44"/>
        <v>2023-10</v>
      </c>
      <c r="J731" s="4">
        <f t="shared" si="45"/>
        <v>194.81636363636363</v>
      </c>
      <c r="K731" t="str" cm="1">
        <f t="array" ref="K731">_xlfn.IFS(G731&lt;=5, "Small", G731&lt;=15, "Medium", G731&gt;15, "Large")</f>
        <v>Medium</v>
      </c>
      <c r="L731" t="str">
        <f t="shared" si="46"/>
        <v>Standard</v>
      </c>
      <c r="M731" t="str">
        <f t="shared" si="47"/>
        <v>Weekend</v>
      </c>
    </row>
    <row r="732" spans="1:13" x14ac:dyDescent="0.35">
      <c r="A732" t="s">
        <v>784</v>
      </c>
      <c r="B732" s="1">
        <v>45172</v>
      </c>
      <c r="C732" t="s">
        <v>72</v>
      </c>
      <c r="D732" t="s">
        <v>26</v>
      </c>
      <c r="E732" t="s">
        <v>18</v>
      </c>
      <c r="F732" s="4">
        <v>0</v>
      </c>
      <c r="G732" s="5">
        <v>3</v>
      </c>
      <c r="H732" t="s">
        <v>28</v>
      </c>
      <c r="I732" t="str">
        <f t="shared" si="44"/>
        <v>2023-09</v>
      </c>
      <c r="J732" s="4">
        <f t="shared" si="45"/>
        <v>0</v>
      </c>
      <c r="K732" t="str" cm="1">
        <f t="array" ref="K732">_xlfn.IFS(G732&lt;=5, "Small", G732&lt;=15, "Medium", G732&gt;15, "Large")</f>
        <v>Small</v>
      </c>
      <c r="L732" t="str">
        <f t="shared" si="46"/>
        <v>Standard</v>
      </c>
      <c r="M732" t="str">
        <f t="shared" si="47"/>
        <v>Weekend</v>
      </c>
    </row>
    <row r="733" spans="1:13" x14ac:dyDescent="0.35">
      <c r="A733" t="s">
        <v>785</v>
      </c>
      <c r="B733" s="1">
        <v>45411</v>
      </c>
      <c r="C733" t="s">
        <v>9</v>
      </c>
      <c r="D733" t="s">
        <v>10</v>
      </c>
      <c r="E733" t="s">
        <v>11</v>
      </c>
      <c r="F733" s="4">
        <v>6862.9</v>
      </c>
      <c r="G733" s="5">
        <v>6</v>
      </c>
      <c r="H733" t="s">
        <v>15</v>
      </c>
      <c r="I733" t="str">
        <f t="shared" si="44"/>
        <v>2024-04</v>
      </c>
      <c r="J733" s="4">
        <f t="shared" si="45"/>
        <v>1143.8166666666666</v>
      </c>
      <c r="K733" t="str" cm="1">
        <f t="array" ref="K733">_xlfn.IFS(G733&lt;=5, "Small", G733&lt;=15, "Medium", G733&gt;15, "Large")</f>
        <v>Medium</v>
      </c>
      <c r="L733" t="str">
        <f t="shared" si="46"/>
        <v>Standard</v>
      </c>
      <c r="M733" t="str">
        <f t="shared" si="47"/>
        <v>Weekday</v>
      </c>
    </row>
    <row r="734" spans="1:13" x14ac:dyDescent="0.35">
      <c r="A734" t="s">
        <v>786</v>
      </c>
      <c r="B734" s="1">
        <v>45181</v>
      </c>
      <c r="C734" t="s">
        <v>84</v>
      </c>
      <c r="D734" t="s">
        <v>26</v>
      </c>
      <c r="E734" t="s">
        <v>18</v>
      </c>
      <c r="F734" s="4">
        <v>2323.12</v>
      </c>
      <c r="G734" s="5">
        <v>16</v>
      </c>
      <c r="H734" t="s">
        <v>15</v>
      </c>
      <c r="I734" t="str">
        <f t="shared" si="44"/>
        <v>2023-09</v>
      </c>
      <c r="J734" s="4">
        <f t="shared" si="45"/>
        <v>145.19499999999999</v>
      </c>
      <c r="K734" t="str" cm="1">
        <f t="array" ref="K734">_xlfn.IFS(G734&lt;=5, "Small", G734&lt;=15, "Medium", G734&gt;15, "Large")</f>
        <v>Large</v>
      </c>
      <c r="L734" t="str">
        <f t="shared" si="46"/>
        <v>Standard</v>
      </c>
      <c r="M734" t="str">
        <f t="shared" si="47"/>
        <v>Weekday</v>
      </c>
    </row>
    <row r="735" spans="1:13" x14ac:dyDescent="0.35">
      <c r="A735" t="s">
        <v>787</v>
      </c>
      <c r="B735" s="1">
        <v>45039</v>
      </c>
      <c r="C735" t="s">
        <v>162</v>
      </c>
      <c r="D735" t="s">
        <v>26</v>
      </c>
      <c r="E735" t="s">
        <v>11</v>
      </c>
      <c r="F735" s="4">
        <v>11631.14</v>
      </c>
      <c r="G735" s="5">
        <v>6</v>
      </c>
      <c r="H735" t="s">
        <v>15</v>
      </c>
      <c r="I735" t="str">
        <f t="shared" si="44"/>
        <v>2023-04</v>
      </c>
      <c r="J735" s="4">
        <f t="shared" si="45"/>
        <v>1938.5233333333333</v>
      </c>
      <c r="K735" t="str" cm="1">
        <f t="array" ref="K735">_xlfn.IFS(G735&lt;=5, "Small", G735&lt;=15, "Medium", G735&gt;15, "Large")</f>
        <v>Medium</v>
      </c>
      <c r="L735" t="str">
        <f t="shared" si="46"/>
        <v>Standard</v>
      </c>
      <c r="M735" t="str">
        <f t="shared" si="47"/>
        <v>Weekend</v>
      </c>
    </row>
    <row r="736" spans="1:13" x14ac:dyDescent="0.35">
      <c r="A736" t="s">
        <v>788</v>
      </c>
      <c r="B736" s="1">
        <v>45014</v>
      </c>
      <c r="C736" t="s">
        <v>91</v>
      </c>
      <c r="D736" t="s">
        <v>26</v>
      </c>
      <c r="E736" t="s">
        <v>27</v>
      </c>
      <c r="F736" s="4">
        <v>42743.19</v>
      </c>
      <c r="G736" s="5">
        <v>2</v>
      </c>
      <c r="H736" t="s">
        <v>15</v>
      </c>
      <c r="I736" t="str">
        <f t="shared" si="44"/>
        <v>2023-03</v>
      </c>
      <c r="J736" s="4">
        <f t="shared" si="45"/>
        <v>21371.595000000001</v>
      </c>
      <c r="K736" t="str" cm="1">
        <f t="array" ref="K736">_xlfn.IFS(G736&lt;=5, "Small", G736&lt;=15, "Medium", G736&gt;15, "Large")</f>
        <v>Small</v>
      </c>
      <c r="L736" t="str">
        <f t="shared" si="46"/>
        <v>VIP</v>
      </c>
      <c r="M736" t="str">
        <f t="shared" si="47"/>
        <v>Weekday</v>
      </c>
    </row>
    <row r="737" spans="1:13" x14ac:dyDescent="0.35">
      <c r="A737" t="s">
        <v>789</v>
      </c>
      <c r="B737" s="1">
        <v>45072</v>
      </c>
      <c r="C737" t="s">
        <v>20</v>
      </c>
      <c r="D737" t="s">
        <v>21</v>
      </c>
      <c r="E737" t="s">
        <v>18</v>
      </c>
      <c r="F737" s="4">
        <v>1479.08</v>
      </c>
      <c r="G737" s="5">
        <v>15</v>
      </c>
      <c r="H737" t="s">
        <v>15</v>
      </c>
      <c r="I737" t="str">
        <f t="shared" si="44"/>
        <v>2023-05</v>
      </c>
      <c r="J737" s="4">
        <f t="shared" si="45"/>
        <v>98.605333333333334</v>
      </c>
      <c r="K737" t="str" cm="1">
        <f t="array" ref="K737">_xlfn.IFS(G737&lt;=5, "Small", G737&lt;=15, "Medium", G737&gt;15, "Large")</f>
        <v>Medium</v>
      </c>
      <c r="L737" t="str">
        <f t="shared" si="46"/>
        <v>Standard</v>
      </c>
      <c r="M737" t="str">
        <f t="shared" si="47"/>
        <v>Weekday</v>
      </c>
    </row>
    <row r="738" spans="1:13" x14ac:dyDescent="0.35">
      <c r="A738" t="s">
        <v>790</v>
      </c>
      <c r="B738" s="1">
        <v>44933</v>
      </c>
      <c r="C738" t="s">
        <v>241</v>
      </c>
      <c r="D738" t="s">
        <v>31</v>
      </c>
      <c r="E738" t="s">
        <v>18</v>
      </c>
      <c r="F738" s="4">
        <v>848.45</v>
      </c>
      <c r="G738" s="5">
        <v>23</v>
      </c>
      <c r="H738" t="s">
        <v>15</v>
      </c>
      <c r="I738" t="str">
        <f t="shared" si="44"/>
        <v>2023-01</v>
      </c>
      <c r="J738" s="4">
        <f t="shared" si="45"/>
        <v>36.889130434782608</v>
      </c>
      <c r="K738" t="str" cm="1">
        <f t="array" ref="K738">_xlfn.IFS(G738&lt;=5, "Small", G738&lt;=15, "Medium", G738&gt;15, "Large")</f>
        <v>Large</v>
      </c>
      <c r="L738" t="str">
        <f t="shared" si="46"/>
        <v>Standard</v>
      </c>
      <c r="M738" t="str">
        <f t="shared" si="47"/>
        <v>Weekend</v>
      </c>
    </row>
    <row r="739" spans="1:13" x14ac:dyDescent="0.35">
      <c r="A739" t="s">
        <v>791</v>
      </c>
      <c r="B739" s="1">
        <v>45121</v>
      </c>
      <c r="C739" t="s">
        <v>253</v>
      </c>
      <c r="D739" t="s">
        <v>26</v>
      </c>
      <c r="E739" t="s">
        <v>27</v>
      </c>
      <c r="F739" s="4">
        <v>0</v>
      </c>
      <c r="G739" s="5">
        <v>5</v>
      </c>
      <c r="H739" t="s">
        <v>28</v>
      </c>
      <c r="I739" t="str">
        <f t="shared" si="44"/>
        <v>2023-07</v>
      </c>
      <c r="J739" s="4">
        <f t="shared" si="45"/>
        <v>0</v>
      </c>
      <c r="K739" t="str" cm="1">
        <f t="array" ref="K739">_xlfn.IFS(G739&lt;=5, "Small", G739&lt;=15, "Medium", G739&gt;15, "Large")</f>
        <v>Small</v>
      </c>
      <c r="L739" t="str">
        <f t="shared" si="46"/>
        <v>Standard</v>
      </c>
      <c r="M739" t="str">
        <f t="shared" si="47"/>
        <v>Weekday</v>
      </c>
    </row>
    <row r="740" spans="1:13" x14ac:dyDescent="0.35">
      <c r="A740" t="s">
        <v>792</v>
      </c>
      <c r="B740" s="1">
        <v>44968</v>
      </c>
      <c r="C740" t="s">
        <v>126</v>
      </c>
      <c r="D740" t="s">
        <v>21</v>
      </c>
      <c r="E740" t="s">
        <v>18</v>
      </c>
      <c r="F740" s="4">
        <v>2162.92</v>
      </c>
      <c r="G740" s="5">
        <v>25</v>
      </c>
      <c r="H740" t="s">
        <v>15</v>
      </c>
      <c r="I740" t="str">
        <f t="shared" si="44"/>
        <v>2023-02</v>
      </c>
      <c r="J740" s="4">
        <f t="shared" si="45"/>
        <v>86.516800000000003</v>
      </c>
      <c r="K740" t="str" cm="1">
        <f t="array" ref="K740">_xlfn.IFS(G740&lt;=5, "Small", G740&lt;=15, "Medium", G740&gt;15, "Large")</f>
        <v>Large</v>
      </c>
      <c r="L740" t="str">
        <f t="shared" si="46"/>
        <v>Standard</v>
      </c>
      <c r="M740" t="str">
        <f t="shared" si="47"/>
        <v>Weekend</v>
      </c>
    </row>
    <row r="741" spans="1:13" x14ac:dyDescent="0.35">
      <c r="A741" t="s">
        <v>793</v>
      </c>
      <c r="B741" s="1">
        <v>45430</v>
      </c>
      <c r="C741" t="s">
        <v>175</v>
      </c>
      <c r="D741" t="s">
        <v>21</v>
      </c>
      <c r="E741" t="s">
        <v>11</v>
      </c>
      <c r="F741" s="4">
        <v>1191.21</v>
      </c>
      <c r="G741" s="5">
        <v>4</v>
      </c>
      <c r="H741" t="s">
        <v>15</v>
      </c>
      <c r="I741" t="str">
        <f t="shared" si="44"/>
        <v>2024-05</v>
      </c>
      <c r="J741" s="4">
        <f t="shared" si="45"/>
        <v>297.80250000000001</v>
      </c>
      <c r="K741" t="str" cm="1">
        <f t="array" ref="K741">_xlfn.IFS(G741&lt;=5, "Small", G741&lt;=15, "Medium", G741&gt;15, "Large")</f>
        <v>Small</v>
      </c>
      <c r="L741" t="str">
        <f t="shared" si="46"/>
        <v>Standard</v>
      </c>
      <c r="M741" t="str">
        <f t="shared" si="47"/>
        <v>Weekend</v>
      </c>
    </row>
    <row r="742" spans="1:13" x14ac:dyDescent="0.35">
      <c r="A742" t="s">
        <v>794</v>
      </c>
      <c r="B742" s="1">
        <v>44988</v>
      </c>
      <c r="C742" t="s">
        <v>58</v>
      </c>
      <c r="D742" t="s">
        <v>31</v>
      </c>
      <c r="E742" t="s">
        <v>11</v>
      </c>
      <c r="F742" s="4">
        <v>15158.93</v>
      </c>
      <c r="G742" s="5">
        <v>7</v>
      </c>
      <c r="H742" t="s">
        <v>15</v>
      </c>
      <c r="I742" t="str">
        <f t="shared" si="44"/>
        <v>2023-03</v>
      </c>
      <c r="J742" s="4">
        <f t="shared" si="45"/>
        <v>2165.5614285714287</v>
      </c>
      <c r="K742" t="str" cm="1">
        <f t="array" ref="K742">_xlfn.IFS(G742&lt;=5, "Small", G742&lt;=15, "Medium", G742&gt;15, "Large")</f>
        <v>Medium</v>
      </c>
      <c r="L742" t="str">
        <f t="shared" si="46"/>
        <v>Standard</v>
      </c>
      <c r="M742" t="str">
        <f t="shared" si="47"/>
        <v>Weekday</v>
      </c>
    </row>
    <row r="743" spans="1:13" x14ac:dyDescent="0.35">
      <c r="A743" t="s">
        <v>795</v>
      </c>
      <c r="B743" s="1">
        <v>45250</v>
      </c>
      <c r="C743" t="s">
        <v>166</v>
      </c>
      <c r="D743" t="s">
        <v>26</v>
      </c>
      <c r="E743" t="s">
        <v>11</v>
      </c>
      <c r="F743" s="4">
        <v>6187.54</v>
      </c>
      <c r="G743" s="5">
        <v>3</v>
      </c>
      <c r="H743" t="s">
        <v>15</v>
      </c>
      <c r="I743" t="str">
        <f t="shared" si="44"/>
        <v>2023-11</v>
      </c>
      <c r="J743" s="4">
        <f t="shared" si="45"/>
        <v>2062.5133333333333</v>
      </c>
      <c r="K743" t="str" cm="1">
        <f t="array" ref="K743">_xlfn.IFS(G743&lt;=5, "Small", G743&lt;=15, "Medium", G743&gt;15, "Large")</f>
        <v>Small</v>
      </c>
      <c r="L743" t="str">
        <f t="shared" si="46"/>
        <v>Standard</v>
      </c>
      <c r="M743" t="str">
        <f t="shared" si="47"/>
        <v>Weekday</v>
      </c>
    </row>
    <row r="744" spans="1:13" x14ac:dyDescent="0.35">
      <c r="A744" t="s">
        <v>796</v>
      </c>
      <c r="B744" s="1">
        <v>45079</v>
      </c>
      <c r="C744" t="s">
        <v>175</v>
      </c>
      <c r="D744" t="s">
        <v>21</v>
      </c>
      <c r="E744" t="s">
        <v>18</v>
      </c>
      <c r="F744" s="4">
        <v>2794.86</v>
      </c>
      <c r="G744" s="5">
        <v>28</v>
      </c>
      <c r="H744" t="s">
        <v>15</v>
      </c>
      <c r="I744" t="str">
        <f t="shared" si="44"/>
        <v>2023-06</v>
      </c>
      <c r="J744" s="4">
        <f t="shared" si="45"/>
        <v>99.816428571428574</v>
      </c>
      <c r="K744" t="str" cm="1">
        <f t="array" ref="K744">_xlfn.IFS(G744&lt;=5, "Small", G744&lt;=15, "Medium", G744&gt;15, "Large")</f>
        <v>Large</v>
      </c>
      <c r="L744" t="str">
        <f t="shared" si="46"/>
        <v>Standard</v>
      </c>
      <c r="M744" t="str">
        <f t="shared" si="47"/>
        <v>Weekday</v>
      </c>
    </row>
    <row r="745" spans="1:13" x14ac:dyDescent="0.35">
      <c r="A745" t="s">
        <v>797</v>
      </c>
      <c r="B745" s="1">
        <v>45569</v>
      </c>
      <c r="C745" t="s">
        <v>175</v>
      </c>
      <c r="D745" t="s">
        <v>21</v>
      </c>
      <c r="E745" t="s">
        <v>27</v>
      </c>
      <c r="F745" s="4">
        <v>21526.31</v>
      </c>
      <c r="G745" s="5">
        <v>3</v>
      </c>
      <c r="H745" t="s">
        <v>15</v>
      </c>
      <c r="I745" t="str">
        <f t="shared" si="44"/>
        <v>2024-10</v>
      </c>
      <c r="J745" s="4">
        <f t="shared" si="45"/>
        <v>7175.4366666666674</v>
      </c>
      <c r="K745" t="str" cm="1">
        <f t="array" ref="K745">_xlfn.IFS(G745&lt;=5, "Small", G745&lt;=15, "Medium", G745&gt;15, "Large")</f>
        <v>Small</v>
      </c>
      <c r="L745" t="str">
        <f t="shared" si="46"/>
        <v>Standard</v>
      </c>
      <c r="M745" t="str">
        <f t="shared" si="47"/>
        <v>Weekday</v>
      </c>
    </row>
    <row r="746" spans="1:13" x14ac:dyDescent="0.35">
      <c r="A746" t="s">
        <v>798</v>
      </c>
      <c r="B746" s="1">
        <v>45127</v>
      </c>
      <c r="C746" t="s">
        <v>60</v>
      </c>
      <c r="D746" t="s">
        <v>21</v>
      </c>
      <c r="E746" t="s">
        <v>27</v>
      </c>
      <c r="F746" s="4">
        <v>35508.660000000003</v>
      </c>
      <c r="G746" s="5">
        <v>3</v>
      </c>
      <c r="H746" t="s">
        <v>15</v>
      </c>
      <c r="I746" t="str">
        <f t="shared" si="44"/>
        <v>2023-07</v>
      </c>
      <c r="J746" s="4">
        <f t="shared" si="45"/>
        <v>11836.220000000001</v>
      </c>
      <c r="K746" t="str" cm="1">
        <f t="array" ref="K746">_xlfn.IFS(G746&lt;=5, "Small", G746&lt;=15, "Medium", G746&gt;15, "Large")</f>
        <v>Small</v>
      </c>
      <c r="L746" t="str">
        <f t="shared" si="46"/>
        <v>VIP</v>
      </c>
      <c r="M746" t="str">
        <f t="shared" si="47"/>
        <v>Weekday</v>
      </c>
    </row>
    <row r="747" spans="1:13" x14ac:dyDescent="0.35">
      <c r="A747" t="s">
        <v>799</v>
      </c>
      <c r="B747" s="1">
        <v>45426</v>
      </c>
      <c r="C747" t="s">
        <v>48</v>
      </c>
      <c r="D747" t="s">
        <v>21</v>
      </c>
      <c r="E747" t="s">
        <v>27</v>
      </c>
      <c r="F747" s="4">
        <v>28697.32</v>
      </c>
      <c r="G747" s="5">
        <v>3</v>
      </c>
      <c r="H747" t="s">
        <v>15</v>
      </c>
      <c r="I747" t="str">
        <f t="shared" si="44"/>
        <v>2024-05</v>
      </c>
      <c r="J747" s="4">
        <f t="shared" si="45"/>
        <v>9565.7733333333326</v>
      </c>
      <c r="K747" t="str" cm="1">
        <f t="array" ref="K747">_xlfn.IFS(G747&lt;=5, "Small", G747&lt;=15, "Medium", G747&gt;15, "Large")</f>
        <v>Small</v>
      </c>
      <c r="L747" t="str">
        <f t="shared" si="46"/>
        <v>VIP</v>
      </c>
      <c r="M747" t="str">
        <f t="shared" si="47"/>
        <v>Weekday</v>
      </c>
    </row>
    <row r="748" spans="1:13" x14ac:dyDescent="0.35">
      <c r="A748" t="s">
        <v>800</v>
      </c>
      <c r="B748" s="1">
        <v>45586</v>
      </c>
      <c r="C748" t="s">
        <v>17</v>
      </c>
      <c r="D748" t="s">
        <v>10</v>
      </c>
      <c r="E748" t="s">
        <v>18</v>
      </c>
      <c r="F748" s="4">
        <v>2130.92</v>
      </c>
      <c r="G748" s="5">
        <v>13</v>
      </c>
      <c r="H748" t="s">
        <v>15</v>
      </c>
      <c r="I748" t="str">
        <f t="shared" si="44"/>
        <v>2024-10</v>
      </c>
      <c r="J748" s="4">
        <f t="shared" si="45"/>
        <v>163.91692307692307</v>
      </c>
      <c r="K748" t="str" cm="1">
        <f t="array" ref="K748">_xlfn.IFS(G748&lt;=5, "Small", G748&lt;=15, "Medium", G748&gt;15, "Large")</f>
        <v>Medium</v>
      </c>
      <c r="L748" t="str">
        <f t="shared" si="46"/>
        <v>Standard</v>
      </c>
      <c r="M748" t="str">
        <f t="shared" si="47"/>
        <v>Weekday</v>
      </c>
    </row>
    <row r="749" spans="1:13" x14ac:dyDescent="0.35">
      <c r="A749" t="s">
        <v>801</v>
      </c>
      <c r="B749" s="1">
        <v>44949</v>
      </c>
      <c r="C749" t="s">
        <v>17</v>
      </c>
      <c r="D749" t="s">
        <v>10</v>
      </c>
      <c r="E749" t="s">
        <v>18</v>
      </c>
      <c r="F749" s="4">
        <v>0</v>
      </c>
      <c r="G749" s="5">
        <v>25</v>
      </c>
      <c r="H749" t="s">
        <v>12</v>
      </c>
      <c r="I749" t="str">
        <f t="shared" si="44"/>
        <v>2023-01</v>
      </c>
      <c r="J749" s="4">
        <f t="shared" si="45"/>
        <v>0</v>
      </c>
      <c r="K749" t="str" cm="1">
        <f t="array" ref="K749">_xlfn.IFS(G749&lt;=5, "Small", G749&lt;=15, "Medium", G749&gt;15, "Large")</f>
        <v>Large</v>
      </c>
      <c r="L749" t="str">
        <f t="shared" si="46"/>
        <v>Standard</v>
      </c>
      <c r="M749" t="str">
        <f t="shared" si="47"/>
        <v>Weekday</v>
      </c>
    </row>
    <row r="750" spans="1:13" x14ac:dyDescent="0.35">
      <c r="A750" t="s">
        <v>802</v>
      </c>
      <c r="B750" s="1">
        <v>45124</v>
      </c>
      <c r="C750" t="s">
        <v>60</v>
      </c>
      <c r="D750" t="s">
        <v>21</v>
      </c>
      <c r="E750" t="s">
        <v>27</v>
      </c>
      <c r="F750" s="4">
        <v>2261.7399999999998</v>
      </c>
      <c r="G750" s="5">
        <v>1</v>
      </c>
      <c r="H750" t="s">
        <v>15</v>
      </c>
      <c r="I750" t="str">
        <f t="shared" si="44"/>
        <v>2023-07</v>
      </c>
      <c r="J750" s="4">
        <f t="shared" si="45"/>
        <v>2261.7399999999998</v>
      </c>
      <c r="K750" t="str" cm="1">
        <f t="array" ref="K750">_xlfn.IFS(G750&lt;=5, "Small", G750&lt;=15, "Medium", G750&gt;15, "Large")</f>
        <v>Small</v>
      </c>
      <c r="L750" t="str">
        <f t="shared" si="46"/>
        <v>Standard</v>
      </c>
      <c r="M750" t="str">
        <f t="shared" si="47"/>
        <v>Weekday</v>
      </c>
    </row>
    <row r="751" spans="1:13" x14ac:dyDescent="0.35">
      <c r="A751" t="s">
        <v>803</v>
      </c>
      <c r="B751" s="1">
        <v>45248</v>
      </c>
      <c r="C751" t="s">
        <v>72</v>
      </c>
      <c r="D751" t="s">
        <v>26</v>
      </c>
      <c r="E751" t="s">
        <v>18</v>
      </c>
      <c r="F751" s="4">
        <v>3221.89</v>
      </c>
      <c r="G751" s="5">
        <v>17</v>
      </c>
      <c r="H751" t="s">
        <v>15</v>
      </c>
      <c r="I751" t="str">
        <f t="shared" si="44"/>
        <v>2023-11</v>
      </c>
      <c r="J751" s="4">
        <f t="shared" si="45"/>
        <v>189.52294117647057</v>
      </c>
      <c r="K751" t="str" cm="1">
        <f t="array" ref="K751">_xlfn.IFS(G751&lt;=5, "Small", G751&lt;=15, "Medium", G751&gt;15, "Large")</f>
        <v>Large</v>
      </c>
      <c r="L751" t="str">
        <f t="shared" si="46"/>
        <v>Standard</v>
      </c>
      <c r="M751" t="str">
        <f t="shared" si="47"/>
        <v>Weekend</v>
      </c>
    </row>
    <row r="752" spans="1:13" x14ac:dyDescent="0.35">
      <c r="A752" t="s">
        <v>804</v>
      </c>
      <c r="B752" s="1">
        <v>45243</v>
      </c>
      <c r="C752" t="s">
        <v>42</v>
      </c>
      <c r="D752" t="s">
        <v>10</v>
      </c>
      <c r="E752" t="s">
        <v>11</v>
      </c>
      <c r="F752" s="4">
        <v>17923.64</v>
      </c>
      <c r="G752" s="5">
        <v>3</v>
      </c>
      <c r="H752" t="s">
        <v>15</v>
      </c>
      <c r="I752" t="str">
        <f t="shared" si="44"/>
        <v>2023-11</v>
      </c>
      <c r="J752" s="4">
        <f t="shared" si="45"/>
        <v>5974.5466666666662</v>
      </c>
      <c r="K752" t="str" cm="1">
        <f t="array" ref="K752">_xlfn.IFS(G752&lt;=5, "Small", G752&lt;=15, "Medium", G752&gt;15, "Large")</f>
        <v>Small</v>
      </c>
      <c r="L752" t="str">
        <f t="shared" si="46"/>
        <v>Standard</v>
      </c>
      <c r="M752" t="str">
        <f t="shared" si="47"/>
        <v>Weekday</v>
      </c>
    </row>
    <row r="753" spans="1:13" x14ac:dyDescent="0.35">
      <c r="A753" t="s">
        <v>805</v>
      </c>
      <c r="B753" s="1">
        <v>45158</v>
      </c>
      <c r="C753" t="s">
        <v>40</v>
      </c>
      <c r="D753" t="s">
        <v>26</v>
      </c>
      <c r="E753" t="s">
        <v>27</v>
      </c>
      <c r="F753" s="4">
        <v>9501.9599999999991</v>
      </c>
      <c r="G753" s="5">
        <v>3</v>
      </c>
      <c r="H753" t="s">
        <v>15</v>
      </c>
      <c r="I753" t="str">
        <f t="shared" si="44"/>
        <v>2023-08</v>
      </c>
      <c r="J753" s="4">
        <f t="shared" si="45"/>
        <v>3167.3199999999997</v>
      </c>
      <c r="K753" t="str" cm="1">
        <f t="array" ref="K753">_xlfn.IFS(G753&lt;=5, "Small", G753&lt;=15, "Medium", G753&gt;15, "Large")</f>
        <v>Small</v>
      </c>
      <c r="L753" t="str">
        <f t="shared" si="46"/>
        <v>Standard</v>
      </c>
      <c r="M753" t="str">
        <f t="shared" si="47"/>
        <v>Weekend</v>
      </c>
    </row>
    <row r="754" spans="1:13" x14ac:dyDescent="0.35">
      <c r="A754" t="s">
        <v>806</v>
      </c>
      <c r="B754" s="1">
        <v>45496</v>
      </c>
      <c r="C754" t="s">
        <v>25</v>
      </c>
      <c r="D754" t="s">
        <v>26</v>
      </c>
      <c r="E754" t="s">
        <v>18</v>
      </c>
      <c r="F754" s="4">
        <v>329.96</v>
      </c>
      <c r="G754" s="5">
        <v>29</v>
      </c>
      <c r="H754" t="s">
        <v>15</v>
      </c>
      <c r="I754" t="str">
        <f t="shared" si="44"/>
        <v>2024-07</v>
      </c>
      <c r="J754" s="4">
        <f t="shared" si="45"/>
        <v>11.377931034482758</v>
      </c>
      <c r="K754" t="str" cm="1">
        <f t="array" ref="K754">_xlfn.IFS(G754&lt;=5, "Small", G754&lt;=15, "Medium", G754&gt;15, "Large")</f>
        <v>Large</v>
      </c>
      <c r="L754" t="str">
        <f t="shared" si="46"/>
        <v>Standard</v>
      </c>
      <c r="M754" t="str">
        <f t="shared" si="47"/>
        <v>Weekday</v>
      </c>
    </row>
    <row r="755" spans="1:13" x14ac:dyDescent="0.35">
      <c r="A755" t="s">
        <v>807</v>
      </c>
      <c r="B755" s="1">
        <v>44939</v>
      </c>
      <c r="C755" t="s">
        <v>35</v>
      </c>
      <c r="D755" t="s">
        <v>31</v>
      </c>
      <c r="E755" t="s">
        <v>18</v>
      </c>
      <c r="F755" s="4">
        <v>2773.49</v>
      </c>
      <c r="G755" s="5">
        <v>7</v>
      </c>
      <c r="H755" t="s">
        <v>15</v>
      </c>
      <c r="I755" t="str">
        <f t="shared" si="44"/>
        <v>2023-01</v>
      </c>
      <c r="J755" s="4">
        <f t="shared" si="45"/>
        <v>396.2128571428571</v>
      </c>
      <c r="K755" t="str" cm="1">
        <f t="array" ref="K755">_xlfn.IFS(G755&lt;=5, "Small", G755&lt;=15, "Medium", G755&gt;15, "Large")</f>
        <v>Medium</v>
      </c>
      <c r="L755" t="str">
        <f t="shared" si="46"/>
        <v>Standard</v>
      </c>
      <c r="M755" t="str">
        <f t="shared" si="47"/>
        <v>Weekday</v>
      </c>
    </row>
    <row r="756" spans="1:13" x14ac:dyDescent="0.35">
      <c r="A756" t="s">
        <v>808</v>
      </c>
      <c r="B756" s="1">
        <v>45228</v>
      </c>
      <c r="C756" t="s">
        <v>72</v>
      </c>
      <c r="D756" t="s">
        <v>26</v>
      </c>
      <c r="E756" t="s">
        <v>18</v>
      </c>
      <c r="F756" s="4">
        <v>0</v>
      </c>
      <c r="G756" s="5">
        <v>1</v>
      </c>
      <c r="H756" t="s">
        <v>28</v>
      </c>
      <c r="I756" t="str">
        <f t="shared" si="44"/>
        <v>2023-10</v>
      </c>
      <c r="J756" s="4">
        <f t="shared" si="45"/>
        <v>0</v>
      </c>
      <c r="K756" t="str" cm="1">
        <f t="array" ref="K756">_xlfn.IFS(G756&lt;=5, "Small", G756&lt;=15, "Medium", G756&gt;15, "Large")</f>
        <v>Small</v>
      </c>
      <c r="L756" t="str">
        <f t="shared" si="46"/>
        <v>Standard</v>
      </c>
      <c r="M756" t="str">
        <f t="shared" si="47"/>
        <v>Weekend</v>
      </c>
    </row>
    <row r="757" spans="1:13" x14ac:dyDescent="0.35">
      <c r="A757" t="s">
        <v>809</v>
      </c>
      <c r="B757" s="1">
        <v>45522</v>
      </c>
      <c r="C757" t="s">
        <v>72</v>
      </c>
      <c r="D757" t="s">
        <v>26</v>
      </c>
      <c r="E757" t="s">
        <v>11</v>
      </c>
      <c r="F757" s="4">
        <v>15846.22</v>
      </c>
      <c r="G757" s="5">
        <v>3</v>
      </c>
      <c r="H757" t="s">
        <v>15</v>
      </c>
      <c r="I757" t="str">
        <f t="shared" si="44"/>
        <v>2024-08</v>
      </c>
      <c r="J757" s="4">
        <f t="shared" si="45"/>
        <v>5282.0733333333328</v>
      </c>
      <c r="K757" t="str" cm="1">
        <f t="array" ref="K757">_xlfn.IFS(G757&lt;=5, "Small", G757&lt;=15, "Medium", G757&gt;15, "Large")</f>
        <v>Small</v>
      </c>
      <c r="L757" t="str">
        <f t="shared" si="46"/>
        <v>Standard</v>
      </c>
      <c r="M757" t="str">
        <f t="shared" si="47"/>
        <v>Weekend</v>
      </c>
    </row>
    <row r="758" spans="1:13" x14ac:dyDescent="0.35">
      <c r="A758" t="s">
        <v>810</v>
      </c>
      <c r="B758" s="1">
        <v>45629</v>
      </c>
      <c r="C758" t="s">
        <v>33</v>
      </c>
      <c r="D758" t="s">
        <v>10</v>
      </c>
      <c r="E758" t="s">
        <v>11</v>
      </c>
      <c r="F758" s="4">
        <v>16538.490000000002</v>
      </c>
      <c r="G758" s="5">
        <v>2</v>
      </c>
      <c r="H758" t="s">
        <v>15</v>
      </c>
      <c r="I758" t="str">
        <f t="shared" si="44"/>
        <v>2024-12</v>
      </c>
      <c r="J758" s="4">
        <f t="shared" si="45"/>
        <v>8269.2450000000008</v>
      </c>
      <c r="K758" t="str" cm="1">
        <f t="array" ref="K758">_xlfn.IFS(G758&lt;=5, "Small", G758&lt;=15, "Medium", G758&gt;15, "Large")</f>
        <v>Small</v>
      </c>
      <c r="L758" t="str">
        <f t="shared" si="46"/>
        <v>Standard</v>
      </c>
      <c r="M758" t="str">
        <f t="shared" si="47"/>
        <v>Weekday</v>
      </c>
    </row>
    <row r="759" spans="1:13" x14ac:dyDescent="0.35">
      <c r="A759" t="s">
        <v>811</v>
      </c>
      <c r="B759" s="1">
        <v>45596</v>
      </c>
      <c r="C759" t="s">
        <v>62</v>
      </c>
      <c r="D759" t="s">
        <v>10</v>
      </c>
      <c r="E759" t="s">
        <v>11</v>
      </c>
      <c r="F759" s="4">
        <v>934.23</v>
      </c>
      <c r="G759" s="5">
        <v>1</v>
      </c>
      <c r="H759" t="s">
        <v>15</v>
      </c>
      <c r="I759" t="str">
        <f t="shared" si="44"/>
        <v>2024-10</v>
      </c>
      <c r="J759" s="4">
        <f t="shared" si="45"/>
        <v>934.23</v>
      </c>
      <c r="K759" t="str" cm="1">
        <f t="array" ref="K759">_xlfn.IFS(G759&lt;=5, "Small", G759&lt;=15, "Medium", G759&gt;15, "Large")</f>
        <v>Small</v>
      </c>
      <c r="L759" t="str">
        <f t="shared" si="46"/>
        <v>Standard</v>
      </c>
      <c r="M759" t="str">
        <f t="shared" si="47"/>
        <v>Weekday</v>
      </c>
    </row>
    <row r="760" spans="1:13" x14ac:dyDescent="0.35">
      <c r="A760" t="s">
        <v>812</v>
      </c>
      <c r="B760" s="1">
        <v>45243</v>
      </c>
      <c r="C760" t="s">
        <v>35</v>
      </c>
      <c r="D760" t="s">
        <v>31</v>
      </c>
      <c r="E760" t="s">
        <v>11</v>
      </c>
      <c r="F760" s="4">
        <v>17473.8</v>
      </c>
      <c r="G760" s="5">
        <v>3</v>
      </c>
      <c r="H760" t="s">
        <v>15</v>
      </c>
      <c r="I760" t="str">
        <f t="shared" si="44"/>
        <v>2023-11</v>
      </c>
      <c r="J760" s="4">
        <f t="shared" si="45"/>
        <v>5824.5999999999995</v>
      </c>
      <c r="K760" t="str" cm="1">
        <f t="array" ref="K760">_xlfn.IFS(G760&lt;=5, "Small", G760&lt;=15, "Medium", G760&gt;15, "Large")</f>
        <v>Small</v>
      </c>
      <c r="L760" t="str">
        <f t="shared" si="46"/>
        <v>Standard</v>
      </c>
      <c r="M760" t="str">
        <f t="shared" si="47"/>
        <v>Weekday</v>
      </c>
    </row>
    <row r="761" spans="1:13" x14ac:dyDescent="0.35">
      <c r="A761" t="s">
        <v>813</v>
      </c>
      <c r="B761" s="1">
        <v>45508</v>
      </c>
      <c r="C761" t="s">
        <v>35</v>
      </c>
      <c r="D761" t="s">
        <v>31</v>
      </c>
      <c r="E761" t="s">
        <v>11</v>
      </c>
      <c r="F761" s="4">
        <v>5336.74</v>
      </c>
      <c r="G761" s="5">
        <v>8</v>
      </c>
      <c r="H761" t="s">
        <v>15</v>
      </c>
      <c r="I761" t="str">
        <f t="shared" si="44"/>
        <v>2024-08</v>
      </c>
      <c r="J761" s="4">
        <f t="shared" si="45"/>
        <v>667.09249999999997</v>
      </c>
      <c r="K761" t="str" cm="1">
        <f t="array" ref="K761">_xlfn.IFS(G761&lt;=5, "Small", G761&lt;=15, "Medium", G761&gt;15, "Large")</f>
        <v>Medium</v>
      </c>
      <c r="L761" t="str">
        <f t="shared" si="46"/>
        <v>Standard</v>
      </c>
      <c r="M761" t="str">
        <f t="shared" si="47"/>
        <v>Weekend</v>
      </c>
    </row>
    <row r="762" spans="1:13" x14ac:dyDescent="0.35">
      <c r="A762" t="s">
        <v>814</v>
      </c>
      <c r="B762" s="1">
        <v>45378</v>
      </c>
      <c r="C762" t="s">
        <v>37</v>
      </c>
      <c r="D762" t="s">
        <v>21</v>
      </c>
      <c r="E762" t="s">
        <v>27</v>
      </c>
      <c r="F762" s="4">
        <v>27775.34</v>
      </c>
      <c r="G762" s="5">
        <v>2</v>
      </c>
      <c r="H762" t="s">
        <v>15</v>
      </c>
      <c r="I762" t="str">
        <f t="shared" si="44"/>
        <v>2024-03</v>
      </c>
      <c r="J762" s="4">
        <f t="shared" si="45"/>
        <v>13887.67</v>
      </c>
      <c r="K762" t="str" cm="1">
        <f t="array" ref="K762">_xlfn.IFS(G762&lt;=5, "Small", G762&lt;=15, "Medium", G762&gt;15, "Large")</f>
        <v>Small</v>
      </c>
      <c r="L762" t="str">
        <f t="shared" si="46"/>
        <v>VIP</v>
      </c>
      <c r="M762" t="str">
        <f t="shared" si="47"/>
        <v>Weekday</v>
      </c>
    </row>
    <row r="763" spans="1:13" x14ac:dyDescent="0.35">
      <c r="A763" t="s">
        <v>815</v>
      </c>
      <c r="B763" s="1">
        <v>45487</v>
      </c>
      <c r="C763" t="s">
        <v>45</v>
      </c>
      <c r="D763" t="s">
        <v>21</v>
      </c>
      <c r="E763" t="s">
        <v>18</v>
      </c>
      <c r="F763" s="4">
        <v>566.99</v>
      </c>
      <c r="G763" s="5">
        <v>11</v>
      </c>
      <c r="H763" t="s">
        <v>15</v>
      </c>
      <c r="I763" t="str">
        <f t="shared" si="44"/>
        <v>2024-07</v>
      </c>
      <c r="J763" s="4">
        <f t="shared" si="45"/>
        <v>51.544545454545457</v>
      </c>
      <c r="K763" t="str" cm="1">
        <f t="array" ref="K763">_xlfn.IFS(G763&lt;=5, "Small", G763&lt;=15, "Medium", G763&gt;15, "Large")</f>
        <v>Medium</v>
      </c>
      <c r="L763" t="str">
        <f t="shared" si="46"/>
        <v>Standard</v>
      </c>
      <c r="M763" t="str">
        <f t="shared" si="47"/>
        <v>Weekend</v>
      </c>
    </row>
    <row r="764" spans="1:13" x14ac:dyDescent="0.35">
      <c r="A764" t="s">
        <v>816</v>
      </c>
      <c r="B764" s="1">
        <v>44952</v>
      </c>
      <c r="C764" t="s">
        <v>58</v>
      </c>
      <c r="D764" t="s">
        <v>31</v>
      </c>
      <c r="E764" t="s">
        <v>11</v>
      </c>
      <c r="F764" s="4">
        <v>16593.689999999999</v>
      </c>
      <c r="G764" s="5">
        <v>2</v>
      </c>
      <c r="H764" t="s">
        <v>15</v>
      </c>
      <c r="I764" t="str">
        <f t="shared" si="44"/>
        <v>2023-01</v>
      </c>
      <c r="J764" s="4">
        <f t="shared" si="45"/>
        <v>8296.8449999999993</v>
      </c>
      <c r="K764" t="str" cm="1">
        <f t="array" ref="K764">_xlfn.IFS(G764&lt;=5, "Small", G764&lt;=15, "Medium", G764&gt;15, "Large")</f>
        <v>Small</v>
      </c>
      <c r="L764" t="str">
        <f t="shared" si="46"/>
        <v>Standard</v>
      </c>
      <c r="M764" t="str">
        <f t="shared" si="47"/>
        <v>Weekday</v>
      </c>
    </row>
    <row r="765" spans="1:13" x14ac:dyDescent="0.35">
      <c r="A765" t="s">
        <v>817</v>
      </c>
      <c r="B765" s="1">
        <v>45352</v>
      </c>
      <c r="C765" t="s">
        <v>89</v>
      </c>
      <c r="D765" t="s">
        <v>21</v>
      </c>
      <c r="E765" t="s">
        <v>11</v>
      </c>
      <c r="F765" s="4">
        <v>6341.37</v>
      </c>
      <c r="G765" s="5">
        <v>3</v>
      </c>
      <c r="H765" t="s">
        <v>15</v>
      </c>
      <c r="I765" t="str">
        <f t="shared" si="44"/>
        <v>2024-03</v>
      </c>
      <c r="J765" s="4">
        <f t="shared" si="45"/>
        <v>2113.79</v>
      </c>
      <c r="K765" t="str" cm="1">
        <f t="array" ref="K765">_xlfn.IFS(G765&lt;=5, "Small", G765&lt;=15, "Medium", G765&gt;15, "Large")</f>
        <v>Small</v>
      </c>
      <c r="L765" t="str">
        <f t="shared" si="46"/>
        <v>Standard</v>
      </c>
      <c r="M765" t="str">
        <f t="shared" si="47"/>
        <v>Weekday</v>
      </c>
    </row>
    <row r="766" spans="1:13" x14ac:dyDescent="0.35">
      <c r="A766" t="s">
        <v>818</v>
      </c>
      <c r="B766" s="1">
        <v>45396</v>
      </c>
      <c r="C766" t="s">
        <v>69</v>
      </c>
      <c r="D766" t="s">
        <v>31</v>
      </c>
      <c r="E766" t="s">
        <v>18</v>
      </c>
      <c r="F766" s="4">
        <v>1422.12</v>
      </c>
      <c r="G766" s="5">
        <v>14</v>
      </c>
      <c r="H766" t="s">
        <v>15</v>
      </c>
      <c r="I766" t="str">
        <f t="shared" si="44"/>
        <v>2024-04</v>
      </c>
      <c r="J766" s="4">
        <f t="shared" si="45"/>
        <v>101.58</v>
      </c>
      <c r="K766" t="str" cm="1">
        <f t="array" ref="K766">_xlfn.IFS(G766&lt;=5, "Small", G766&lt;=15, "Medium", G766&gt;15, "Large")</f>
        <v>Medium</v>
      </c>
      <c r="L766" t="str">
        <f t="shared" si="46"/>
        <v>Standard</v>
      </c>
      <c r="M766" t="str">
        <f t="shared" si="47"/>
        <v>Weekend</v>
      </c>
    </row>
    <row r="767" spans="1:13" x14ac:dyDescent="0.35">
      <c r="A767" t="s">
        <v>819</v>
      </c>
      <c r="B767" s="1">
        <v>45280</v>
      </c>
      <c r="C767" t="s">
        <v>48</v>
      </c>
      <c r="D767" t="s">
        <v>31</v>
      </c>
      <c r="E767" t="s">
        <v>11</v>
      </c>
      <c r="F767" s="4">
        <v>8740.4599999999991</v>
      </c>
      <c r="G767" s="5">
        <v>3</v>
      </c>
      <c r="H767" t="s">
        <v>15</v>
      </c>
      <c r="I767" t="str">
        <f t="shared" si="44"/>
        <v>2023-12</v>
      </c>
      <c r="J767" s="4">
        <f t="shared" si="45"/>
        <v>2913.4866666666662</v>
      </c>
      <c r="K767" t="str" cm="1">
        <f t="array" ref="K767">_xlfn.IFS(G767&lt;=5, "Small", G767&lt;=15, "Medium", G767&gt;15, "Large")</f>
        <v>Small</v>
      </c>
      <c r="L767" t="str">
        <f t="shared" si="46"/>
        <v>Standard</v>
      </c>
      <c r="M767" t="str">
        <f t="shared" si="47"/>
        <v>Weekday</v>
      </c>
    </row>
    <row r="768" spans="1:13" x14ac:dyDescent="0.35">
      <c r="A768" t="s">
        <v>820</v>
      </c>
      <c r="B768" s="1">
        <v>45094</v>
      </c>
      <c r="C768" t="s">
        <v>72</v>
      </c>
      <c r="D768" t="s">
        <v>26</v>
      </c>
      <c r="E768" t="s">
        <v>11</v>
      </c>
      <c r="F768" s="4">
        <v>11561.57</v>
      </c>
      <c r="G768" s="5">
        <v>6</v>
      </c>
      <c r="H768" t="s">
        <v>15</v>
      </c>
      <c r="I768" t="str">
        <f t="shared" si="44"/>
        <v>2023-06</v>
      </c>
      <c r="J768" s="4">
        <f t="shared" si="45"/>
        <v>1926.9283333333333</v>
      </c>
      <c r="K768" t="str" cm="1">
        <f t="array" ref="K768">_xlfn.IFS(G768&lt;=5, "Small", G768&lt;=15, "Medium", G768&gt;15, "Large")</f>
        <v>Medium</v>
      </c>
      <c r="L768" t="str">
        <f t="shared" si="46"/>
        <v>Standard</v>
      </c>
      <c r="M768" t="str">
        <f t="shared" si="47"/>
        <v>Weekend</v>
      </c>
    </row>
    <row r="769" spans="1:13" x14ac:dyDescent="0.35">
      <c r="A769" t="s">
        <v>821</v>
      </c>
      <c r="B769" s="1">
        <v>45329</v>
      </c>
      <c r="C769" t="s">
        <v>78</v>
      </c>
      <c r="D769" t="s">
        <v>31</v>
      </c>
      <c r="E769" t="s">
        <v>27</v>
      </c>
      <c r="F769" s="4">
        <v>12900.91</v>
      </c>
      <c r="G769" s="5">
        <v>5</v>
      </c>
      <c r="H769" t="s">
        <v>15</v>
      </c>
      <c r="I769" t="str">
        <f t="shared" si="44"/>
        <v>2024-02</v>
      </c>
      <c r="J769" s="4">
        <f t="shared" si="45"/>
        <v>2580.1819999999998</v>
      </c>
      <c r="K769" t="str" cm="1">
        <f t="array" ref="K769">_xlfn.IFS(G769&lt;=5, "Small", G769&lt;=15, "Medium", G769&gt;15, "Large")</f>
        <v>Small</v>
      </c>
      <c r="L769" t="str">
        <f t="shared" si="46"/>
        <v>Standard</v>
      </c>
      <c r="M769" t="str">
        <f t="shared" si="47"/>
        <v>Weekday</v>
      </c>
    </row>
    <row r="770" spans="1:13" x14ac:dyDescent="0.35">
      <c r="A770" t="s">
        <v>822</v>
      </c>
      <c r="B770" s="1">
        <v>45386</v>
      </c>
      <c r="C770" t="s">
        <v>84</v>
      </c>
      <c r="D770" t="s">
        <v>26</v>
      </c>
      <c r="E770" t="s">
        <v>27</v>
      </c>
      <c r="F770" s="4">
        <v>20778.64</v>
      </c>
      <c r="G770" s="5">
        <v>2</v>
      </c>
      <c r="H770" t="s">
        <v>15</v>
      </c>
      <c r="I770" t="str">
        <f t="shared" si="44"/>
        <v>2024-04</v>
      </c>
      <c r="J770" s="4">
        <f t="shared" si="45"/>
        <v>10389.32</v>
      </c>
      <c r="K770" t="str" cm="1">
        <f t="array" ref="K770">_xlfn.IFS(G770&lt;=5, "Small", G770&lt;=15, "Medium", G770&gt;15, "Large")</f>
        <v>Small</v>
      </c>
      <c r="L770" t="str">
        <f t="shared" si="46"/>
        <v>Standard</v>
      </c>
      <c r="M770" t="str">
        <f t="shared" si="47"/>
        <v>Weekday</v>
      </c>
    </row>
    <row r="771" spans="1:13" x14ac:dyDescent="0.35">
      <c r="A771" t="s">
        <v>823</v>
      </c>
      <c r="B771" s="1">
        <v>45414</v>
      </c>
      <c r="C771" t="s">
        <v>50</v>
      </c>
      <c r="D771" t="s">
        <v>26</v>
      </c>
      <c r="E771" t="s">
        <v>18</v>
      </c>
      <c r="F771" s="4">
        <v>0</v>
      </c>
      <c r="G771" s="5">
        <v>22</v>
      </c>
      <c r="H771" t="s">
        <v>28</v>
      </c>
      <c r="I771" t="str">
        <f t="shared" ref="I771:I834" si="48">TEXT(B771, "YYYY-MM")</f>
        <v>2024-05</v>
      </c>
      <c r="J771" s="4">
        <f t="shared" ref="J771:J834" si="49">IFERROR(F771/G771, 0)</f>
        <v>0</v>
      </c>
      <c r="K771" t="str" cm="1">
        <f t="array" ref="K771">_xlfn.IFS(G771&lt;=5, "Small", G771&lt;=15, "Medium", G771&gt;15, "Large")</f>
        <v>Large</v>
      </c>
      <c r="L771" t="str">
        <f t="shared" ref="L771:L834" si="50">IF(F771&gt;_xlfn.PERCENTILE.INC($F$2:$F$10000, 0.9), "VIP", "Standard")</f>
        <v>Standard</v>
      </c>
      <c r="M771" t="str">
        <f t="shared" ref="M771:M834" si="51">IF(WEEKDAY(B771, 2)&gt;5, "Weekend", "Weekday")</f>
        <v>Weekday</v>
      </c>
    </row>
    <row r="772" spans="1:13" x14ac:dyDescent="0.35">
      <c r="A772" t="s">
        <v>824</v>
      </c>
      <c r="B772" s="1">
        <v>44972</v>
      </c>
      <c r="C772" t="s">
        <v>241</v>
      </c>
      <c r="D772" t="s">
        <v>31</v>
      </c>
      <c r="E772" t="s">
        <v>11</v>
      </c>
      <c r="F772" s="4">
        <v>10314.02</v>
      </c>
      <c r="G772" s="5">
        <v>6</v>
      </c>
      <c r="H772" t="s">
        <v>15</v>
      </c>
      <c r="I772" t="str">
        <f t="shared" si="48"/>
        <v>2023-02</v>
      </c>
      <c r="J772" s="4">
        <f t="shared" si="49"/>
        <v>1719.0033333333333</v>
      </c>
      <c r="K772" t="str" cm="1">
        <f t="array" ref="K772">_xlfn.IFS(G772&lt;=5, "Small", G772&lt;=15, "Medium", G772&gt;15, "Large")</f>
        <v>Medium</v>
      </c>
      <c r="L772" t="str">
        <f t="shared" si="50"/>
        <v>Standard</v>
      </c>
      <c r="M772" t="str">
        <f t="shared" si="51"/>
        <v>Weekday</v>
      </c>
    </row>
    <row r="773" spans="1:13" x14ac:dyDescent="0.35">
      <c r="A773" t="s">
        <v>825</v>
      </c>
      <c r="B773" s="1">
        <v>45493</v>
      </c>
      <c r="C773" t="s">
        <v>241</v>
      </c>
      <c r="D773" t="s">
        <v>31</v>
      </c>
      <c r="E773" t="s">
        <v>27</v>
      </c>
      <c r="F773" s="4">
        <v>19198.54</v>
      </c>
      <c r="G773" s="5">
        <v>3</v>
      </c>
      <c r="H773" t="s">
        <v>15</v>
      </c>
      <c r="I773" t="str">
        <f t="shared" si="48"/>
        <v>2024-07</v>
      </c>
      <c r="J773" s="4">
        <f t="shared" si="49"/>
        <v>6399.5133333333333</v>
      </c>
      <c r="K773" t="str" cm="1">
        <f t="array" ref="K773">_xlfn.IFS(G773&lt;=5, "Small", G773&lt;=15, "Medium", G773&gt;15, "Large")</f>
        <v>Small</v>
      </c>
      <c r="L773" t="str">
        <f t="shared" si="50"/>
        <v>Standard</v>
      </c>
      <c r="M773" t="str">
        <f t="shared" si="51"/>
        <v>Weekend</v>
      </c>
    </row>
    <row r="774" spans="1:13" x14ac:dyDescent="0.35">
      <c r="A774" t="s">
        <v>826</v>
      </c>
      <c r="B774" s="1">
        <v>45187</v>
      </c>
      <c r="C774" t="s">
        <v>82</v>
      </c>
      <c r="D774" t="s">
        <v>10</v>
      </c>
      <c r="E774" t="s">
        <v>18</v>
      </c>
      <c r="F774" s="4">
        <v>106.13</v>
      </c>
      <c r="G774" s="5">
        <v>24</v>
      </c>
      <c r="H774" t="s">
        <v>15</v>
      </c>
      <c r="I774" t="str">
        <f t="shared" si="48"/>
        <v>2023-09</v>
      </c>
      <c r="J774" s="4">
        <f t="shared" si="49"/>
        <v>4.4220833333333331</v>
      </c>
      <c r="K774" t="str" cm="1">
        <f t="array" ref="K774">_xlfn.IFS(G774&lt;=5, "Small", G774&lt;=15, "Medium", G774&gt;15, "Large")</f>
        <v>Large</v>
      </c>
      <c r="L774" t="str">
        <f t="shared" si="50"/>
        <v>Standard</v>
      </c>
      <c r="M774" t="str">
        <f t="shared" si="51"/>
        <v>Weekday</v>
      </c>
    </row>
    <row r="775" spans="1:13" x14ac:dyDescent="0.35">
      <c r="A775" t="s">
        <v>827</v>
      </c>
      <c r="B775" s="1">
        <v>45056</v>
      </c>
      <c r="C775" t="s">
        <v>14</v>
      </c>
      <c r="D775" t="s">
        <v>10</v>
      </c>
      <c r="E775" t="s">
        <v>11</v>
      </c>
      <c r="F775" s="4">
        <v>9558.64</v>
      </c>
      <c r="G775" s="5">
        <v>7</v>
      </c>
      <c r="H775" t="s">
        <v>15</v>
      </c>
      <c r="I775" t="str">
        <f t="shared" si="48"/>
        <v>2023-05</v>
      </c>
      <c r="J775" s="4">
        <f t="shared" si="49"/>
        <v>1365.52</v>
      </c>
      <c r="K775" t="str" cm="1">
        <f t="array" ref="K775">_xlfn.IFS(G775&lt;=5, "Small", G775&lt;=15, "Medium", G775&gt;15, "Large")</f>
        <v>Medium</v>
      </c>
      <c r="L775" t="str">
        <f t="shared" si="50"/>
        <v>Standard</v>
      </c>
      <c r="M775" t="str">
        <f t="shared" si="51"/>
        <v>Weekday</v>
      </c>
    </row>
    <row r="776" spans="1:13" x14ac:dyDescent="0.35">
      <c r="A776" t="s">
        <v>828</v>
      </c>
      <c r="B776" s="1">
        <v>45568</v>
      </c>
      <c r="C776" t="s">
        <v>14</v>
      </c>
      <c r="D776" t="s">
        <v>10</v>
      </c>
      <c r="E776" t="s">
        <v>27</v>
      </c>
      <c r="F776" s="4">
        <v>0</v>
      </c>
      <c r="G776" s="5">
        <v>2</v>
      </c>
      <c r="H776" t="s">
        <v>28</v>
      </c>
      <c r="I776" t="str">
        <f t="shared" si="48"/>
        <v>2024-10</v>
      </c>
      <c r="J776" s="4">
        <f t="shared" si="49"/>
        <v>0</v>
      </c>
      <c r="K776" t="str" cm="1">
        <f t="array" ref="K776">_xlfn.IFS(G776&lt;=5, "Small", G776&lt;=15, "Medium", G776&gt;15, "Large")</f>
        <v>Small</v>
      </c>
      <c r="L776" t="str">
        <f t="shared" si="50"/>
        <v>Standard</v>
      </c>
      <c r="M776" t="str">
        <f t="shared" si="51"/>
        <v>Weekday</v>
      </c>
    </row>
    <row r="777" spans="1:13" x14ac:dyDescent="0.35">
      <c r="A777" t="s">
        <v>829</v>
      </c>
      <c r="B777" s="1">
        <v>45006</v>
      </c>
      <c r="C777" t="s">
        <v>20</v>
      </c>
      <c r="D777" t="s">
        <v>21</v>
      </c>
      <c r="E777" t="s">
        <v>18</v>
      </c>
      <c r="F777" s="4">
        <v>2372.9699999999998</v>
      </c>
      <c r="G777" s="5">
        <v>2</v>
      </c>
      <c r="H777" t="s">
        <v>15</v>
      </c>
      <c r="I777" t="str">
        <f t="shared" si="48"/>
        <v>2023-03</v>
      </c>
      <c r="J777" s="4">
        <f t="shared" si="49"/>
        <v>1186.4849999999999</v>
      </c>
      <c r="K777" t="str" cm="1">
        <f t="array" ref="K777">_xlfn.IFS(G777&lt;=5, "Small", G777&lt;=15, "Medium", G777&gt;15, "Large")</f>
        <v>Small</v>
      </c>
      <c r="L777" t="str">
        <f t="shared" si="50"/>
        <v>Standard</v>
      </c>
      <c r="M777" t="str">
        <f t="shared" si="51"/>
        <v>Weekday</v>
      </c>
    </row>
    <row r="778" spans="1:13" x14ac:dyDescent="0.35">
      <c r="A778" t="s">
        <v>830</v>
      </c>
      <c r="B778" s="1">
        <v>45265</v>
      </c>
      <c r="C778" t="s">
        <v>33</v>
      </c>
      <c r="D778" t="s">
        <v>10</v>
      </c>
      <c r="E778" t="s">
        <v>11</v>
      </c>
      <c r="F778" s="4">
        <v>1936.61</v>
      </c>
      <c r="G778" s="5">
        <v>4</v>
      </c>
      <c r="H778" t="s">
        <v>15</v>
      </c>
      <c r="I778" t="str">
        <f t="shared" si="48"/>
        <v>2023-12</v>
      </c>
      <c r="J778" s="4">
        <f t="shared" si="49"/>
        <v>484.15249999999997</v>
      </c>
      <c r="K778" t="str" cm="1">
        <f t="array" ref="K778">_xlfn.IFS(G778&lt;=5, "Small", G778&lt;=15, "Medium", G778&gt;15, "Large")</f>
        <v>Small</v>
      </c>
      <c r="L778" t="str">
        <f t="shared" si="50"/>
        <v>Standard</v>
      </c>
      <c r="M778" t="str">
        <f t="shared" si="51"/>
        <v>Weekday</v>
      </c>
    </row>
    <row r="779" spans="1:13" x14ac:dyDescent="0.35">
      <c r="A779" t="s">
        <v>831</v>
      </c>
      <c r="B779" s="1">
        <v>45133</v>
      </c>
      <c r="C779" t="s">
        <v>33</v>
      </c>
      <c r="D779" t="s">
        <v>10</v>
      </c>
      <c r="E779" t="s">
        <v>27</v>
      </c>
      <c r="F779" s="4">
        <v>36116.92</v>
      </c>
      <c r="G779" s="5">
        <v>5</v>
      </c>
      <c r="H779" t="s">
        <v>15</v>
      </c>
      <c r="I779" t="str">
        <f t="shared" si="48"/>
        <v>2023-07</v>
      </c>
      <c r="J779" s="4">
        <f t="shared" si="49"/>
        <v>7223.384</v>
      </c>
      <c r="K779" t="str" cm="1">
        <f t="array" ref="K779">_xlfn.IFS(G779&lt;=5, "Small", G779&lt;=15, "Medium", G779&gt;15, "Large")</f>
        <v>Small</v>
      </c>
      <c r="L779" t="str">
        <f t="shared" si="50"/>
        <v>VIP</v>
      </c>
      <c r="M779" t="str">
        <f t="shared" si="51"/>
        <v>Weekday</v>
      </c>
    </row>
    <row r="780" spans="1:13" x14ac:dyDescent="0.35">
      <c r="A780" t="s">
        <v>832</v>
      </c>
      <c r="B780" s="1">
        <v>45060</v>
      </c>
      <c r="C780" t="s">
        <v>35</v>
      </c>
      <c r="D780" t="s">
        <v>31</v>
      </c>
      <c r="E780" t="s">
        <v>11</v>
      </c>
      <c r="F780" s="4">
        <v>8291.3700000000008</v>
      </c>
      <c r="G780" s="5">
        <v>3</v>
      </c>
      <c r="H780" t="s">
        <v>15</v>
      </c>
      <c r="I780" t="str">
        <f t="shared" si="48"/>
        <v>2023-05</v>
      </c>
      <c r="J780" s="4">
        <f t="shared" si="49"/>
        <v>2763.7900000000004</v>
      </c>
      <c r="K780" t="str" cm="1">
        <f t="array" ref="K780">_xlfn.IFS(G780&lt;=5, "Small", G780&lt;=15, "Medium", G780&gt;15, "Large")</f>
        <v>Small</v>
      </c>
      <c r="L780" t="str">
        <f t="shared" si="50"/>
        <v>Standard</v>
      </c>
      <c r="M780" t="str">
        <f t="shared" si="51"/>
        <v>Weekend</v>
      </c>
    </row>
    <row r="781" spans="1:13" x14ac:dyDescent="0.35">
      <c r="A781" t="s">
        <v>833</v>
      </c>
      <c r="B781" s="1">
        <v>45327</v>
      </c>
      <c r="C781" t="s">
        <v>17</v>
      </c>
      <c r="D781" t="s">
        <v>31</v>
      </c>
      <c r="E781" t="s">
        <v>11</v>
      </c>
      <c r="F781" s="4">
        <v>0</v>
      </c>
      <c r="G781" s="5">
        <v>4</v>
      </c>
      <c r="H781" t="s">
        <v>28</v>
      </c>
      <c r="I781" t="str">
        <f t="shared" si="48"/>
        <v>2024-02</v>
      </c>
      <c r="J781" s="4">
        <f t="shared" si="49"/>
        <v>0</v>
      </c>
      <c r="K781" t="str" cm="1">
        <f t="array" ref="K781">_xlfn.IFS(G781&lt;=5, "Small", G781&lt;=15, "Medium", G781&gt;15, "Large")</f>
        <v>Small</v>
      </c>
      <c r="L781" t="str">
        <f t="shared" si="50"/>
        <v>Standard</v>
      </c>
      <c r="M781" t="str">
        <f t="shared" si="51"/>
        <v>Weekday</v>
      </c>
    </row>
    <row r="782" spans="1:13" x14ac:dyDescent="0.35">
      <c r="A782" t="s">
        <v>834</v>
      </c>
      <c r="B782" s="1">
        <v>45558</v>
      </c>
      <c r="C782" t="s">
        <v>60</v>
      </c>
      <c r="D782" t="s">
        <v>21</v>
      </c>
      <c r="E782" t="s">
        <v>27</v>
      </c>
      <c r="F782" s="4">
        <v>14265.88</v>
      </c>
      <c r="G782" s="5">
        <v>4</v>
      </c>
      <c r="H782" t="s">
        <v>15</v>
      </c>
      <c r="I782" t="str">
        <f t="shared" si="48"/>
        <v>2024-09</v>
      </c>
      <c r="J782" s="4">
        <f t="shared" si="49"/>
        <v>3566.47</v>
      </c>
      <c r="K782" t="str" cm="1">
        <f t="array" ref="K782">_xlfn.IFS(G782&lt;=5, "Small", G782&lt;=15, "Medium", G782&gt;15, "Large")</f>
        <v>Small</v>
      </c>
      <c r="L782" t="str">
        <f t="shared" si="50"/>
        <v>Standard</v>
      </c>
      <c r="M782" t="str">
        <f t="shared" si="51"/>
        <v>Weekday</v>
      </c>
    </row>
    <row r="783" spans="1:13" x14ac:dyDescent="0.35">
      <c r="A783" t="s">
        <v>835</v>
      </c>
      <c r="B783" s="1">
        <v>45242</v>
      </c>
      <c r="C783" t="s">
        <v>241</v>
      </c>
      <c r="D783" t="s">
        <v>31</v>
      </c>
      <c r="E783" t="s">
        <v>18</v>
      </c>
      <c r="F783" s="4">
        <v>3049.49</v>
      </c>
      <c r="G783" s="5">
        <v>4</v>
      </c>
      <c r="H783" t="s">
        <v>15</v>
      </c>
      <c r="I783" t="str">
        <f t="shared" si="48"/>
        <v>2023-11</v>
      </c>
      <c r="J783" s="4">
        <f t="shared" si="49"/>
        <v>762.37249999999995</v>
      </c>
      <c r="K783" t="str" cm="1">
        <f t="array" ref="K783">_xlfn.IFS(G783&lt;=5, "Small", G783&lt;=15, "Medium", G783&gt;15, "Large")</f>
        <v>Small</v>
      </c>
      <c r="L783" t="str">
        <f t="shared" si="50"/>
        <v>Standard</v>
      </c>
      <c r="M783" t="str">
        <f t="shared" si="51"/>
        <v>Weekend</v>
      </c>
    </row>
    <row r="784" spans="1:13" x14ac:dyDescent="0.35">
      <c r="A784" t="s">
        <v>836</v>
      </c>
      <c r="B784" s="1">
        <v>45036</v>
      </c>
      <c r="C784" t="s">
        <v>40</v>
      </c>
      <c r="D784" t="s">
        <v>26</v>
      </c>
      <c r="E784" t="s">
        <v>18</v>
      </c>
      <c r="F784" s="4">
        <v>1836.95</v>
      </c>
      <c r="G784" s="5">
        <v>2</v>
      </c>
      <c r="H784" t="s">
        <v>15</v>
      </c>
      <c r="I784" t="str">
        <f t="shared" si="48"/>
        <v>2023-04</v>
      </c>
      <c r="J784" s="4">
        <f t="shared" si="49"/>
        <v>918.47500000000002</v>
      </c>
      <c r="K784" t="str" cm="1">
        <f t="array" ref="K784">_xlfn.IFS(G784&lt;=5, "Small", G784&lt;=15, "Medium", G784&gt;15, "Large")</f>
        <v>Small</v>
      </c>
      <c r="L784" t="str">
        <f t="shared" si="50"/>
        <v>Standard</v>
      </c>
      <c r="M784" t="str">
        <f t="shared" si="51"/>
        <v>Weekday</v>
      </c>
    </row>
    <row r="785" spans="1:13" x14ac:dyDescent="0.35">
      <c r="A785" t="s">
        <v>837</v>
      </c>
      <c r="B785" s="1">
        <v>45382</v>
      </c>
      <c r="C785" t="s">
        <v>84</v>
      </c>
      <c r="D785" t="s">
        <v>21</v>
      </c>
      <c r="E785" t="s">
        <v>27</v>
      </c>
      <c r="F785" s="4">
        <v>6194.68</v>
      </c>
      <c r="G785" s="5">
        <v>5</v>
      </c>
      <c r="H785" t="s">
        <v>15</v>
      </c>
      <c r="I785" t="str">
        <f t="shared" si="48"/>
        <v>2024-03</v>
      </c>
      <c r="J785" s="4">
        <f t="shared" si="49"/>
        <v>1238.9360000000001</v>
      </c>
      <c r="K785" t="str" cm="1">
        <f t="array" ref="K785">_xlfn.IFS(G785&lt;=5, "Small", G785&lt;=15, "Medium", G785&gt;15, "Large")</f>
        <v>Small</v>
      </c>
      <c r="L785" t="str">
        <f t="shared" si="50"/>
        <v>Standard</v>
      </c>
      <c r="M785" t="str">
        <f t="shared" si="51"/>
        <v>Weekend</v>
      </c>
    </row>
    <row r="786" spans="1:13" x14ac:dyDescent="0.35">
      <c r="A786" t="s">
        <v>838</v>
      </c>
      <c r="B786" s="1">
        <v>45203</v>
      </c>
      <c r="C786" t="s">
        <v>55</v>
      </c>
      <c r="D786" t="s">
        <v>10</v>
      </c>
      <c r="E786" t="s">
        <v>11</v>
      </c>
      <c r="F786" s="4">
        <v>11881.88</v>
      </c>
      <c r="G786" s="5">
        <v>7</v>
      </c>
      <c r="H786" t="s">
        <v>15</v>
      </c>
      <c r="I786" t="str">
        <f t="shared" si="48"/>
        <v>2023-10</v>
      </c>
      <c r="J786" s="4">
        <f t="shared" si="49"/>
        <v>1697.4114285714284</v>
      </c>
      <c r="K786" t="str" cm="1">
        <f t="array" ref="K786">_xlfn.IFS(G786&lt;=5, "Small", G786&lt;=15, "Medium", G786&gt;15, "Large")</f>
        <v>Medium</v>
      </c>
      <c r="L786" t="str">
        <f t="shared" si="50"/>
        <v>Standard</v>
      </c>
      <c r="M786" t="str">
        <f t="shared" si="51"/>
        <v>Weekday</v>
      </c>
    </row>
    <row r="787" spans="1:13" x14ac:dyDescent="0.35">
      <c r="A787" t="s">
        <v>839</v>
      </c>
      <c r="B787" s="1">
        <v>45602</v>
      </c>
      <c r="C787" t="s">
        <v>126</v>
      </c>
      <c r="D787" t="s">
        <v>21</v>
      </c>
      <c r="E787" t="s">
        <v>18</v>
      </c>
      <c r="F787" s="4">
        <v>2279.88</v>
      </c>
      <c r="G787" s="5">
        <v>10</v>
      </c>
      <c r="H787" t="s">
        <v>15</v>
      </c>
      <c r="I787" t="str">
        <f t="shared" si="48"/>
        <v>2024-11</v>
      </c>
      <c r="J787" s="4">
        <f t="shared" si="49"/>
        <v>227.988</v>
      </c>
      <c r="K787" t="str" cm="1">
        <f t="array" ref="K787">_xlfn.IFS(G787&lt;=5, "Small", G787&lt;=15, "Medium", G787&gt;15, "Large")</f>
        <v>Medium</v>
      </c>
      <c r="L787" t="str">
        <f t="shared" si="50"/>
        <v>Standard</v>
      </c>
      <c r="M787" t="str">
        <f t="shared" si="51"/>
        <v>Weekday</v>
      </c>
    </row>
    <row r="788" spans="1:13" x14ac:dyDescent="0.35">
      <c r="A788" t="s">
        <v>840</v>
      </c>
      <c r="B788" s="1">
        <v>45577</v>
      </c>
      <c r="C788" t="s">
        <v>74</v>
      </c>
      <c r="D788" t="s">
        <v>31</v>
      </c>
      <c r="E788" t="s">
        <v>27</v>
      </c>
      <c r="F788" s="4">
        <v>0</v>
      </c>
      <c r="G788" s="5">
        <v>3</v>
      </c>
      <c r="H788" t="s">
        <v>28</v>
      </c>
      <c r="I788" t="str">
        <f t="shared" si="48"/>
        <v>2024-10</v>
      </c>
      <c r="J788" s="4">
        <f t="shared" si="49"/>
        <v>0</v>
      </c>
      <c r="K788" t="str" cm="1">
        <f t="array" ref="K788">_xlfn.IFS(G788&lt;=5, "Small", G788&lt;=15, "Medium", G788&gt;15, "Large")</f>
        <v>Small</v>
      </c>
      <c r="L788" t="str">
        <f t="shared" si="50"/>
        <v>Standard</v>
      </c>
      <c r="M788" t="str">
        <f t="shared" si="51"/>
        <v>Weekend</v>
      </c>
    </row>
    <row r="789" spans="1:13" x14ac:dyDescent="0.35">
      <c r="A789" t="s">
        <v>841</v>
      </c>
      <c r="B789" s="1">
        <v>45220</v>
      </c>
      <c r="C789" t="s">
        <v>74</v>
      </c>
      <c r="D789" t="s">
        <v>31</v>
      </c>
      <c r="E789" t="s">
        <v>18</v>
      </c>
      <c r="F789" s="4">
        <v>864.65</v>
      </c>
      <c r="G789" s="5">
        <v>8</v>
      </c>
      <c r="H789" t="s">
        <v>15</v>
      </c>
      <c r="I789" t="str">
        <f t="shared" si="48"/>
        <v>2023-10</v>
      </c>
      <c r="J789" s="4">
        <f t="shared" si="49"/>
        <v>108.08125</v>
      </c>
      <c r="K789" t="str" cm="1">
        <f t="array" ref="K789">_xlfn.IFS(G789&lt;=5, "Small", G789&lt;=15, "Medium", G789&gt;15, "Large")</f>
        <v>Medium</v>
      </c>
      <c r="L789" t="str">
        <f t="shared" si="50"/>
        <v>Standard</v>
      </c>
      <c r="M789" t="str">
        <f t="shared" si="51"/>
        <v>Weekend</v>
      </c>
    </row>
    <row r="790" spans="1:13" x14ac:dyDescent="0.35">
      <c r="A790" t="s">
        <v>842</v>
      </c>
      <c r="B790" s="1">
        <v>45646</v>
      </c>
      <c r="C790" t="s">
        <v>64</v>
      </c>
      <c r="D790" t="s">
        <v>10</v>
      </c>
      <c r="E790" t="s">
        <v>11</v>
      </c>
      <c r="F790" s="4">
        <v>4380.5200000000004</v>
      </c>
      <c r="G790" s="5">
        <v>4</v>
      </c>
      <c r="H790" t="s">
        <v>15</v>
      </c>
      <c r="I790" t="str">
        <f t="shared" si="48"/>
        <v>2024-12</v>
      </c>
      <c r="J790" s="4">
        <f t="shared" si="49"/>
        <v>1095.1300000000001</v>
      </c>
      <c r="K790" t="str" cm="1">
        <f t="array" ref="K790">_xlfn.IFS(G790&lt;=5, "Small", G790&lt;=15, "Medium", G790&gt;15, "Large")</f>
        <v>Small</v>
      </c>
      <c r="L790" t="str">
        <f t="shared" si="50"/>
        <v>Standard</v>
      </c>
      <c r="M790" t="str">
        <f t="shared" si="51"/>
        <v>Weekday</v>
      </c>
    </row>
    <row r="791" spans="1:13" x14ac:dyDescent="0.35">
      <c r="A791" t="s">
        <v>843</v>
      </c>
      <c r="B791" s="1">
        <v>45169</v>
      </c>
      <c r="C791" t="s">
        <v>23</v>
      </c>
      <c r="D791" t="s">
        <v>21</v>
      </c>
      <c r="E791" t="s">
        <v>18</v>
      </c>
      <c r="F791" s="4">
        <v>1070.76</v>
      </c>
      <c r="G791" s="5">
        <v>23</v>
      </c>
      <c r="H791" t="s">
        <v>15</v>
      </c>
      <c r="I791" t="str">
        <f t="shared" si="48"/>
        <v>2023-08</v>
      </c>
      <c r="J791" s="4">
        <f t="shared" si="49"/>
        <v>46.554782608695653</v>
      </c>
      <c r="K791" t="str" cm="1">
        <f t="array" ref="K791">_xlfn.IFS(G791&lt;=5, "Small", G791&lt;=15, "Medium", G791&gt;15, "Large")</f>
        <v>Large</v>
      </c>
      <c r="L791" t="str">
        <f t="shared" si="50"/>
        <v>Standard</v>
      </c>
      <c r="M791" t="str">
        <f t="shared" si="51"/>
        <v>Weekday</v>
      </c>
    </row>
    <row r="792" spans="1:13" x14ac:dyDescent="0.35">
      <c r="A792" t="s">
        <v>844</v>
      </c>
      <c r="B792" s="1">
        <v>45151</v>
      </c>
      <c r="C792" t="s">
        <v>60</v>
      </c>
      <c r="D792" t="s">
        <v>21</v>
      </c>
      <c r="E792" t="s">
        <v>27</v>
      </c>
      <c r="F792" s="4">
        <v>18298.78</v>
      </c>
      <c r="G792" s="5">
        <v>3</v>
      </c>
      <c r="H792" t="s">
        <v>15</v>
      </c>
      <c r="I792" t="str">
        <f t="shared" si="48"/>
        <v>2023-08</v>
      </c>
      <c r="J792" s="4">
        <f t="shared" si="49"/>
        <v>6099.5933333333332</v>
      </c>
      <c r="K792" t="str" cm="1">
        <f t="array" ref="K792">_xlfn.IFS(G792&lt;=5, "Small", G792&lt;=15, "Medium", G792&gt;15, "Large")</f>
        <v>Small</v>
      </c>
      <c r="L792" t="str">
        <f t="shared" si="50"/>
        <v>Standard</v>
      </c>
      <c r="M792" t="str">
        <f t="shared" si="51"/>
        <v>Weekend</v>
      </c>
    </row>
    <row r="793" spans="1:13" x14ac:dyDescent="0.35">
      <c r="A793" t="s">
        <v>845</v>
      </c>
      <c r="B793" s="1">
        <v>45238</v>
      </c>
      <c r="C793" t="s">
        <v>64</v>
      </c>
      <c r="D793" t="s">
        <v>10</v>
      </c>
      <c r="E793" t="s">
        <v>18</v>
      </c>
      <c r="F793" s="4">
        <v>524.59</v>
      </c>
      <c r="G793" s="5">
        <v>23</v>
      </c>
      <c r="H793" t="s">
        <v>15</v>
      </c>
      <c r="I793" t="str">
        <f t="shared" si="48"/>
        <v>2023-11</v>
      </c>
      <c r="J793" s="4">
        <f t="shared" si="49"/>
        <v>22.80826086956522</v>
      </c>
      <c r="K793" t="str" cm="1">
        <f t="array" ref="K793">_xlfn.IFS(G793&lt;=5, "Small", G793&lt;=15, "Medium", G793&gt;15, "Large")</f>
        <v>Large</v>
      </c>
      <c r="L793" t="str">
        <f t="shared" si="50"/>
        <v>Standard</v>
      </c>
      <c r="M793" t="str">
        <f t="shared" si="51"/>
        <v>Weekday</v>
      </c>
    </row>
    <row r="794" spans="1:13" x14ac:dyDescent="0.35">
      <c r="A794" t="s">
        <v>846</v>
      </c>
      <c r="B794" s="1">
        <v>45017</v>
      </c>
      <c r="C794" t="s">
        <v>37</v>
      </c>
      <c r="D794" t="s">
        <v>21</v>
      </c>
      <c r="E794" t="s">
        <v>11</v>
      </c>
      <c r="F794" s="4">
        <v>0</v>
      </c>
      <c r="G794" s="5">
        <v>1</v>
      </c>
      <c r="H794" t="s">
        <v>28</v>
      </c>
      <c r="I794" t="str">
        <f t="shared" si="48"/>
        <v>2023-04</v>
      </c>
      <c r="J794" s="4">
        <f t="shared" si="49"/>
        <v>0</v>
      </c>
      <c r="K794" t="str" cm="1">
        <f t="array" ref="K794">_xlfn.IFS(G794&lt;=5, "Small", G794&lt;=15, "Medium", G794&gt;15, "Large")</f>
        <v>Small</v>
      </c>
      <c r="L794" t="str">
        <f t="shared" si="50"/>
        <v>Standard</v>
      </c>
      <c r="M794" t="str">
        <f t="shared" si="51"/>
        <v>Weekend</v>
      </c>
    </row>
    <row r="795" spans="1:13" x14ac:dyDescent="0.35">
      <c r="A795" t="s">
        <v>847</v>
      </c>
      <c r="B795" s="1">
        <v>45288</v>
      </c>
      <c r="C795" t="s">
        <v>177</v>
      </c>
      <c r="D795" t="s">
        <v>26</v>
      </c>
      <c r="E795" t="s">
        <v>27</v>
      </c>
      <c r="F795" s="4">
        <v>30165.21</v>
      </c>
      <c r="G795" s="5">
        <v>1</v>
      </c>
      <c r="H795" t="s">
        <v>15</v>
      </c>
      <c r="I795" t="str">
        <f t="shared" si="48"/>
        <v>2023-12</v>
      </c>
      <c r="J795" s="4">
        <f t="shared" si="49"/>
        <v>30165.21</v>
      </c>
      <c r="K795" t="str" cm="1">
        <f t="array" ref="K795">_xlfn.IFS(G795&lt;=5, "Small", G795&lt;=15, "Medium", G795&gt;15, "Large")</f>
        <v>Small</v>
      </c>
      <c r="L795" t="str">
        <f t="shared" si="50"/>
        <v>VIP</v>
      </c>
      <c r="M795" t="str">
        <f t="shared" si="51"/>
        <v>Weekday</v>
      </c>
    </row>
    <row r="796" spans="1:13" x14ac:dyDescent="0.35">
      <c r="A796" t="s">
        <v>848</v>
      </c>
      <c r="B796" s="1">
        <v>45333</v>
      </c>
      <c r="C796" t="s">
        <v>42</v>
      </c>
      <c r="D796" t="s">
        <v>10</v>
      </c>
      <c r="E796" t="s">
        <v>27</v>
      </c>
      <c r="F796" s="4">
        <v>5393.64</v>
      </c>
      <c r="G796" s="5">
        <v>5</v>
      </c>
      <c r="H796" t="s">
        <v>15</v>
      </c>
      <c r="I796" t="str">
        <f t="shared" si="48"/>
        <v>2024-02</v>
      </c>
      <c r="J796" s="4">
        <f t="shared" si="49"/>
        <v>1078.7280000000001</v>
      </c>
      <c r="K796" t="str" cm="1">
        <f t="array" ref="K796">_xlfn.IFS(G796&lt;=5, "Small", G796&lt;=15, "Medium", G796&gt;15, "Large")</f>
        <v>Small</v>
      </c>
      <c r="L796" t="str">
        <f t="shared" si="50"/>
        <v>Standard</v>
      </c>
      <c r="M796" t="str">
        <f t="shared" si="51"/>
        <v>Weekend</v>
      </c>
    </row>
    <row r="797" spans="1:13" x14ac:dyDescent="0.35">
      <c r="A797" t="s">
        <v>849</v>
      </c>
      <c r="B797" s="1">
        <v>45408</v>
      </c>
      <c r="C797" t="s">
        <v>111</v>
      </c>
      <c r="D797" t="s">
        <v>31</v>
      </c>
      <c r="E797" t="s">
        <v>11</v>
      </c>
      <c r="F797" s="4">
        <v>6488.95</v>
      </c>
      <c r="G797" s="5">
        <v>4</v>
      </c>
      <c r="H797" t="s">
        <v>15</v>
      </c>
      <c r="I797" t="str">
        <f t="shared" si="48"/>
        <v>2024-04</v>
      </c>
      <c r="J797" s="4">
        <f t="shared" si="49"/>
        <v>1622.2375</v>
      </c>
      <c r="K797" t="str" cm="1">
        <f t="array" ref="K797">_xlfn.IFS(G797&lt;=5, "Small", G797&lt;=15, "Medium", G797&gt;15, "Large")</f>
        <v>Small</v>
      </c>
      <c r="L797" t="str">
        <f t="shared" si="50"/>
        <v>Standard</v>
      </c>
      <c r="M797" t="str">
        <f t="shared" si="51"/>
        <v>Weekday</v>
      </c>
    </row>
    <row r="798" spans="1:13" x14ac:dyDescent="0.35">
      <c r="A798" t="s">
        <v>850</v>
      </c>
      <c r="B798" s="1">
        <v>45184</v>
      </c>
      <c r="C798" t="s">
        <v>162</v>
      </c>
      <c r="D798" t="s">
        <v>10</v>
      </c>
      <c r="E798" t="s">
        <v>11</v>
      </c>
      <c r="F798" s="4">
        <v>7515.1</v>
      </c>
      <c r="G798" s="5">
        <v>8</v>
      </c>
      <c r="H798" t="s">
        <v>15</v>
      </c>
      <c r="I798" t="str">
        <f t="shared" si="48"/>
        <v>2023-09</v>
      </c>
      <c r="J798" s="4">
        <f t="shared" si="49"/>
        <v>939.38750000000005</v>
      </c>
      <c r="K798" t="str" cm="1">
        <f t="array" ref="K798">_xlfn.IFS(G798&lt;=5, "Small", G798&lt;=15, "Medium", G798&gt;15, "Large")</f>
        <v>Medium</v>
      </c>
      <c r="L798" t="str">
        <f t="shared" si="50"/>
        <v>Standard</v>
      </c>
      <c r="M798" t="str">
        <f t="shared" si="51"/>
        <v>Weekday</v>
      </c>
    </row>
    <row r="799" spans="1:13" x14ac:dyDescent="0.35">
      <c r="A799" t="s">
        <v>851</v>
      </c>
      <c r="B799" s="1">
        <v>45569</v>
      </c>
      <c r="C799" t="s">
        <v>48</v>
      </c>
      <c r="D799" t="s">
        <v>31</v>
      </c>
      <c r="E799" t="s">
        <v>27</v>
      </c>
      <c r="F799" s="4">
        <v>0</v>
      </c>
      <c r="G799" s="5">
        <v>3</v>
      </c>
      <c r="H799" t="s">
        <v>28</v>
      </c>
      <c r="I799" t="str">
        <f t="shared" si="48"/>
        <v>2024-10</v>
      </c>
      <c r="J799" s="4">
        <f t="shared" si="49"/>
        <v>0</v>
      </c>
      <c r="K799" t="str" cm="1">
        <f t="array" ref="K799">_xlfn.IFS(G799&lt;=5, "Small", G799&lt;=15, "Medium", G799&gt;15, "Large")</f>
        <v>Small</v>
      </c>
      <c r="L799" t="str">
        <f t="shared" si="50"/>
        <v>Standard</v>
      </c>
      <c r="M799" t="str">
        <f t="shared" si="51"/>
        <v>Weekday</v>
      </c>
    </row>
    <row r="800" spans="1:13" x14ac:dyDescent="0.35">
      <c r="A800" t="s">
        <v>852</v>
      </c>
      <c r="B800" s="1">
        <v>45224</v>
      </c>
      <c r="C800" t="s">
        <v>64</v>
      </c>
      <c r="D800" t="s">
        <v>10</v>
      </c>
      <c r="E800" t="s">
        <v>11</v>
      </c>
      <c r="F800" s="4">
        <v>0</v>
      </c>
      <c r="G800" s="5">
        <v>3</v>
      </c>
      <c r="H800" t="s">
        <v>28</v>
      </c>
      <c r="I800" t="str">
        <f t="shared" si="48"/>
        <v>2023-10</v>
      </c>
      <c r="J800" s="4">
        <f t="shared" si="49"/>
        <v>0</v>
      </c>
      <c r="K800" t="str" cm="1">
        <f t="array" ref="K800">_xlfn.IFS(G800&lt;=5, "Small", G800&lt;=15, "Medium", G800&gt;15, "Large")</f>
        <v>Small</v>
      </c>
      <c r="L800" t="str">
        <f t="shared" si="50"/>
        <v>Standard</v>
      </c>
      <c r="M800" t="str">
        <f t="shared" si="51"/>
        <v>Weekday</v>
      </c>
    </row>
    <row r="801" spans="1:13" x14ac:dyDescent="0.35">
      <c r="A801" t="s">
        <v>853</v>
      </c>
      <c r="B801" s="1">
        <v>44936</v>
      </c>
      <c r="C801" t="s">
        <v>45</v>
      </c>
      <c r="D801" t="s">
        <v>21</v>
      </c>
      <c r="E801" t="s">
        <v>18</v>
      </c>
      <c r="F801" s="4">
        <v>485.97</v>
      </c>
      <c r="G801" s="5">
        <v>13</v>
      </c>
      <c r="H801" t="s">
        <v>15</v>
      </c>
      <c r="I801" t="str">
        <f t="shared" si="48"/>
        <v>2023-01</v>
      </c>
      <c r="J801" s="4">
        <f t="shared" si="49"/>
        <v>37.382307692307691</v>
      </c>
      <c r="K801" t="str" cm="1">
        <f t="array" ref="K801">_xlfn.IFS(G801&lt;=5, "Small", G801&lt;=15, "Medium", G801&gt;15, "Large")</f>
        <v>Medium</v>
      </c>
      <c r="L801" t="str">
        <f t="shared" si="50"/>
        <v>Standard</v>
      </c>
      <c r="M801" t="str">
        <f t="shared" si="51"/>
        <v>Weekday</v>
      </c>
    </row>
    <row r="802" spans="1:13" x14ac:dyDescent="0.35">
      <c r="A802" t="s">
        <v>854</v>
      </c>
      <c r="B802" s="1">
        <v>45494</v>
      </c>
      <c r="C802" t="s">
        <v>111</v>
      </c>
      <c r="D802" t="s">
        <v>31</v>
      </c>
      <c r="E802" t="s">
        <v>27</v>
      </c>
      <c r="F802" s="4">
        <v>3937.89</v>
      </c>
      <c r="G802" s="5">
        <v>1</v>
      </c>
      <c r="H802" t="s">
        <v>15</v>
      </c>
      <c r="I802" t="str">
        <f t="shared" si="48"/>
        <v>2024-07</v>
      </c>
      <c r="J802" s="4">
        <f t="shared" si="49"/>
        <v>3937.89</v>
      </c>
      <c r="K802" t="str" cm="1">
        <f t="array" ref="K802">_xlfn.IFS(G802&lt;=5, "Small", G802&lt;=15, "Medium", G802&gt;15, "Large")</f>
        <v>Small</v>
      </c>
      <c r="L802" t="str">
        <f t="shared" si="50"/>
        <v>Standard</v>
      </c>
      <c r="M802" t="str">
        <f t="shared" si="51"/>
        <v>Weekend</v>
      </c>
    </row>
    <row r="803" spans="1:13" x14ac:dyDescent="0.35">
      <c r="A803" t="s">
        <v>855</v>
      </c>
      <c r="B803" s="1">
        <v>45229</v>
      </c>
      <c r="C803" t="s">
        <v>72</v>
      </c>
      <c r="D803" t="s">
        <v>26</v>
      </c>
      <c r="E803" t="s">
        <v>27</v>
      </c>
      <c r="F803" s="4">
        <v>22674.04</v>
      </c>
      <c r="G803" s="5">
        <v>1</v>
      </c>
      <c r="H803" t="s">
        <v>15</v>
      </c>
      <c r="I803" t="str">
        <f t="shared" si="48"/>
        <v>2023-10</v>
      </c>
      <c r="J803" s="4">
        <f t="shared" si="49"/>
        <v>22674.04</v>
      </c>
      <c r="K803" t="str" cm="1">
        <f t="array" ref="K803">_xlfn.IFS(G803&lt;=5, "Small", G803&lt;=15, "Medium", G803&gt;15, "Large")</f>
        <v>Small</v>
      </c>
      <c r="L803" t="str">
        <f t="shared" si="50"/>
        <v>Standard</v>
      </c>
      <c r="M803" t="str">
        <f t="shared" si="51"/>
        <v>Weekday</v>
      </c>
    </row>
    <row r="804" spans="1:13" x14ac:dyDescent="0.35">
      <c r="A804" t="s">
        <v>856</v>
      </c>
      <c r="B804" s="1">
        <v>45555</v>
      </c>
      <c r="C804" t="s">
        <v>69</v>
      </c>
      <c r="D804" t="s">
        <v>31</v>
      </c>
      <c r="E804" t="s">
        <v>18</v>
      </c>
      <c r="F804" s="4">
        <v>2859.87</v>
      </c>
      <c r="G804" s="5">
        <v>13</v>
      </c>
      <c r="H804" t="s">
        <v>15</v>
      </c>
      <c r="I804" t="str">
        <f t="shared" si="48"/>
        <v>2024-09</v>
      </c>
      <c r="J804" s="4">
        <f t="shared" si="49"/>
        <v>219.98999999999998</v>
      </c>
      <c r="K804" t="str" cm="1">
        <f t="array" ref="K804">_xlfn.IFS(G804&lt;=5, "Small", G804&lt;=15, "Medium", G804&gt;15, "Large")</f>
        <v>Medium</v>
      </c>
      <c r="L804" t="str">
        <f t="shared" si="50"/>
        <v>Standard</v>
      </c>
      <c r="M804" t="str">
        <f t="shared" si="51"/>
        <v>Weekday</v>
      </c>
    </row>
    <row r="805" spans="1:13" x14ac:dyDescent="0.35">
      <c r="A805" t="s">
        <v>857</v>
      </c>
      <c r="B805" s="1">
        <v>45458</v>
      </c>
      <c r="C805" t="s">
        <v>64</v>
      </c>
      <c r="D805" t="s">
        <v>10</v>
      </c>
      <c r="E805" t="s">
        <v>18</v>
      </c>
      <c r="F805" s="4">
        <v>1339.88</v>
      </c>
      <c r="G805" s="5">
        <v>23</v>
      </c>
      <c r="H805" t="s">
        <v>15</v>
      </c>
      <c r="I805" t="str">
        <f t="shared" si="48"/>
        <v>2024-06</v>
      </c>
      <c r="J805" s="4">
        <f t="shared" si="49"/>
        <v>58.255652173913049</v>
      </c>
      <c r="K805" t="str" cm="1">
        <f t="array" ref="K805">_xlfn.IFS(G805&lt;=5, "Small", G805&lt;=15, "Medium", G805&gt;15, "Large")</f>
        <v>Large</v>
      </c>
      <c r="L805" t="str">
        <f t="shared" si="50"/>
        <v>Standard</v>
      </c>
      <c r="M805" t="str">
        <f t="shared" si="51"/>
        <v>Weekend</v>
      </c>
    </row>
    <row r="806" spans="1:13" x14ac:dyDescent="0.35">
      <c r="A806" t="s">
        <v>858</v>
      </c>
      <c r="B806" s="1">
        <v>45245</v>
      </c>
      <c r="C806" t="s">
        <v>78</v>
      </c>
      <c r="D806" t="s">
        <v>31</v>
      </c>
      <c r="E806" t="s">
        <v>18</v>
      </c>
      <c r="F806" s="4">
        <v>3057.97</v>
      </c>
      <c r="G806" s="5">
        <v>11</v>
      </c>
      <c r="H806" t="s">
        <v>15</v>
      </c>
      <c r="I806" t="str">
        <f t="shared" si="48"/>
        <v>2023-11</v>
      </c>
      <c r="J806" s="4">
        <f t="shared" si="49"/>
        <v>277.99727272727273</v>
      </c>
      <c r="K806" t="str" cm="1">
        <f t="array" ref="K806">_xlfn.IFS(G806&lt;=5, "Small", G806&lt;=15, "Medium", G806&gt;15, "Large")</f>
        <v>Medium</v>
      </c>
      <c r="L806" t="str">
        <f t="shared" si="50"/>
        <v>Standard</v>
      </c>
      <c r="M806" t="str">
        <f t="shared" si="51"/>
        <v>Weekday</v>
      </c>
    </row>
    <row r="807" spans="1:13" x14ac:dyDescent="0.35">
      <c r="A807" t="s">
        <v>859</v>
      </c>
      <c r="B807" s="1">
        <v>45096</v>
      </c>
      <c r="C807" t="s">
        <v>64</v>
      </c>
      <c r="D807" t="s">
        <v>10</v>
      </c>
      <c r="E807" t="s">
        <v>18</v>
      </c>
      <c r="F807" s="4">
        <v>1892.73</v>
      </c>
      <c r="G807" s="5">
        <v>30</v>
      </c>
      <c r="H807" t="s">
        <v>15</v>
      </c>
      <c r="I807" t="str">
        <f t="shared" si="48"/>
        <v>2023-06</v>
      </c>
      <c r="J807" s="4">
        <f t="shared" si="49"/>
        <v>63.091000000000001</v>
      </c>
      <c r="K807" t="str" cm="1">
        <f t="array" ref="K807">_xlfn.IFS(G807&lt;=5, "Small", G807&lt;=15, "Medium", G807&gt;15, "Large")</f>
        <v>Large</v>
      </c>
      <c r="L807" t="str">
        <f t="shared" si="50"/>
        <v>Standard</v>
      </c>
      <c r="M807" t="str">
        <f t="shared" si="51"/>
        <v>Weekday</v>
      </c>
    </row>
    <row r="808" spans="1:13" x14ac:dyDescent="0.35">
      <c r="A808" t="s">
        <v>860</v>
      </c>
      <c r="B808" s="1">
        <v>45641</v>
      </c>
      <c r="C808" t="s">
        <v>91</v>
      </c>
      <c r="D808" t="s">
        <v>26</v>
      </c>
      <c r="E808" t="s">
        <v>18</v>
      </c>
      <c r="F808" s="4">
        <v>0</v>
      </c>
      <c r="G808" s="5">
        <v>27</v>
      </c>
      <c r="H808" t="s">
        <v>12</v>
      </c>
      <c r="I808" t="str">
        <f t="shared" si="48"/>
        <v>2024-12</v>
      </c>
      <c r="J808" s="4">
        <f t="shared" si="49"/>
        <v>0</v>
      </c>
      <c r="K808" t="str" cm="1">
        <f t="array" ref="K808">_xlfn.IFS(G808&lt;=5, "Small", G808&lt;=15, "Medium", G808&gt;15, "Large")</f>
        <v>Large</v>
      </c>
      <c r="L808" t="str">
        <f t="shared" si="50"/>
        <v>Standard</v>
      </c>
      <c r="M808" t="str">
        <f t="shared" si="51"/>
        <v>Weekend</v>
      </c>
    </row>
    <row r="809" spans="1:13" x14ac:dyDescent="0.35">
      <c r="A809" t="s">
        <v>861</v>
      </c>
      <c r="B809" s="1">
        <v>45138</v>
      </c>
      <c r="C809" t="s">
        <v>126</v>
      </c>
      <c r="D809" t="s">
        <v>21</v>
      </c>
      <c r="E809" t="s">
        <v>18</v>
      </c>
      <c r="F809" s="4">
        <v>2810.36</v>
      </c>
      <c r="G809" s="5">
        <v>28</v>
      </c>
      <c r="H809" t="s">
        <v>15</v>
      </c>
      <c r="I809" t="str">
        <f t="shared" si="48"/>
        <v>2023-07</v>
      </c>
      <c r="J809" s="4">
        <f t="shared" si="49"/>
        <v>100.37</v>
      </c>
      <c r="K809" t="str" cm="1">
        <f t="array" ref="K809">_xlfn.IFS(G809&lt;=5, "Small", G809&lt;=15, "Medium", G809&gt;15, "Large")</f>
        <v>Large</v>
      </c>
      <c r="L809" t="str">
        <f t="shared" si="50"/>
        <v>Standard</v>
      </c>
      <c r="M809" t="str">
        <f t="shared" si="51"/>
        <v>Weekday</v>
      </c>
    </row>
    <row r="810" spans="1:13" x14ac:dyDescent="0.35">
      <c r="A810" t="s">
        <v>862</v>
      </c>
      <c r="B810" s="1">
        <v>45481</v>
      </c>
      <c r="C810" t="s">
        <v>78</v>
      </c>
      <c r="D810" t="s">
        <v>31</v>
      </c>
      <c r="E810" t="s">
        <v>11</v>
      </c>
      <c r="F810" s="4">
        <v>0</v>
      </c>
      <c r="G810" s="5">
        <v>4</v>
      </c>
      <c r="H810" t="s">
        <v>12</v>
      </c>
      <c r="I810" t="str">
        <f t="shared" si="48"/>
        <v>2024-07</v>
      </c>
      <c r="J810" s="4">
        <f t="shared" si="49"/>
        <v>0</v>
      </c>
      <c r="K810" t="str" cm="1">
        <f t="array" ref="K810">_xlfn.IFS(G810&lt;=5, "Small", G810&lt;=15, "Medium", G810&gt;15, "Large")</f>
        <v>Small</v>
      </c>
      <c r="L810" t="str">
        <f t="shared" si="50"/>
        <v>Standard</v>
      </c>
      <c r="M810" t="str">
        <f t="shared" si="51"/>
        <v>Weekday</v>
      </c>
    </row>
    <row r="811" spans="1:13" x14ac:dyDescent="0.35">
      <c r="A811" t="s">
        <v>863</v>
      </c>
      <c r="B811" s="1">
        <v>45574</v>
      </c>
      <c r="C811" t="s">
        <v>14</v>
      </c>
      <c r="D811" t="s">
        <v>10</v>
      </c>
      <c r="E811" t="s">
        <v>18</v>
      </c>
      <c r="F811" s="4">
        <v>0</v>
      </c>
      <c r="G811" s="5">
        <v>6</v>
      </c>
      <c r="H811" t="s">
        <v>28</v>
      </c>
      <c r="I811" t="str">
        <f t="shared" si="48"/>
        <v>2024-10</v>
      </c>
      <c r="J811" s="4">
        <f t="shared" si="49"/>
        <v>0</v>
      </c>
      <c r="K811" t="str" cm="1">
        <f t="array" ref="K811">_xlfn.IFS(G811&lt;=5, "Small", G811&lt;=15, "Medium", G811&gt;15, "Large")</f>
        <v>Medium</v>
      </c>
      <c r="L811" t="str">
        <f t="shared" si="50"/>
        <v>Standard</v>
      </c>
      <c r="M811" t="str">
        <f t="shared" si="51"/>
        <v>Weekday</v>
      </c>
    </row>
    <row r="812" spans="1:13" x14ac:dyDescent="0.35">
      <c r="A812" t="s">
        <v>864</v>
      </c>
      <c r="B812" s="1">
        <v>45289</v>
      </c>
      <c r="C812" t="s">
        <v>55</v>
      </c>
      <c r="D812" t="s">
        <v>10</v>
      </c>
      <c r="E812" t="s">
        <v>27</v>
      </c>
      <c r="F812" s="4">
        <v>17288.88</v>
      </c>
      <c r="G812" s="5">
        <v>4</v>
      </c>
      <c r="H812" t="s">
        <v>15</v>
      </c>
      <c r="I812" t="str">
        <f t="shared" si="48"/>
        <v>2023-12</v>
      </c>
      <c r="J812" s="4">
        <f t="shared" si="49"/>
        <v>4322.22</v>
      </c>
      <c r="K812" t="str" cm="1">
        <f t="array" ref="K812">_xlfn.IFS(G812&lt;=5, "Small", G812&lt;=15, "Medium", G812&gt;15, "Large")</f>
        <v>Small</v>
      </c>
      <c r="L812" t="str">
        <f t="shared" si="50"/>
        <v>Standard</v>
      </c>
      <c r="M812" t="str">
        <f t="shared" si="51"/>
        <v>Weekday</v>
      </c>
    </row>
    <row r="813" spans="1:13" x14ac:dyDescent="0.35">
      <c r="A813" t="s">
        <v>865</v>
      </c>
      <c r="B813" s="1">
        <v>45099</v>
      </c>
      <c r="C813" t="s">
        <v>53</v>
      </c>
      <c r="D813" t="s">
        <v>31</v>
      </c>
      <c r="E813" t="s">
        <v>11</v>
      </c>
      <c r="F813" s="4">
        <v>13898.99</v>
      </c>
      <c r="G813" s="5">
        <v>3</v>
      </c>
      <c r="H813" t="s">
        <v>15</v>
      </c>
      <c r="I813" t="str">
        <f t="shared" si="48"/>
        <v>2023-06</v>
      </c>
      <c r="J813" s="4">
        <f t="shared" si="49"/>
        <v>4632.9966666666669</v>
      </c>
      <c r="K813" t="str" cm="1">
        <f t="array" ref="K813">_xlfn.IFS(G813&lt;=5, "Small", G813&lt;=15, "Medium", G813&gt;15, "Large")</f>
        <v>Small</v>
      </c>
      <c r="L813" t="str">
        <f t="shared" si="50"/>
        <v>Standard</v>
      </c>
      <c r="M813" t="str">
        <f t="shared" si="51"/>
        <v>Weekday</v>
      </c>
    </row>
    <row r="814" spans="1:13" x14ac:dyDescent="0.35">
      <c r="A814" t="s">
        <v>866</v>
      </c>
      <c r="B814" s="1">
        <v>45500</v>
      </c>
      <c r="C814" t="s">
        <v>69</v>
      </c>
      <c r="D814" t="s">
        <v>31</v>
      </c>
      <c r="E814" t="s">
        <v>11</v>
      </c>
      <c r="F814" s="4">
        <v>15622.53</v>
      </c>
      <c r="G814" s="5">
        <v>4</v>
      </c>
      <c r="H814" t="s">
        <v>15</v>
      </c>
      <c r="I814" t="str">
        <f t="shared" si="48"/>
        <v>2024-07</v>
      </c>
      <c r="J814" s="4">
        <f t="shared" si="49"/>
        <v>3905.6325000000002</v>
      </c>
      <c r="K814" t="str" cm="1">
        <f t="array" ref="K814">_xlfn.IFS(G814&lt;=5, "Small", G814&lt;=15, "Medium", G814&gt;15, "Large")</f>
        <v>Small</v>
      </c>
      <c r="L814" t="str">
        <f t="shared" si="50"/>
        <v>Standard</v>
      </c>
      <c r="M814" t="str">
        <f t="shared" si="51"/>
        <v>Weekend</v>
      </c>
    </row>
    <row r="815" spans="1:13" x14ac:dyDescent="0.35">
      <c r="A815" t="s">
        <v>867</v>
      </c>
      <c r="B815" s="1">
        <v>45342</v>
      </c>
      <c r="C815" t="s">
        <v>35</v>
      </c>
      <c r="D815" t="s">
        <v>31</v>
      </c>
      <c r="E815" t="s">
        <v>18</v>
      </c>
      <c r="F815" s="4">
        <v>0</v>
      </c>
      <c r="G815" s="5">
        <v>24</v>
      </c>
      <c r="H815" t="s">
        <v>28</v>
      </c>
      <c r="I815" t="str">
        <f t="shared" si="48"/>
        <v>2024-02</v>
      </c>
      <c r="J815" s="4">
        <f t="shared" si="49"/>
        <v>0</v>
      </c>
      <c r="K815" t="str" cm="1">
        <f t="array" ref="K815">_xlfn.IFS(G815&lt;=5, "Small", G815&lt;=15, "Medium", G815&gt;15, "Large")</f>
        <v>Large</v>
      </c>
      <c r="L815" t="str">
        <f t="shared" si="50"/>
        <v>Standard</v>
      </c>
      <c r="M815" t="str">
        <f t="shared" si="51"/>
        <v>Weekday</v>
      </c>
    </row>
    <row r="816" spans="1:13" x14ac:dyDescent="0.35">
      <c r="A816" t="s">
        <v>868</v>
      </c>
      <c r="B816" s="1">
        <v>45615</v>
      </c>
      <c r="C816" t="s">
        <v>126</v>
      </c>
      <c r="D816" t="s">
        <v>21</v>
      </c>
      <c r="E816" t="s">
        <v>18</v>
      </c>
      <c r="F816" s="4">
        <v>3414.37</v>
      </c>
      <c r="G816" s="5">
        <v>6</v>
      </c>
      <c r="H816" t="s">
        <v>15</v>
      </c>
      <c r="I816" t="str">
        <f t="shared" si="48"/>
        <v>2024-11</v>
      </c>
      <c r="J816" s="4">
        <f t="shared" si="49"/>
        <v>569.06166666666661</v>
      </c>
      <c r="K816" t="str" cm="1">
        <f t="array" ref="K816">_xlfn.IFS(G816&lt;=5, "Small", G816&lt;=15, "Medium", G816&gt;15, "Large")</f>
        <v>Medium</v>
      </c>
      <c r="L816" t="str">
        <f t="shared" si="50"/>
        <v>Standard</v>
      </c>
      <c r="M816" t="str">
        <f t="shared" si="51"/>
        <v>Weekday</v>
      </c>
    </row>
    <row r="817" spans="1:13" x14ac:dyDescent="0.35">
      <c r="A817" t="s">
        <v>869</v>
      </c>
      <c r="B817" s="1">
        <v>45648</v>
      </c>
      <c r="C817" t="s">
        <v>14</v>
      </c>
      <c r="D817" t="s">
        <v>10</v>
      </c>
      <c r="E817" t="s">
        <v>18</v>
      </c>
      <c r="F817" s="4">
        <v>2840.12</v>
      </c>
      <c r="G817" s="5">
        <v>3</v>
      </c>
      <c r="H817" t="s">
        <v>15</v>
      </c>
      <c r="I817" t="str">
        <f t="shared" si="48"/>
        <v>2024-12</v>
      </c>
      <c r="J817" s="4">
        <f t="shared" si="49"/>
        <v>946.70666666666659</v>
      </c>
      <c r="K817" t="str" cm="1">
        <f t="array" ref="K817">_xlfn.IFS(G817&lt;=5, "Small", G817&lt;=15, "Medium", G817&gt;15, "Large")</f>
        <v>Small</v>
      </c>
      <c r="L817" t="str">
        <f t="shared" si="50"/>
        <v>Standard</v>
      </c>
      <c r="M817" t="str">
        <f t="shared" si="51"/>
        <v>Weekend</v>
      </c>
    </row>
    <row r="818" spans="1:13" x14ac:dyDescent="0.35">
      <c r="A818" t="s">
        <v>870</v>
      </c>
      <c r="B818" s="1">
        <v>45452</v>
      </c>
      <c r="C818" t="s">
        <v>30</v>
      </c>
      <c r="D818" t="s">
        <v>31</v>
      </c>
      <c r="E818" t="s">
        <v>11</v>
      </c>
      <c r="F818" s="4">
        <v>1972.37</v>
      </c>
      <c r="G818" s="5">
        <v>5</v>
      </c>
      <c r="H818" t="s">
        <v>15</v>
      </c>
      <c r="I818" t="str">
        <f t="shared" si="48"/>
        <v>2024-06</v>
      </c>
      <c r="J818" s="4">
        <f t="shared" si="49"/>
        <v>394.47399999999999</v>
      </c>
      <c r="K818" t="str" cm="1">
        <f t="array" ref="K818">_xlfn.IFS(G818&lt;=5, "Small", G818&lt;=15, "Medium", G818&gt;15, "Large")</f>
        <v>Small</v>
      </c>
      <c r="L818" t="str">
        <f t="shared" si="50"/>
        <v>Standard</v>
      </c>
      <c r="M818" t="str">
        <f t="shared" si="51"/>
        <v>Weekend</v>
      </c>
    </row>
    <row r="819" spans="1:13" x14ac:dyDescent="0.35">
      <c r="A819" t="s">
        <v>871</v>
      </c>
      <c r="B819" s="1">
        <v>45093</v>
      </c>
      <c r="C819" t="s">
        <v>30</v>
      </c>
      <c r="D819" t="s">
        <v>31</v>
      </c>
      <c r="E819" t="s">
        <v>18</v>
      </c>
      <c r="F819" s="4">
        <v>812.84</v>
      </c>
      <c r="G819" s="5">
        <v>7</v>
      </c>
      <c r="H819" t="s">
        <v>15</v>
      </c>
      <c r="I819" t="str">
        <f t="shared" si="48"/>
        <v>2023-06</v>
      </c>
      <c r="J819" s="4">
        <f t="shared" si="49"/>
        <v>116.12</v>
      </c>
      <c r="K819" t="str" cm="1">
        <f t="array" ref="K819">_xlfn.IFS(G819&lt;=5, "Small", G819&lt;=15, "Medium", G819&gt;15, "Large")</f>
        <v>Medium</v>
      </c>
      <c r="L819" t="str">
        <f t="shared" si="50"/>
        <v>Standard</v>
      </c>
      <c r="M819" t="str">
        <f t="shared" si="51"/>
        <v>Weekday</v>
      </c>
    </row>
    <row r="820" spans="1:13" x14ac:dyDescent="0.35">
      <c r="A820" t="s">
        <v>872</v>
      </c>
      <c r="B820" s="1">
        <v>45130</v>
      </c>
      <c r="C820" t="s">
        <v>45</v>
      </c>
      <c r="D820" t="s">
        <v>21</v>
      </c>
      <c r="E820" t="s">
        <v>18</v>
      </c>
      <c r="F820" s="4">
        <v>3245.91</v>
      </c>
      <c r="G820" s="5">
        <v>1</v>
      </c>
      <c r="H820" t="s">
        <v>15</v>
      </c>
      <c r="I820" t="str">
        <f t="shared" si="48"/>
        <v>2023-07</v>
      </c>
      <c r="J820" s="4">
        <f t="shared" si="49"/>
        <v>3245.91</v>
      </c>
      <c r="K820" t="str" cm="1">
        <f t="array" ref="K820">_xlfn.IFS(G820&lt;=5, "Small", G820&lt;=15, "Medium", G820&gt;15, "Large")</f>
        <v>Small</v>
      </c>
      <c r="L820" t="str">
        <f t="shared" si="50"/>
        <v>Standard</v>
      </c>
      <c r="M820" t="str">
        <f t="shared" si="51"/>
        <v>Weekend</v>
      </c>
    </row>
    <row r="821" spans="1:13" x14ac:dyDescent="0.35">
      <c r="A821" t="s">
        <v>873</v>
      </c>
      <c r="B821" s="1">
        <v>45432</v>
      </c>
      <c r="C821" t="s">
        <v>177</v>
      </c>
      <c r="D821" t="s">
        <v>26</v>
      </c>
      <c r="E821" t="s">
        <v>18</v>
      </c>
      <c r="F821" s="4">
        <v>1691.21</v>
      </c>
      <c r="G821" s="5">
        <v>14</v>
      </c>
      <c r="H821" t="s">
        <v>15</v>
      </c>
      <c r="I821" t="str">
        <f t="shared" si="48"/>
        <v>2024-05</v>
      </c>
      <c r="J821" s="4">
        <f t="shared" si="49"/>
        <v>120.80071428571429</v>
      </c>
      <c r="K821" t="str" cm="1">
        <f t="array" ref="K821">_xlfn.IFS(G821&lt;=5, "Small", G821&lt;=15, "Medium", G821&gt;15, "Large")</f>
        <v>Medium</v>
      </c>
      <c r="L821" t="str">
        <f t="shared" si="50"/>
        <v>Standard</v>
      </c>
      <c r="M821" t="str">
        <f t="shared" si="51"/>
        <v>Weekday</v>
      </c>
    </row>
    <row r="822" spans="1:13" x14ac:dyDescent="0.35">
      <c r="A822" t="s">
        <v>874</v>
      </c>
      <c r="B822" s="1">
        <v>45198</v>
      </c>
      <c r="C822" t="s">
        <v>9</v>
      </c>
      <c r="D822" t="s">
        <v>10</v>
      </c>
      <c r="E822" t="s">
        <v>27</v>
      </c>
      <c r="F822" s="4">
        <v>0</v>
      </c>
      <c r="G822" s="5">
        <v>1</v>
      </c>
      <c r="H822" t="s">
        <v>12</v>
      </c>
      <c r="I822" t="str">
        <f t="shared" si="48"/>
        <v>2023-09</v>
      </c>
      <c r="J822" s="4">
        <f t="shared" si="49"/>
        <v>0</v>
      </c>
      <c r="K822" t="str" cm="1">
        <f t="array" ref="K822">_xlfn.IFS(G822&lt;=5, "Small", G822&lt;=15, "Medium", G822&gt;15, "Large")</f>
        <v>Small</v>
      </c>
      <c r="L822" t="str">
        <f t="shared" si="50"/>
        <v>Standard</v>
      </c>
      <c r="M822" t="str">
        <f t="shared" si="51"/>
        <v>Weekday</v>
      </c>
    </row>
    <row r="823" spans="1:13" x14ac:dyDescent="0.35">
      <c r="A823" t="s">
        <v>875</v>
      </c>
      <c r="B823" s="1">
        <v>45576</v>
      </c>
      <c r="C823" t="s">
        <v>72</v>
      </c>
      <c r="D823" t="s">
        <v>31</v>
      </c>
      <c r="E823" t="s">
        <v>27</v>
      </c>
      <c r="F823" s="4">
        <v>34444.74</v>
      </c>
      <c r="G823" s="5">
        <v>2</v>
      </c>
      <c r="H823" t="s">
        <v>15</v>
      </c>
      <c r="I823" t="str">
        <f t="shared" si="48"/>
        <v>2024-10</v>
      </c>
      <c r="J823" s="4">
        <f t="shared" si="49"/>
        <v>17222.37</v>
      </c>
      <c r="K823" t="str" cm="1">
        <f t="array" ref="K823">_xlfn.IFS(G823&lt;=5, "Small", G823&lt;=15, "Medium", G823&gt;15, "Large")</f>
        <v>Small</v>
      </c>
      <c r="L823" t="str">
        <f t="shared" si="50"/>
        <v>VIP</v>
      </c>
      <c r="M823" t="str">
        <f t="shared" si="51"/>
        <v>Weekday</v>
      </c>
    </row>
    <row r="824" spans="1:13" x14ac:dyDescent="0.35">
      <c r="A824" t="s">
        <v>876</v>
      </c>
      <c r="B824" s="1">
        <v>45479</v>
      </c>
      <c r="C824" t="s">
        <v>25</v>
      </c>
      <c r="D824" t="s">
        <v>26</v>
      </c>
      <c r="E824" t="s">
        <v>18</v>
      </c>
      <c r="F824" s="4">
        <v>0</v>
      </c>
      <c r="G824" s="5">
        <v>14</v>
      </c>
      <c r="H824" t="s">
        <v>28</v>
      </c>
      <c r="I824" t="str">
        <f t="shared" si="48"/>
        <v>2024-07</v>
      </c>
      <c r="J824" s="4">
        <f t="shared" si="49"/>
        <v>0</v>
      </c>
      <c r="K824" t="str" cm="1">
        <f t="array" ref="K824">_xlfn.IFS(G824&lt;=5, "Small", G824&lt;=15, "Medium", G824&gt;15, "Large")</f>
        <v>Medium</v>
      </c>
      <c r="L824" t="str">
        <f t="shared" si="50"/>
        <v>Standard</v>
      </c>
      <c r="M824" t="str">
        <f t="shared" si="51"/>
        <v>Weekend</v>
      </c>
    </row>
    <row r="825" spans="1:13" x14ac:dyDescent="0.35">
      <c r="A825" t="s">
        <v>877</v>
      </c>
      <c r="B825" s="1">
        <v>45256</v>
      </c>
      <c r="C825" t="s">
        <v>60</v>
      </c>
      <c r="D825" t="s">
        <v>21</v>
      </c>
      <c r="E825" t="s">
        <v>27</v>
      </c>
      <c r="F825" s="4">
        <v>0</v>
      </c>
      <c r="G825" s="5">
        <v>2</v>
      </c>
      <c r="H825" t="s">
        <v>12</v>
      </c>
      <c r="I825" t="str">
        <f t="shared" si="48"/>
        <v>2023-11</v>
      </c>
      <c r="J825" s="4">
        <f t="shared" si="49"/>
        <v>0</v>
      </c>
      <c r="K825" t="str" cm="1">
        <f t="array" ref="K825">_xlfn.IFS(G825&lt;=5, "Small", G825&lt;=15, "Medium", G825&gt;15, "Large")</f>
        <v>Small</v>
      </c>
      <c r="L825" t="str">
        <f t="shared" si="50"/>
        <v>Standard</v>
      </c>
      <c r="M825" t="str">
        <f t="shared" si="51"/>
        <v>Weekend</v>
      </c>
    </row>
    <row r="826" spans="1:13" x14ac:dyDescent="0.35">
      <c r="A826" t="s">
        <v>878</v>
      </c>
      <c r="B826" s="1">
        <v>45366</v>
      </c>
      <c r="C826" t="s">
        <v>74</v>
      </c>
      <c r="D826" t="s">
        <v>10</v>
      </c>
      <c r="E826" t="s">
        <v>11</v>
      </c>
      <c r="F826" s="4">
        <v>0</v>
      </c>
      <c r="G826" s="5">
        <v>0</v>
      </c>
      <c r="H826" t="s">
        <v>15</v>
      </c>
      <c r="I826" t="str">
        <f t="shared" si="48"/>
        <v>2024-03</v>
      </c>
      <c r="J826" s="4">
        <f t="shared" si="49"/>
        <v>0</v>
      </c>
      <c r="K826" t="str" cm="1">
        <f t="array" ref="K826">_xlfn.IFS(G826&lt;=5, "Small", G826&lt;=15, "Medium", G826&gt;15, "Large")</f>
        <v>Small</v>
      </c>
      <c r="L826" t="str">
        <f t="shared" si="50"/>
        <v>Standard</v>
      </c>
      <c r="M826" t="str">
        <f t="shared" si="51"/>
        <v>Weekday</v>
      </c>
    </row>
    <row r="827" spans="1:13" x14ac:dyDescent="0.35">
      <c r="A827" t="s">
        <v>879</v>
      </c>
      <c r="B827" s="1">
        <v>45062</v>
      </c>
      <c r="C827" t="s">
        <v>58</v>
      </c>
      <c r="D827" t="s">
        <v>26</v>
      </c>
      <c r="E827" t="s">
        <v>27</v>
      </c>
      <c r="F827" s="4">
        <v>33099.74</v>
      </c>
      <c r="G827" s="5">
        <v>1</v>
      </c>
      <c r="H827" t="s">
        <v>15</v>
      </c>
      <c r="I827" t="str">
        <f t="shared" si="48"/>
        <v>2023-05</v>
      </c>
      <c r="J827" s="4">
        <f t="shared" si="49"/>
        <v>33099.74</v>
      </c>
      <c r="K827" t="str" cm="1">
        <f t="array" ref="K827">_xlfn.IFS(G827&lt;=5, "Small", G827&lt;=15, "Medium", G827&gt;15, "Large")</f>
        <v>Small</v>
      </c>
      <c r="L827" t="str">
        <f t="shared" si="50"/>
        <v>VIP</v>
      </c>
      <c r="M827" t="str">
        <f t="shared" si="51"/>
        <v>Weekday</v>
      </c>
    </row>
    <row r="828" spans="1:13" x14ac:dyDescent="0.35">
      <c r="A828" t="s">
        <v>880</v>
      </c>
      <c r="B828" s="1">
        <v>45580</v>
      </c>
      <c r="C828" t="s">
        <v>50</v>
      </c>
      <c r="D828" t="s">
        <v>26</v>
      </c>
      <c r="E828" t="s">
        <v>27</v>
      </c>
      <c r="F828" s="4">
        <v>38973.67</v>
      </c>
      <c r="G828" s="5">
        <v>2</v>
      </c>
      <c r="H828" t="s">
        <v>15</v>
      </c>
      <c r="I828" t="str">
        <f t="shared" si="48"/>
        <v>2024-10</v>
      </c>
      <c r="J828" s="4">
        <f t="shared" si="49"/>
        <v>19486.834999999999</v>
      </c>
      <c r="K828" t="str" cm="1">
        <f t="array" ref="K828">_xlfn.IFS(G828&lt;=5, "Small", G828&lt;=15, "Medium", G828&gt;15, "Large")</f>
        <v>Small</v>
      </c>
      <c r="L828" t="str">
        <f t="shared" si="50"/>
        <v>VIP</v>
      </c>
      <c r="M828" t="str">
        <f t="shared" si="51"/>
        <v>Weekday</v>
      </c>
    </row>
    <row r="829" spans="1:13" x14ac:dyDescent="0.35">
      <c r="A829" t="s">
        <v>881</v>
      </c>
      <c r="B829" s="1">
        <v>45008</v>
      </c>
      <c r="C829" t="s">
        <v>175</v>
      </c>
      <c r="D829" t="s">
        <v>21</v>
      </c>
      <c r="E829" t="s">
        <v>11</v>
      </c>
      <c r="F829" s="4">
        <v>8192.7099999999991</v>
      </c>
      <c r="G829" s="5">
        <v>7</v>
      </c>
      <c r="H829" t="s">
        <v>15</v>
      </c>
      <c r="I829" t="str">
        <f t="shared" si="48"/>
        <v>2023-03</v>
      </c>
      <c r="J829" s="4">
        <f t="shared" si="49"/>
        <v>1170.3871428571426</v>
      </c>
      <c r="K829" t="str" cm="1">
        <f t="array" ref="K829">_xlfn.IFS(G829&lt;=5, "Small", G829&lt;=15, "Medium", G829&gt;15, "Large")</f>
        <v>Medium</v>
      </c>
      <c r="L829" t="str">
        <f t="shared" si="50"/>
        <v>Standard</v>
      </c>
      <c r="M829" t="str">
        <f t="shared" si="51"/>
        <v>Weekday</v>
      </c>
    </row>
    <row r="830" spans="1:13" x14ac:dyDescent="0.35">
      <c r="A830" t="s">
        <v>882</v>
      </c>
      <c r="B830" s="1">
        <v>44941</v>
      </c>
      <c r="C830" t="s">
        <v>253</v>
      </c>
      <c r="D830" t="s">
        <v>21</v>
      </c>
      <c r="E830" t="s">
        <v>11</v>
      </c>
      <c r="F830" s="4">
        <v>6823.97</v>
      </c>
      <c r="G830" s="5">
        <v>5</v>
      </c>
      <c r="H830" t="s">
        <v>15</v>
      </c>
      <c r="I830" t="str">
        <f t="shared" si="48"/>
        <v>2023-01</v>
      </c>
      <c r="J830" s="4">
        <f t="shared" si="49"/>
        <v>1364.7940000000001</v>
      </c>
      <c r="K830" t="str" cm="1">
        <f t="array" ref="K830">_xlfn.IFS(G830&lt;=5, "Small", G830&lt;=15, "Medium", G830&gt;15, "Large")</f>
        <v>Small</v>
      </c>
      <c r="L830" t="str">
        <f t="shared" si="50"/>
        <v>Standard</v>
      </c>
      <c r="M830" t="str">
        <f t="shared" si="51"/>
        <v>Weekend</v>
      </c>
    </row>
    <row r="831" spans="1:13" x14ac:dyDescent="0.35">
      <c r="A831" t="s">
        <v>883</v>
      </c>
      <c r="B831" s="1">
        <v>45571</v>
      </c>
      <c r="C831" t="s">
        <v>35</v>
      </c>
      <c r="D831" t="s">
        <v>31</v>
      </c>
      <c r="E831" t="s">
        <v>18</v>
      </c>
      <c r="F831" s="4">
        <v>3040.96</v>
      </c>
      <c r="G831" s="5">
        <v>13</v>
      </c>
      <c r="H831" t="s">
        <v>15</v>
      </c>
      <c r="I831" t="str">
        <f t="shared" si="48"/>
        <v>2024-10</v>
      </c>
      <c r="J831" s="4">
        <f t="shared" si="49"/>
        <v>233.92000000000002</v>
      </c>
      <c r="K831" t="str" cm="1">
        <f t="array" ref="K831">_xlfn.IFS(G831&lt;=5, "Small", G831&lt;=15, "Medium", G831&gt;15, "Large")</f>
        <v>Medium</v>
      </c>
      <c r="L831" t="str">
        <f t="shared" si="50"/>
        <v>Standard</v>
      </c>
      <c r="M831" t="str">
        <f t="shared" si="51"/>
        <v>Weekend</v>
      </c>
    </row>
    <row r="832" spans="1:13" x14ac:dyDescent="0.35">
      <c r="A832" t="s">
        <v>884</v>
      </c>
      <c r="B832" s="1">
        <v>44963</v>
      </c>
      <c r="C832" t="s">
        <v>78</v>
      </c>
      <c r="D832" t="s">
        <v>31</v>
      </c>
      <c r="E832" t="s">
        <v>18</v>
      </c>
      <c r="F832" s="4">
        <v>0</v>
      </c>
      <c r="G832" s="5">
        <v>10</v>
      </c>
      <c r="H832" t="s">
        <v>28</v>
      </c>
      <c r="I832" t="str">
        <f t="shared" si="48"/>
        <v>2023-02</v>
      </c>
      <c r="J832" s="4">
        <f t="shared" si="49"/>
        <v>0</v>
      </c>
      <c r="K832" t="str" cm="1">
        <f t="array" ref="K832">_xlfn.IFS(G832&lt;=5, "Small", G832&lt;=15, "Medium", G832&gt;15, "Large")</f>
        <v>Medium</v>
      </c>
      <c r="L832" t="str">
        <f t="shared" si="50"/>
        <v>Standard</v>
      </c>
      <c r="M832" t="str">
        <f t="shared" si="51"/>
        <v>Weekday</v>
      </c>
    </row>
    <row r="833" spans="1:13" x14ac:dyDescent="0.35">
      <c r="A833" t="s">
        <v>885</v>
      </c>
      <c r="B833" s="1">
        <v>45483</v>
      </c>
      <c r="C833" t="s">
        <v>69</v>
      </c>
      <c r="D833" t="s">
        <v>31</v>
      </c>
      <c r="E833" t="s">
        <v>11</v>
      </c>
      <c r="F833" s="4">
        <v>5173.24</v>
      </c>
      <c r="G833" s="5">
        <v>3</v>
      </c>
      <c r="H833" t="s">
        <v>15</v>
      </c>
      <c r="I833" t="str">
        <f t="shared" si="48"/>
        <v>2024-07</v>
      </c>
      <c r="J833" s="4">
        <f t="shared" si="49"/>
        <v>1724.4133333333332</v>
      </c>
      <c r="K833" t="str" cm="1">
        <f t="array" ref="K833">_xlfn.IFS(G833&lt;=5, "Small", G833&lt;=15, "Medium", G833&gt;15, "Large")</f>
        <v>Small</v>
      </c>
      <c r="L833" t="str">
        <f t="shared" si="50"/>
        <v>Standard</v>
      </c>
      <c r="M833" t="str">
        <f t="shared" si="51"/>
        <v>Weekday</v>
      </c>
    </row>
    <row r="834" spans="1:13" x14ac:dyDescent="0.35">
      <c r="A834" t="s">
        <v>886</v>
      </c>
      <c r="B834" s="1">
        <v>45274</v>
      </c>
      <c r="C834" t="s">
        <v>64</v>
      </c>
      <c r="D834" t="s">
        <v>10</v>
      </c>
      <c r="E834" t="s">
        <v>18</v>
      </c>
      <c r="F834" s="4">
        <v>3023.98</v>
      </c>
      <c r="G834" s="5">
        <v>16</v>
      </c>
      <c r="H834" t="s">
        <v>15</v>
      </c>
      <c r="I834" t="str">
        <f t="shared" si="48"/>
        <v>2023-12</v>
      </c>
      <c r="J834" s="4">
        <f t="shared" si="49"/>
        <v>188.99875</v>
      </c>
      <c r="K834" t="str" cm="1">
        <f t="array" ref="K834">_xlfn.IFS(G834&lt;=5, "Small", G834&lt;=15, "Medium", G834&gt;15, "Large")</f>
        <v>Large</v>
      </c>
      <c r="L834" t="str">
        <f t="shared" si="50"/>
        <v>Standard</v>
      </c>
      <c r="M834" t="str">
        <f t="shared" si="51"/>
        <v>Weekday</v>
      </c>
    </row>
    <row r="835" spans="1:13" x14ac:dyDescent="0.35">
      <c r="A835" t="s">
        <v>887</v>
      </c>
      <c r="B835" s="1">
        <v>45198</v>
      </c>
      <c r="C835" t="s">
        <v>72</v>
      </c>
      <c r="D835" t="s">
        <v>26</v>
      </c>
      <c r="E835" t="s">
        <v>11</v>
      </c>
      <c r="F835" s="4">
        <v>9611.7099999999991</v>
      </c>
      <c r="G835" s="5">
        <v>2</v>
      </c>
      <c r="H835" t="s">
        <v>15</v>
      </c>
      <c r="I835" t="str">
        <f t="shared" ref="I835:I898" si="52">TEXT(B835, "YYYY-MM")</f>
        <v>2023-09</v>
      </c>
      <c r="J835" s="4">
        <f t="shared" ref="J835:J898" si="53">IFERROR(F835/G835, 0)</f>
        <v>4805.8549999999996</v>
      </c>
      <c r="K835" t="str" cm="1">
        <f t="array" ref="K835">_xlfn.IFS(G835&lt;=5, "Small", G835&lt;=15, "Medium", G835&gt;15, "Large")</f>
        <v>Small</v>
      </c>
      <c r="L835" t="str">
        <f t="shared" ref="L835:L898" si="54">IF(F835&gt;_xlfn.PERCENTILE.INC($F$2:$F$10000, 0.9), "VIP", "Standard")</f>
        <v>Standard</v>
      </c>
      <c r="M835" t="str">
        <f t="shared" ref="M835:M898" si="55">IF(WEEKDAY(B835, 2)&gt;5, "Weekend", "Weekday")</f>
        <v>Weekday</v>
      </c>
    </row>
    <row r="836" spans="1:13" x14ac:dyDescent="0.35">
      <c r="A836" t="s">
        <v>159</v>
      </c>
      <c r="B836" s="1">
        <v>45413</v>
      </c>
      <c r="C836" t="s">
        <v>160</v>
      </c>
      <c r="D836" t="s">
        <v>26</v>
      </c>
      <c r="E836" t="s">
        <v>27</v>
      </c>
      <c r="F836" s="4">
        <v>20929.39</v>
      </c>
      <c r="G836" s="5">
        <v>5</v>
      </c>
      <c r="H836" t="s">
        <v>15</v>
      </c>
      <c r="I836" t="str">
        <f t="shared" si="52"/>
        <v>2024-05</v>
      </c>
      <c r="J836" s="4">
        <f t="shared" si="53"/>
        <v>4185.8779999999997</v>
      </c>
      <c r="K836" t="str" cm="1">
        <f t="array" ref="K836">_xlfn.IFS(G836&lt;=5, "Small", G836&lt;=15, "Medium", G836&gt;15, "Large")</f>
        <v>Small</v>
      </c>
      <c r="L836" t="str">
        <f t="shared" si="54"/>
        <v>Standard</v>
      </c>
      <c r="M836" t="str">
        <f t="shared" si="55"/>
        <v>Weekday</v>
      </c>
    </row>
    <row r="837" spans="1:13" x14ac:dyDescent="0.35">
      <c r="A837" t="s">
        <v>888</v>
      </c>
      <c r="B837" s="1">
        <v>45156</v>
      </c>
      <c r="C837" t="s">
        <v>115</v>
      </c>
      <c r="D837" t="s">
        <v>10</v>
      </c>
      <c r="E837" t="s">
        <v>18</v>
      </c>
      <c r="F837" s="4">
        <v>2221.98</v>
      </c>
      <c r="G837" s="5">
        <v>17</v>
      </c>
      <c r="H837" t="s">
        <v>15</v>
      </c>
      <c r="I837" t="str">
        <f t="shared" si="52"/>
        <v>2023-08</v>
      </c>
      <c r="J837" s="4">
        <f t="shared" si="53"/>
        <v>130.70470588235295</v>
      </c>
      <c r="K837" t="str" cm="1">
        <f t="array" ref="K837">_xlfn.IFS(G837&lt;=5, "Small", G837&lt;=15, "Medium", G837&gt;15, "Large")</f>
        <v>Large</v>
      </c>
      <c r="L837" t="str">
        <f t="shared" si="54"/>
        <v>Standard</v>
      </c>
      <c r="M837" t="str">
        <f t="shared" si="55"/>
        <v>Weekday</v>
      </c>
    </row>
    <row r="838" spans="1:13" x14ac:dyDescent="0.35">
      <c r="A838" t="s">
        <v>889</v>
      </c>
      <c r="B838" s="1">
        <v>45473</v>
      </c>
      <c r="C838" t="s">
        <v>20</v>
      </c>
      <c r="D838" t="s">
        <v>21</v>
      </c>
      <c r="E838" t="s">
        <v>11</v>
      </c>
      <c r="F838" s="4">
        <v>0</v>
      </c>
      <c r="G838" s="5">
        <v>3</v>
      </c>
      <c r="H838" t="s">
        <v>28</v>
      </c>
      <c r="I838" t="str">
        <f t="shared" si="52"/>
        <v>2024-06</v>
      </c>
      <c r="J838" s="4">
        <f t="shared" si="53"/>
        <v>0</v>
      </c>
      <c r="K838" t="str" cm="1">
        <f t="array" ref="K838">_xlfn.IFS(G838&lt;=5, "Small", G838&lt;=15, "Medium", G838&gt;15, "Large")</f>
        <v>Small</v>
      </c>
      <c r="L838" t="str">
        <f t="shared" si="54"/>
        <v>Standard</v>
      </c>
      <c r="M838" t="str">
        <f t="shared" si="55"/>
        <v>Weekend</v>
      </c>
    </row>
    <row r="839" spans="1:13" x14ac:dyDescent="0.35">
      <c r="A839" t="s">
        <v>890</v>
      </c>
      <c r="B839" s="1">
        <v>45351</v>
      </c>
      <c r="C839" t="s">
        <v>17</v>
      </c>
      <c r="D839" t="s">
        <v>10</v>
      </c>
      <c r="E839" t="s">
        <v>18</v>
      </c>
      <c r="F839" s="4">
        <v>1613.64</v>
      </c>
      <c r="G839" s="5">
        <v>25</v>
      </c>
      <c r="H839" t="s">
        <v>15</v>
      </c>
      <c r="I839" t="str">
        <f t="shared" si="52"/>
        <v>2024-02</v>
      </c>
      <c r="J839" s="4">
        <f t="shared" si="53"/>
        <v>64.545600000000007</v>
      </c>
      <c r="K839" t="str" cm="1">
        <f t="array" ref="K839">_xlfn.IFS(G839&lt;=5, "Small", G839&lt;=15, "Medium", G839&gt;15, "Large")</f>
        <v>Large</v>
      </c>
      <c r="L839" t="str">
        <f t="shared" si="54"/>
        <v>Standard</v>
      </c>
      <c r="M839" t="str">
        <f t="shared" si="55"/>
        <v>Weekday</v>
      </c>
    </row>
    <row r="840" spans="1:13" x14ac:dyDescent="0.35">
      <c r="A840" t="s">
        <v>891</v>
      </c>
      <c r="B840" s="1">
        <v>45340</v>
      </c>
      <c r="C840" t="s">
        <v>62</v>
      </c>
      <c r="D840" t="s">
        <v>10</v>
      </c>
      <c r="E840" t="s">
        <v>18</v>
      </c>
      <c r="F840" s="4">
        <v>0</v>
      </c>
      <c r="G840" s="5">
        <v>7</v>
      </c>
      <c r="H840" t="s">
        <v>28</v>
      </c>
      <c r="I840" t="str">
        <f t="shared" si="52"/>
        <v>2024-02</v>
      </c>
      <c r="J840" s="4">
        <f t="shared" si="53"/>
        <v>0</v>
      </c>
      <c r="K840" t="str" cm="1">
        <f t="array" ref="K840">_xlfn.IFS(G840&lt;=5, "Small", G840&lt;=15, "Medium", G840&gt;15, "Large")</f>
        <v>Medium</v>
      </c>
      <c r="L840" t="str">
        <f t="shared" si="54"/>
        <v>Standard</v>
      </c>
      <c r="M840" t="str">
        <f t="shared" si="55"/>
        <v>Weekend</v>
      </c>
    </row>
    <row r="841" spans="1:13" x14ac:dyDescent="0.35">
      <c r="A841" t="s">
        <v>892</v>
      </c>
      <c r="B841" s="1">
        <v>44983</v>
      </c>
      <c r="C841" t="s">
        <v>35</v>
      </c>
      <c r="D841" t="s">
        <v>31</v>
      </c>
      <c r="E841" t="s">
        <v>18</v>
      </c>
      <c r="F841" s="4">
        <v>0</v>
      </c>
      <c r="G841" s="5">
        <v>26</v>
      </c>
      <c r="H841" t="s">
        <v>12</v>
      </c>
      <c r="I841" t="str">
        <f t="shared" si="52"/>
        <v>2023-02</v>
      </c>
      <c r="J841" s="4">
        <f t="shared" si="53"/>
        <v>0</v>
      </c>
      <c r="K841" t="str" cm="1">
        <f t="array" ref="K841">_xlfn.IFS(G841&lt;=5, "Small", G841&lt;=15, "Medium", G841&gt;15, "Large")</f>
        <v>Large</v>
      </c>
      <c r="L841" t="str">
        <f t="shared" si="54"/>
        <v>Standard</v>
      </c>
      <c r="M841" t="str">
        <f t="shared" si="55"/>
        <v>Weekend</v>
      </c>
    </row>
    <row r="842" spans="1:13" x14ac:dyDescent="0.35">
      <c r="A842" t="s">
        <v>893</v>
      </c>
      <c r="B842" s="1">
        <v>45379</v>
      </c>
      <c r="C842" t="s">
        <v>97</v>
      </c>
      <c r="D842" t="s">
        <v>21</v>
      </c>
      <c r="E842" t="s">
        <v>18</v>
      </c>
      <c r="F842" s="4">
        <v>0</v>
      </c>
      <c r="G842" s="5">
        <v>29</v>
      </c>
      <c r="H842" t="s">
        <v>28</v>
      </c>
      <c r="I842" t="str">
        <f t="shared" si="52"/>
        <v>2024-03</v>
      </c>
      <c r="J842" s="4">
        <f t="shared" si="53"/>
        <v>0</v>
      </c>
      <c r="K842" t="str" cm="1">
        <f t="array" ref="K842">_xlfn.IFS(G842&lt;=5, "Small", G842&lt;=15, "Medium", G842&gt;15, "Large")</f>
        <v>Large</v>
      </c>
      <c r="L842" t="str">
        <f t="shared" si="54"/>
        <v>Standard</v>
      </c>
      <c r="M842" t="str">
        <f t="shared" si="55"/>
        <v>Weekday</v>
      </c>
    </row>
    <row r="843" spans="1:13" x14ac:dyDescent="0.35">
      <c r="A843" t="s">
        <v>894</v>
      </c>
      <c r="B843" s="1">
        <v>45246</v>
      </c>
      <c r="C843" t="s">
        <v>14</v>
      </c>
      <c r="D843" t="s">
        <v>10</v>
      </c>
      <c r="E843" t="s">
        <v>27</v>
      </c>
      <c r="F843" s="4">
        <v>13466.28</v>
      </c>
      <c r="G843" s="5">
        <v>5</v>
      </c>
      <c r="H843" t="s">
        <v>15</v>
      </c>
      <c r="I843" t="str">
        <f t="shared" si="52"/>
        <v>2023-11</v>
      </c>
      <c r="J843" s="4">
        <f t="shared" si="53"/>
        <v>2693.2560000000003</v>
      </c>
      <c r="K843" t="str" cm="1">
        <f t="array" ref="K843">_xlfn.IFS(G843&lt;=5, "Small", G843&lt;=15, "Medium", G843&gt;15, "Large")</f>
        <v>Small</v>
      </c>
      <c r="L843" t="str">
        <f t="shared" si="54"/>
        <v>Standard</v>
      </c>
      <c r="M843" t="str">
        <f t="shared" si="55"/>
        <v>Weekday</v>
      </c>
    </row>
    <row r="844" spans="1:13" x14ac:dyDescent="0.35">
      <c r="A844" t="s">
        <v>895</v>
      </c>
      <c r="B844" s="1">
        <v>45511</v>
      </c>
      <c r="C844" t="s">
        <v>45</v>
      </c>
      <c r="D844" t="s">
        <v>21</v>
      </c>
      <c r="E844" t="s">
        <v>18</v>
      </c>
      <c r="F844" s="4">
        <v>0</v>
      </c>
      <c r="G844" s="5">
        <v>19</v>
      </c>
      <c r="H844" t="s">
        <v>12</v>
      </c>
      <c r="I844" t="str">
        <f t="shared" si="52"/>
        <v>2024-08</v>
      </c>
      <c r="J844" s="4">
        <f t="shared" si="53"/>
        <v>0</v>
      </c>
      <c r="K844" t="str" cm="1">
        <f t="array" ref="K844">_xlfn.IFS(G844&lt;=5, "Small", G844&lt;=15, "Medium", G844&gt;15, "Large")</f>
        <v>Large</v>
      </c>
      <c r="L844" t="str">
        <f t="shared" si="54"/>
        <v>Standard</v>
      </c>
      <c r="M844" t="str">
        <f t="shared" si="55"/>
        <v>Weekday</v>
      </c>
    </row>
    <row r="845" spans="1:13" x14ac:dyDescent="0.35">
      <c r="A845" t="s">
        <v>896</v>
      </c>
      <c r="B845" s="1">
        <v>45359</v>
      </c>
      <c r="C845" t="s">
        <v>62</v>
      </c>
      <c r="D845" t="s">
        <v>10</v>
      </c>
      <c r="E845" t="s">
        <v>27</v>
      </c>
      <c r="F845" s="4">
        <v>33454.129999999997</v>
      </c>
      <c r="G845" s="5">
        <v>4</v>
      </c>
      <c r="H845" t="s">
        <v>15</v>
      </c>
      <c r="I845" t="str">
        <f t="shared" si="52"/>
        <v>2024-03</v>
      </c>
      <c r="J845" s="4">
        <f t="shared" si="53"/>
        <v>8363.5324999999993</v>
      </c>
      <c r="K845" t="str" cm="1">
        <f t="array" ref="K845">_xlfn.IFS(G845&lt;=5, "Small", G845&lt;=15, "Medium", G845&gt;15, "Large")</f>
        <v>Small</v>
      </c>
      <c r="L845" t="str">
        <f t="shared" si="54"/>
        <v>VIP</v>
      </c>
      <c r="M845" t="str">
        <f t="shared" si="55"/>
        <v>Weekday</v>
      </c>
    </row>
    <row r="846" spans="1:13" x14ac:dyDescent="0.35">
      <c r="A846" t="s">
        <v>897</v>
      </c>
      <c r="B846" s="1">
        <v>45136</v>
      </c>
      <c r="C846" t="s">
        <v>126</v>
      </c>
      <c r="D846" t="s">
        <v>21</v>
      </c>
      <c r="E846" t="s">
        <v>27</v>
      </c>
      <c r="F846" s="4">
        <v>0</v>
      </c>
      <c r="G846" s="5">
        <v>4</v>
      </c>
      <c r="H846" t="s">
        <v>28</v>
      </c>
      <c r="I846" t="str">
        <f t="shared" si="52"/>
        <v>2023-07</v>
      </c>
      <c r="J846" s="4">
        <f t="shared" si="53"/>
        <v>0</v>
      </c>
      <c r="K846" t="str" cm="1">
        <f t="array" ref="K846">_xlfn.IFS(G846&lt;=5, "Small", G846&lt;=15, "Medium", G846&gt;15, "Large")</f>
        <v>Small</v>
      </c>
      <c r="L846" t="str">
        <f t="shared" si="54"/>
        <v>Standard</v>
      </c>
      <c r="M846" t="str">
        <f t="shared" si="55"/>
        <v>Weekend</v>
      </c>
    </row>
    <row r="847" spans="1:13" x14ac:dyDescent="0.35">
      <c r="A847" t="s">
        <v>898</v>
      </c>
      <c r="B847" s="1">
        <v>45623</v>
      </c>
      <c r="C847" t="s">
        <v>40</v>
      </c>
      <c r="D847" t="s">
        <v>26</v>
      </c>
      <c r="E847" t="s">
        <v>27</v>
      </c>
      <c r="F847" s="4">
        <v>17278.37</v>
      </c>
      <c r="G847" s="5">
        <v>4</v>
      </c>
      <c r="H847" t="s">
        <v>15</v>
      </c>
      <c r="I847" t="str">
        <f t="shared" si="52"/>
        <v>2024-11</v>
      </c>
      <c r="J847" s="4">
        <f t="shared" si="53"/>
        <v>4319.5924999999997</v>
      </c>
      <c r="K847" t="str" cm="1">
        <f t="array" ref="K847">_xlfn.IFS(G847&lt;=5, "Small", G847&lt;=15, "Medium", G847&gt;15, "Large")</f>
        <v>Small</v>
      </c>
      <c r="L847" t="str">
        <f t="shared" si="54"/>
        <v>Standard</v>
      </c>
      <c r="M847" t="str">
        <f t="shared" si="55"/>
        <v>Weekday</v>
      </c>
    </row>
    <row r="848" spans="1:13" x14ac:dyDescent="0.35">
      <c r="A848" t="s">
        <v>899</v>
      </c>
      <c r="B848" s="1">
        <v>45365</v>
      </c>
      <c r="C848" t="s">
        <v>84</v>
      </c>
      <c r="D848" t="s">
        <v>31</v>
      </c>
      <c r="E848" t="s">
        <v>27</v>
      </c>
      <c r="F848" s="4">
        <v>38351.24</v>
      </c>
      <c r="G848" s="5">
        <v>4</v>
      </c>
      <c r="H848" t="s">
        <v>15</v>
      </c>
      <c r="I848" t="str">
        <f t="shared" si="52"/>
        <v>2024-03</v>
      </c>
      <c r="J848" s="4">
        <f t="shared" si="53"/>
        <v>9587.81</v>
      </c>
      <c r="K848" t="str" cm="1">
        <f t="array" ref="K848">_xlfn.IFS(G848&lt;=5, "Small", G848&lt;=15, "Medium", G848&gt;15, "Large")</f>
        <v>Small</v>
      </c>
      <c r="L848" t="str">
        <f t="shared" si="54"/>
        <v>VIP</v>
      </c>
      <c r="M848" t="str">
        <f t="shared" si="55"/>
        <v>Weekday</v>
      </c>
    </row>
    <row r="849" spans="1:13" x14ac:dyDescent="0.35">
      <c r="A849" t="s">
        <v>900</v>
      </c>
      <c r="B849" s="1">
        <v>45447</v>
      </c>
      <c r="C849" t="s">
        <v>126</v>
      </c>
      <c r="D849" t="s">
        <v>21</v>
      </c>
      <c r="E849" t="s">
        <v>18</v>
      </c>
      <c r="F849" s="4">
        <v>2413.67</v>
      </c>
      <c r="G849" s="5">
        <v>22</v>
      </c>
      <c r="H849" t="s">
        <v>15</v>
      </c>
      <c r="I849" t="str">
        <f t="shared" si="52"/>
        <v>2024-06</v>
      </c>
      <c r="J849" s="4">
        <f t="shared" si="53"/>
        <v>109.71227272727273</v>
      </c>
      <c r="K849" t="str" cm="1">
        <f t="array" ref="K849">_xlfn.IFS(G849&lt;=5, "Small", G849&lt;=15, "Medium", G849&gt;15, "Large")</f>
        <v>Large</v>
      </c>
      <c r="L849" t="str">
        <f t="shared" si="54"/>
        <v>Standard</v>
      </c>
      <c r="M849" t="str">
        <f t="shared" si="55"/>
        <v>Weekday</v>
      </c>
    </row>
    <row r="850" spans="1:13" x14ac:dyDescent="0.35">
      <c r="A850" t="s">
        <v>901</v>
      </c>
      <c r="B850" s="1">
        <v>45300</v>
      </c>
      <c r="C850" t="s">
        <v>126</v>
      </c>
      <c r="D850" t="s">
        <v>21</v>
      </c>
      <c r="E850" t="s">
        <v>18</v>
      </c>
      <c r="F850" s="4">
        <v>2088.1799999999998</v>
      </c>
      <c r="G850" s="5">
        <v>4</v>
      </c>
      <c r="H850" t="s">
        <v>15</v>
      </c>
      <c r="I850" t="str">
        <f t="shared" si="52"/>
        <v>2024-01</v>
      </c>
      <c r="J850" s="4">
        <f t="shared" si="53"/>
        <v>522.04499999999996</v>
      </c>
      <c r="K850" t="str" cm="1">
        <f t="array" ref="K850">_xlfn.IFS(G850&lt;=5, "Small", G850&lt;=15, "Medium", G850&gt;15, "Large")</f>
        <v>Small</v>
      </c>
      <c r="L850" t="str">
        <f t="shared" si="54"/>
        <v>Standard</v>
      </c>
      <c r="M850" t="str">
        <f t="shared" si="55"/>
        <v>Weekday</v>
      </c>
    </row>
    <row r="851" spans="1:13" x14ac:dyDescent="0.35">
      <c r="A851" t="s">
        <v>902</v>
      </c>
      <c r="B851" s="1">
        <v>45498</v>
      </c>
      <c r="C851" t="s">
        <v>241</v>
      </c>
      <c r="D851" t="s">
        <v>31</v>
      </c>
      <c r="E851" t="s">
        <v>18</v>
      </c>
      <c r="F851" s="4">
        <v>251.14</v>
      </c>
      <c r="G851" s="5">
        <v>20</v>
      </c>
      <c r="H851" t="s">
        <v>15</v>
      </c>
      <c r="I851" t="str">
        <f t="shared" si="52"/>
        <v>2024-07</v>
      </c>
      <c r="J851" s="4">
        <f t="shared" si="53"/>
        <v>12.556999999999999</v>
      </c>
      <c r="K851" t="str" cm="1">
        <f t="array" ref="K851">_xlfn.IFS(G851&lt;=5, "Small", G851&lt;=15, "Medium", G851&gt;15, "Large")</f>
        <v>Large</v>
      </c>
      <c r="L851" t="str">
        <f t="shared" si="54"/>
        <v>Standard</v>
      </c>
      <c r="M851" t="str">
        <f t="shared" si="55"/>
        <v>Weekday</v>
      </c>
    </row>
    <row r="852" spans="1:13" x14ac:dyDescent="0.35">
      <c r="A852" t="s">
        <v>903</v>
      </c>
      <c r="B852" s="1">
        <v>45371</v>
      </c>
      <c r="C852" t="s">
        <v>241</v>
      </c>
      <c r="D852" t="s">
        <v>31</v>
      </c>
      <c r="E852" t="s">
        <v>27</v>
      </c>
      <c r="F852" s="4">
        <v>0</v>
      </c>
      <c r="G852" s="5">
        <v>2</v>
      </c>
      <c r="H852" t="s">
        <v>12</v>
      </c>
      <c r="I852" t="str">
        <f t="shared" si="52"/>
        <v>2024-03</v>
      </c>
      <c r="J852" s="4">
        <f t="shared" si="53"/>
        <v>0</v>
      </c>
      <c r="K852" t="str" cm="1">
        <f t="array" ref="K852">_xlfn.IFS(G852&lt;=5, "Small", G852&lt;=15, "Medium", G852&gt;15, "Large")</f>
        <v>Small</v>
      </c>
      <c r="L852" t="str">
        <f t="shared" si="54"/>
        <v>Standard</v>
      </c>
      <c r="M852" t="str">
        <f t="shared" si="55"/>
        <v>Weekday</v>
      </c>
    </row>
    <row r="853" spans="1:13" x14ac:dyDescent="0.35">
      <c r="A853" t="s">
        <v>904</v>
      </c>
      <c r="B853" s="1">
        <v>45366</v>
      </c>
      <c r="C853" t="s">
        <v>25</v>
      </c>
      <c r="D853" t="s">
        <v>26</v>
      </c>
      <c r="E853" t="s">
        <v>18</v>
      </c>
      <c r="F853" s="4">
        <v>0</v>
      </c>
      <c r="G853" s="5">
        <v>0</v>
      </c>
      <c r="H853" t="s">
        <v>15</v>
      </c>
      <c r="I853" t="str">
        <f t="shared" si="52"/>
        <v>2024-03</v>
      </c>
      <c r="J853" s="4">
        <f t="shared" si="53"/>
        <v>0</v>
      </c>
      <c r="K853" t="str" cm="1">
        <f t="array" ref="K853">_xlfn.IFS(G853&lt;=5, "Small", G853&lt;=15, "Medium", G853&gt;15, "Large")</f>
        <v>Small</v>
      </c>
      <c r="L853" t="str">
        <f t="shared" si="54"/>
        <v>Standard</v>
      </c>
      <c r="M853" t="str">
        <f t="shared" si="55"/>
        <v>Weekday</v>
      </c>
    </row>
    <row r="854" spans="1:13" x14ac:dyDescent="0.35">
      <c r="A854" t="s">
        <v>905</v>
      </c>
      <c r="B854" s="1">
        <v>44981</v>
      </c>
      <c r="C854" t="s">
        <v>9</v>
      </c>
      <c r="D854" t="s">
        <v>10</v>
      </c>
      <c r="E854" t="s">
        <v>27</v>
      </c>
      <c r="F854" s="4">
        <v>21524</v>
      </c>
      <c r="G854" s="5">
        <v>5</v>
      </c>
      <c r="H854" t="s">
        <v>15</v>
      </c>
      <c r="I854" t="str">
        <f t="shared" si="52"/>
        <v>2023-02</v>
      </c>
      <c r="J854" s="4">
        <f t="shared" si="53"/>
        <v>4304.8</v>
      </c>
      <c r="K854" t="str" cm="1">
        <f t="array" ref="K854">_xlfn.IFS(G854&lt;=5, "Small", G854&lt;=15, "Medium", G854&gt;15, "Large")</f>
        <v>Small</v>
      </c>
      <c r="L854" t="str">
        <f t="shared" si="54"/>
        <v>Standard</v>
      </c>
      <c r="M854" t="str">
        <f t="shared" si="55"/>
        <v>Weekday</v>
      </c>
    </row>
    <row r="855" spans="1:13" x14ac:dyDescent="0.35">
      <c r="A855" t="s">
        <v>906</v>
      </c>
      <c r="B855" s="1">
        <v>45280</v>
      </c>
      <c r="C855" t="s">
        <v>69</v>
      </c>
      <c r="D855" t="s">
        <v>31</v>
      </c>
      <c r="E855" t="s">
        <v>27</v>
      </c>
      <c r="F855" s="4">
        <v>30026.81</v>
      </c>
      <c r="G855" s="5">
        <v>2</v>
      </c>
      <c r="H855" t="s">
        <v>15</v>
      </c>
      <c r="I855" t="str">
        <f t="shared" si="52"/>
        <v>2023-12</v>
      </c>
      <c r="J855" s="4">
        <f t="shared" si="53"/>
        <v>15013.405000000001</v>
      </c>
      <c r="K855" t="str" cm="1">
        <f t="array" ref="K855">_xlfn.IFS(G855&lt;=5, "Small", G855&lt;=15, "Medium", G855&gt;15, "Large")</f>
        <v>Small</v>
      </c>
      <c r="L855" t="str">
        <f t="shared" si="54"/>
        <v>VIP</v>
      </c>
      <c r="M855" t="str">
        <f t="shared" si="55"/>
        <v>Weekday</v>
      </c>
    </row>
    <row r="856" spans="1:13" x14ac:dyDescent="0.35">
      <c r="A856" t="s">
        <v>907</v>
      </c>
      <c r="B856" s="1">
        <v>45029</v>
      </c>
      <c r="C856" t="s">
        <v>97</v>
      </c>
      <c r="D856" t="s">
        <v>21</v>
      </c>
      <c r="E856" t="s">
        <v>11</v>
      </c>
      <c r="F856" s="4">
        <v>571.65</v>
      </c>
      <c r="G856" s="5">
        <v>3</v>
      </c>
      <c r="H856" t="s">
        <v>15</v>
      </c>
      <c r="I856" t="str">
        <f t="shared" si="52"/>
        <v>2023-04</v>
      </c>
      <c r="J856" s="4">
        <f t="shared" si="53"/>
        <v>190.54999999999998</v>
      </c>
      <c r="K856" t="str" cm="1">
        <f t="array" ref="K856">_xlfn.IFS(G856&lt;=5, "Small", G856&lt;=15, "Medium", G856&gt;15, "Large")</f>
        <v>Small</v>
      </c>
      <c r="L856" t="str">
        <f t="shared" si="54"/>
        <v>Standard</v>
      </c>
      <c r="M856" t="str">
        <f t="shared" si="55"/>
        <v>Weekday</v>
      </c>
    </row>
    <row r="857" spans="1:13" x14ac:dyDescent="0.35">
      <c r="A857" t="s">
        <v>908</v>
      </c>
      <c r="B857" s="1">
        <v>45365</v>
      </c>
      <c r="C857" t="s">
        <v>82</v>
      </c>
      <c r="D857" t="s">
        <v>10</v>
      </c>
      <c r="E857" t="s">
        <v>27</v>
      </c>
      <c r="F857" s="4">
        <v>44881.8</v>
      </c>
      <c r="G857" s="5">
        <v>2</v>
      </c>
      <c r="H857" t="s">
        <v>15</v>
      </c>
      <c r="I857" t="str">
        <f t="shared" si="52"/>
        <v>2024-03</v>
      </c>
      <c r="J857" s="4">
        <f t="shared" si="53"/>
        <v>22440.9</v>
      </c>
      <c r="K857" t="str" cm="1">
        <f t="array" ref="K857">_xlfn.IFS(G857&lt;=5, "Small", G857&lt;=15, "Medium", G857&gt;15, "Large")</f>
        <v>Small</v>
      </c>
      <c r="L857" t="str">
        <f t="shared" si="54"/>
        <v>VIP</v>
      </c>
      <c r="M857" t="str">
        <f t="shared" si="55"/>
        <v>Weekday</v>
      </c>
    </row>
    <row r="858" spans="1:13" x14ac:dyDescent="0.35">
      <c r="A858" t="s">
        <v>909</v>
      </c>
      <c r="B858" s="1">
        <v>45095</v>
      </c>
      <c r="C858" t="s">
        <v>40</v>
      </c>
      <c r="D858" t="s">
        <v>21</v>
      </c>
      <c r="E858" t="s">
        <v>18</v>
      </c>
      <c r="F858" s="4">
        <v>3232.69</v>
      </c>
      <c r="G858" s="5">
        <v>5</v>
      </c>
      <c r="H858" t="s">
        <v>15</v>
      </c>
      <c r="I858" t="str">
        <f t="shared" si="52"/>
        <v>2023-06</v>
      </c>
      <c r="J858" s="4">
        <f t="shared" si="53"/>
        <v>646.53800000000001</v>
      </c>
      <c r="K858" t="str" cm="1">
        <f t="array" ref="K858">_xlfn.IFS(G858&lt;=5, "Small", G858&lt;=15, "Medium", G858&gt;15, "Large")</f>
        <v>Small</v>
      </c>
      <c r="L858" t="str">
        <f t="shared" si="54"/>
        <v>Standard</v>
      </c>
      <c r="M858" t="str">
        <f t="shared" si="55"/>
        <v>Weekend</v>
      </c>
    </row>
    <row r="859" spans="1:13" x14ac:dyDescent="0.35">
      <c r="A859" t="s">
        <v>910</v>
      </c>
      <c r="B859" s="1">
        <v>45137</v>
      </c>
      <c r="C859" t="s">
        <v>175</v>
      </c>
      <c r="D859" t="s">
        <v>21</v>
      </c>
      <c r="E859" t="s">
        <v>18</v>
      </c>
      <c r="F859" s="4">
        <v>1100.7</v>
      </c>
      <c r="G859" s="5">
        <v>30</v>
      </c>
      <c r="H859" t="s">
        <v>15</v>
      </c>
      <c r="I859" t="str">
        <f t="shared" si="52"/>
        <v>2023-07</v>
      </c>
      <c r="J859" s="4">
        <f t="shared" si="53"/>
        <v>36.690000000000005</v>
      </c>
      <c r="K859" t="str" cm="1">
        <f t="array" ref="K859">_xlfn.IFS(G859&lt;=5, "Small", G859&lt;=15, "Medium", G859&gt;15, "Large")</f>
        <v>Large</v>
      </c>
      <c r="L859" t="str">
        <f t="shared" si="54"/>
        <v>Standard</v>
      </c>
      <c r="M859" t="str">
        <f t="shared" si="55"/>
        <v>Weekend</v>
      </c>
    </row>
    <row r="860" spans="1:13" x14ac:dyDescent="0.35">
      <c r="A860" t="s">
        <v>911</v>
      </c>
      <c r="B860" s="1">
        <v>45180</v>
      </c>
      <c r="C860" t="s">
        <v>30</v>
      </c>
      <c r="D860" t="s">
        <v>31</v>
      </c>
      <c r="E860" t="s">
        <v>11</v>
      </c>
      <c r="F860" s="4">
        <v>15035.56</v>
      </c>
      <c r="G860" s="5">
        <v>6</v>
      </c>
      <c r="H860" t="s">
        <v>15</v>
      </c>
      <c r="I860" t="str">
        <f t="shared" si="52"/>
        <v>2023-09</v>
      </c>
      <c r="J860" s="4">
        <f t="shared" si="53"/>
        <v>2505.9266666666667</v>
      </c>
      <c r="K860" t="str" cm="1">
        <f t="array" ref="K860">_xlfn.IFS(G860&lt;=5, "Small", G860&lt;=15, "Medium", G860&gt;15, "Large")</f>
        <v>Medium</v>
      </c>
      <c r="L860" t="str">
        <f t="shared" si="54"/>
        <v>Standard</v>
      </c>
      <c r="M860" t="str">
        <f t="shared" si="55"/>
        <v>Weekday</v>
      </c>
    </row>
    <row r="861" spans="1:13" x14ac:dyDescent="0.35">
      <c r="A861" t="s">
        <v>912</v>
      </c>
      <c r="B861" s="1">
        <v>44982</v>
      </c>
      <c r="C861" t="s">
        <v>89</v>
      </c>
      <c r="D861" t="s">
        <v>21</v>
      </c>
      <c r="E861" t="s">
        <v>27</v>
      </c>
      <c r="F861" s="4">
        <v>28228.83</v>
      </c>
      <c r="G861" s="5">
        <v>4</v>
      </c>
      <c r="H861" t="s">
        <v>15</v>
      </c>
      <c r="I861" t="str">
        <f t="shared" si="52"/>
        <v>2023-02</v>
      </c>
      <c r="J861" s="4">
        <f t="shared" si="53"/>
        <v>7057.2075000000004</v>
      </c>
      <c r="K861" t="str" cm="1">
        <f t="array" ref="K861">_xlfn.IFS(G861&lt;=5, "Small", G861&lt;=15, "Medium", G861&gt;15, "Large")</f>
        <v>Small</v>
      </c>
      <c r="L861" t="str">
        <f t="shared" si="54"/>
        <v>VIP</v>
      </c>
      <c r="M861" t="str">
        <f t="shared" si="55"/>
        <v>Weekend</v>
      </c>
    </row>
    <row r="862" spans="1:13" x14ac:dyDescent="0.35">
      <c r="A862" t="s">
        <v>913</v>
      </c>
      <c r="B862" s="1">
        <v>45081</v>
      </c>
      <c r="C862" t="s">
        <v>126</v>
      </c>
      <c r="D862" t="s">
        <v>21</v>
      </c>
      <c r="E862" t="s">
        <v>11</v>
      </c>
      <c r="F862" s="4">
        <v>7542.7</v>
      </c>
      <c r="G862" s="5">
        <v>8</v>
      </c>
      <c r="H862" t="s">
        <v>15</v>
      </c>
      <c r="I862" t="str">
        <f t="shared" si="52"/>
        <v>2023-06</v>
      </c>
      <c r="J862" s="4">
        <f t="shared" si="53"/>
        <v>942.83749999999998</v>
      </c>
      <c r="K862" t="str" cm="1">
        <f t="array" ref="K862">_xlfn.IFS(G862&lt;=5, "Small", G862&lt;=15, "Medium", G862&gt;15, "Large")</f>
        <v>Medium</v>
      </c>
      <c r="L862" t="str">
        <f t="shared" si="54"/>
        <v>Standard</v>
      </c>
      <c r="M862" t="str">
        <f t="shared" si="55"/>
        <v>Weekend</v>
      </c>
    </row>
    <row r="863" spans="1:13" x14ac:dyDescent="0.35">
      <c r="A863" t="s">
        <v>914</v>
      </c>
      <c r="B863" s="1">
        <v>45042</v>
      </c>
      <c r="C863" t="s">
        <v>175</v>
      </c>
      <c r="D863" t="s">
        <v>21</v>
      </c>
      <c r="E863" t="s">
        <v>11</v>
      </c>
      <c r="F863" s="4">
        <v>12384.47</v>
      </c>
      <c r="G863" s="5">
        <v>5</v>
      </c>
      <c r="H863" t="s">
        <v>15</v>
      </c>
      <c r="I863" t="str">
        <f t="shared" si="52"/>
        <v>2023-04</v>
      </c>
      <c r="J863" s="4">
        <f t="shared" si="53"/>
        <v>2476.8939999999998</v>
      </c>
      <c r="K863" t="str" cm="1">
        <f t="array" ref="K863">_xlfn.IFS(G863&lt;=5, "Small", G863&lt;=15, "Medium", G863&gt;15, "Large")</f>
        <v>Small</v>
      </c>
      <c r="L863" t="str">
        <f t="shared" si="54"/>
        <v>Standard</v>
      </c>
      <c r="M863" t="str">
        <f t="shared" si="55"/>
        <v>Weekday</v>
      </c>
    </row>
    <row r="864" spans="1:13" x14ac:dyDescent="0.35">
      <c r="A864" t="s">
        <v>915</v>
      </c>
      <c r="B864" s="1">
        <v>45380</v>
      </c>
      <c r="C864" t="s">
        <v>160</v>
      </c>
      <c r="D864" t="s">
        <v>26</v>
      </c>
      <c r="E864" t="s">
        <v>18</v>
      </c>
      <c r="F864" s="4">
        <v>1522.26</v>
      </c>
      <c r="G864" s="5">
        <v>30</v>
      </c>
      <c r="H864" t="s">
        <v>15</v>
      </c>
      <c r="I864" t="str">
        <f t="shared" si="52"/>
        <v>2024-03</v>
      </c>
      <c r="J864" s="4">
        <f t="shared" si="53"/>
        <v>50.741999999999997</v>
      </c>
      <c r="K864" t="str" cm="1">
        <f t="array" ref="K864">_xlfn.IFS(G864&lt;=5, "Small", G864&lt;=15, "Medium", G864&gt;15, "Large")</f>
        <v>Large</v>
      </c>
      <c r="L864" t="str">
        <f t="shared" si="54"/>
        <v>Standard</v>
      </c>
      <c r="M864" t="str">
        <f t="shared" si="55"/>
        <v>Weekday</v>
      </c>
    </row>
    <row r="865" spans="1:13" x14ac:dyDescent="0.35">
      <c r="A865" t="s">
        <v>916</v>
      </c>
      <c r="B865" s="1">
        <v>45565</v>
      </c>
      <c r="C865" t="s">
        <v>14</v>
      </c>
      <c r="D865" t="s">
        <v>10</v>
      </c>
      <c r="E865" t="s">
        <v>18</v>
      </c>
      <c r="F865" s="4">
        <v>2700.8</v>
      </c>
      <c r="G865" s="5">
        <v>27</v>
      </c>
      <c r="H865" t="s">
        <v>15</v>
      </c>
      <c r="I865" t="str">
        <f t="shared" si="52"/>
        <v>2024-09</v>
      </c>
      <c r="J865" s="4">
        <f t="shared" si="53"/>
        <v>100.02962962962964</v>
      </c>
      <c r="K865" t="str" cm="1">
        <f t="array" ref="K865">_xlfn.IFS(G865&lt;=5, "Small", G865&lt;=15, "Medium", G865&gt;15, "Large")</f>
        <v>Large</v>
      </c>
      <c r="L865" t="str">
        <f t="shared" si="54"/>
        <v>Standard</v>
      </c>
      <c r="M865" t="str">
        <f t="shared" si="55"/>
        <v>Weekday</v>
      </c>
    </row>
    <row r="866" spans="1:13" x14ac:dyDescent="0.35">
      <c r="A866" t="s">
        <v>917</v>
      </c>
      <c r="B866" s="1">
        <v>45552</v>
      </c>
      <c r="C866" t="s">
        <v>60</v>
      </c>
      <c r="D866" t="s">
        <v>21</v>
      </c>
      <c r="E866" t="s">
        <v>11</v>
      </c>
      <c r="F866" s="4">
        <v>0</v>
      </c>
      <c r="G866" s="5">
        <v>4</v>
      </c>
      <c r="H866" t="s">
        <v>28</v>
      </c>
      <c r="I866" t="str">
        <f t="shared" si="52"/>
        <v>2024-09</v>
      </c>
      <c r="J866" s="4">
        <f t="shared" si="53"/>
        <v>0</v>
      </c>
      <c r="K866" t="str" cm="1">
        <f t="array" ref="K866">_xlfn.IFS(G866&lt;=5, "Small", G866&lt;=15, "Medium", G866&gt;15, "Large")</f>
        <v>Small</v>
      </c>
      <c r="L866" t="str">
        <f t="shared" si="54"/>
        <v>Standard</v>
      </c>
      <c r="M866" t="str">
        <f t="shared" si="55"/>
        <v>Weekday</v>
      </c>
    </row>
    <row r="867" spans="1:13" x14ac:dyDescent="0.35">
      <c r="A867" t="s">
        <v>918</v>
      </c>
      <c r="B867" s="1">
        <v>45099</v>
      </c>
      <c r="C867" t="s">
        <v>37</v>
      </c>
      <c r="D867" t="s">
        <v>21</v>
      </c>
      <c r="E867" t="s">
        <v>27</v>
      </c>
      <c r="F867" s="4">
        <v>0</v>
      </c>
      <c r="G867" s="5">
        <v>2</v>
      </c>
      <c r="H867" t="s">
        <v>12</v>
      </c>
      <c r="I867" t="str">
        <f t="shared" si="52"/>
        <v>2023-06</v>
      </c>
      <c r="J867" s="4">
        <f t="shared" si="53"/>
        <v>0</v>
      </c>
      <c r="K867" t="str" cm="1">
        <f t="array" ref="K867">_xlfn.IFS(G867&lt;=5, "Small", G867&lt;=15, "Medium", G867&gt;15, "Large")</f>
        <v>Small</v>
      </c>
      <c r="L867" t="str">
        <f t="shared" si="54"/>
        <v>Standard</v>
      </c>
      <c r="M867" t="str">
        <f t="shared" si="55"/>
        <v>Weekday</v>
      </c>
    </row>
    <row r="868" spans="1:13" x14ac:dyDescent="0.35">
      <c r="A868" t="s">
        <v>919</v>
      </c>
      <c r="B868" s="1">
        <v>45067</v>
      </c>
      <c r="C868" t="s">
        <v>78</v>
      </c>
      <c r="D868" t="s">
        <v>31</v>
      </c>
      <c r="E868" t="s">
        <v>11</v>
      </c>
      <c r="F868" s="4">
        <v>0</v>
      </c>
      <c r="G868" s="5">
        <v>3</v>
      </c>
      <c r="H868" t="s">
        <v>12</v>
      </c>
      <c r="I868" t="str">
        <f t="shared" si="52"/>
        <v>2023-05</v>
      </c>
      <c r="J868" s="4">
        <f t="shared" si="53"/>
        <v>0</v>
      </c>
      <c r="K868" t="str" cm="1">
        <f t="array" ref="K868">_xlfn.IFS(G868&lt;=5, "Small", G868&lt;=15, "Medium", G868&gt;15, "Large")</f>
        <v>Small</v>
      </c>
      <c r="L868" t="str">
        <f t="shared" si="54"/>
        <v>Standard</v>
      </c>
      <c r="M868" t="str">
        <f t="shared" si="55"/>
        <v>Weekend</v>
      </c>
    </row>
    <row r="869" spans="1:13" x14ac:dyDescent="0.35">
      <c r="A869" t="s">
        <v>920</v>
      </c>
      <c r="B869" s="1">
        <v>45422</v>
      </c>
      <c r="C869" t="s">
        <v>37</v>
      </c>
      <c r="D869" t="s">
        <v>21</v>
      </c>
      <c r="E869" t="s">
        <v>27</v>
      </c>
      <c r="F869" s="4">
        <v>32663.759999999998</v>
      </c>
      <c r="G869" s="5">
        <v>4</v>
      </c>
      <c r="H869" t="s">
        <v>15</v>
      </c>
      <c r="I869" t="str">
        <f t="shared" si="52"/>
        <v>2024-05</v>
      </c>
      <c r="J869" s="4">
        <f t="shared" si="53"/>
        <v>8165.94</v>
      </c>
      <c r="K869" t="str" cm="1">
        <f t="array" ref="K869">_xlfn.IFS(G869&lt;=5, "Small", G869&lt;=15, "Medium", G869&gt;15, "Large")</f>
        <v>Small</v>
      </c>
      <c r="L869" t="str">
        <f t="shared" si="54"/>
        <v>VIP</v>
      </c>
      <c r="M869" t="str">
        <f t="shared" si="55"/>
        <v>Weekday</v>
      </c>
    </row>
    <row r="870" spans="1:13" x14ac:dyDescent="0.35">
      <c r="A870" t="s">
        <v>921</v>
      </c>
      <c r="B870" s="1">
        <v>45113</v>
      </c>
      <c r="C870" t="s">
        <v>160</v>
      </c>
      <c r="D870" t="s">
        <v>26</v>
      </c>
      <c r="E870" t="s">
        <v>11</v>
      </c>
      <c r="F870" s="4">
        <v>3268.67</v>
      </c>
      <c r="G870" s="5">
        <v>6</v>
      </c>
      <c r="H870" t="s">
        <v>15</v>
      </c>
      <c r="I870" t="str">
        <f t="shared" si="52"/>
        <v>2023-07</v>
      </c>
      <c r="J870" s="4">
        <f t="shared" si="53"/>
        <v>544.77833333333331</v>
      </c>
      <c r="K870" t="str" cm="1">
        <f t="array" ref="K870">_xlfn.IFS(G870&lt;=5, "Small", G870&lt;=15, "Medium", G870&gt;15, "Large")</f>
        <v>Medium</v>
      </c>
      <c r="L870" t="str">
        <f t="shared" si="54"/>
        <v>Standard</v>
      </c>
      <c r="M870" t="str">
        <f t="shared" si="55"/>
        <v>Weekday</v>
      </c>
    </row>
    <row r="871" spans="1:13" x14ac:dyDescent="0.35">
      <c r="A871" t="s">
        <v>922</v>
      </c>
      <c r="B871" s="1">
        <v>45580</v>
      </c>
      <c r="C871" t="s">
        <v>45</v>
      </c>
      <c r="D871" t="s">
        <v>21</v>
      </c>
      <c r="E871" t="s">
        <v>27</v>
      </c>
      <c r="F871" s="4">
        <v>39825.61</v>
      </c>
      <c r="G871" s="5">
        <v>5</v>
      </c>
      <c r="H871" t="s">
        <v>15</v>
      </c>
      <c r="I871" t="str">
        <f t="shared" si="52"/>
        <v>2024-10</v>
      </c>
      <c r="J871" s="4">
        <f t="shared" si="53"/>
        <v>7965.1220000000003</v>
      </c>
      <c r="K871" t="str" cm="1">
        <f t="array" ref="K871">_xlfn.IFS(G871&lt;=5, "Small", G871&lt;=15, "Medium", G871&gt;15, "Large")</f>
        <v>Small</v>
      </c>
      <c r="L871" t="str">
        <f t="shared" si="54"/>
        <v>VIP</v>
      </c>
      <c r="M871" t="str">
        <f t="shared" si="55"/>
        <v>Weekday</v>
      </c>
    </row>
    <row r="872" spans="1:13" x14ac:dyDescent="0.35">
      <c r="A872" t="s">
        <v>923</v>
      </c>
      <c r="B872" s="1">
        <v>45349</v>
      </c>
      <c r="C872" t="s">
        <v>69</v>
      </c>
      <c r="D872" t="s">
        <v>31</v>
      </c>
      <c r="E872" t="s">
        <v>27</v>
      </c>
      <c r="F872" s="4">
        <v>31776.18</v>
      </c>
      <c r="G872" s="5">
        <v>3</v>
      </c>
      <c r="H872" t="s">
        <v>15</v>
      </c>
      <c r="I872" t="str">
        <f t="shared" si="52"/>
        <v>2024-02</v>
      </c>
      <c r="J872" s="4">
        <f t="shared" si="53"/>
        <v>10592.06</v>
      </c>
      <c r="K872" t="str" cm="1">
        <f t="array" ref="K872">_xlfn.IFS(G872&lt;=5, "Small", G872&lt;=15, "Medium", G872&gt;15, "Large")</f>
        <v>Small</v>
      </c>
      <c r="L872" t="str">
        <f t="shared" si="54"/>
        <v>VIP</v>
      </c>
      <c r="M872" t="str">
        <f t="shared" si="55"/>
        <v>Weekday</v>
      </c>
    </row>
    <row r="873" spans="1:13" x14ac:dyDescent="0.35">
      <c r="A873" t="s">
        <v>924</v>
      </c>
      <c r="B873" s="1">
        <v>44985</v>
      </c>
      <c r="C873" t="s">
        <v>45</v>
      </c>
      <c r="D873" t="s">
        <v>21</v>
      </c>
      <c r="E873" t="s">
        <v>27</v>
      </c>
      <c r="F873" s="4">
        <v>0</v>
      </c>
      <c r="G873" s="5">
        <v>1</v>
      </c>
      <c r="H873" t="s">
        <v>28</v>
      </c>
      <c r="I873" t="str">
        <f t="shared" si="52"/>
        <v>2023-02</v>
      </c>
      <c r="J873" s="4">
        <f t="shared" si="53"/>
        <v>0</v>
      </c>
      <c r="K873" t="str" cm="1">
        <f t="array" ref="K873">_xlfn.IFS(G873&lt;=5, "Small", G873&lt;=15, "Medium", G873&gt;15, "Large")</f>
        <v>Small</v>
      </c>
      <c r="L873" t="str">
        <f t="shared" si="54"/>
        <v>Standard</v>
      </c>
      <c r="M873" t="str">
        <f t="shared" si="55"/>
        <v>Weekday</v>
      </c>
    </row>
    <row r="874" spans="1:13" x14ac:dyDescent="0.35">
      <c r="A874" t="s">
        <v>925</v>
      </c>
      <c r="B874" s="1">
        <v>45575</v>
      </c>
      <c r="C874" t="s">
        <v>33</v>
      </c>
      <c r="D874" t="s">
        <v>10</v>
      </c>
      <c r="E874" t="s">
        <v>18</v>
      </c>
      <c r="F874" s="4">
        <v>1009.88</v>
      </c>
      <c r="G874" s="5">
        <v>30</v>
      </c>
      <c r="H874" t="s">
        <v>15</v>
      </c>
      <c r="I874" t="str">
        <f t="shared" si="52"/>
        <v>2024-10</v>
      </c>
      <c r="J874" s="4">
        <f t="shared" si="53"/>
        <v>33.662666666666667</v>
      </c>
      <c r="K874" t="str" cm="1">
        <f t="array" ref="K874">_xlfn.IFS(G874&lt;=5, "Small", G874&lt;=15, "Medium", G874&gt;15, "Large")</f>
        <v>Large</v>
      </c>
      <c r="L874" t="str">
        <f t="shared" si="54"/>
        <v>Standard</v>
      </c>
      <c r="M874" t="str">
        <f t="shared" si="55"/>
        <v>Weekday</v>
      </c>
    </row>
    <row r="875" spans="1:13" x14ac:dyDescent="0.35">
      <c r="A875" t="s">
        <v>926</v>
      </c>
      <c r="B875" s="1">
        <v>45626</v>
      </c>
      <c r="C875" t="s">
        <v>253</v>
      </c>
      <c r="D875" t="s">
        <v>21</v>
      </c>
      <c r="E875" t="s">
        <v>27</v>
      </c>
      <c r="F875" s="4">
        <v>31324.29</v>
      </c>
      <c r="G875" s="5">
        <v>3</v>
      </c>
      <c r="H875" t="s">
        <v>15</v>
      </c>
      <c r="I875" t="str">
        <f t="shared" si="52"/>
        <v>2024-11</v>
      </c>
      <c r="J875" s="4">
        <f t="shared" si="53"/>
        <v>10441.43</v>
      </c>
      <c r="K875" t="str" cm="1">
        <f t="array" ref="K875">_xlfn.IFS(G875&lt;=5, "Small", G875&lt;=15, "Medium", G875&gt;15, "Large")</f>
        <v>Small</v>
      </c>
      <c r="L875" t="str">
        <f t="shared" si="54"/>
        <v>VIP</v>
      </c>
      <c r="M875" t="str">
        <f t="shared" si="55"/>
        <v>Weekend</v>
      </c>
    </row>
    <row r="876" spans="1:13" x14ac:dyDescent="0.35">
      <c r="A876" t="s">
        <v>927</v>
      </c>
      <c r="B876" s="1">
        <v>45099</v>
      </c>
      <c r="C876" t="s">
        <v>69</v>
      </c>
      <c r="D876" t="s">
        <v>31</v>
      </c>
      <c r="E876" t="s">
        <v>18</v>
      </c>
      <c r="F876" s="4">
        <v>1935.58</v>
      </c>
      <c r="G876" s="5">
        <v>6</v>
      </c>
      <c r="H876" t="s">
        <v>15</v>
      </c>
      <c r="I876" t="str">
        <f t="shared" si="52"/>
        <v>2023-06</v>
      </c>
      <c r="J876" s="4">
        <f t="shared" si="53"/>
        <v>322.59666666666664</v>
      </c>
      <c r="K876" t="str" cm="1">
        <f t="array" ref="K876">_xlfn.IFS(G876&lt;=5, "Small", G876&lt;=15, "Medium", G876&gt;15, "Large")</f>
        <v>Medium</v>
      </c>
      <c r="L876" t="str">
        <f t="shared" si="54"/>
        <v>Standard</v>
      </c>
      <c r="M876" t="str">
        <f t="shared" si="55"/>
        <v>Weekday</v>
      </c>
    </row>
    <row r="877" spans="1:13" x14ac:dyDescent="0.35">
      <c r="A877" t="s">
        <v>928</v>
      </c>
      <c r="B877" s="1">
        <v>45344</v>
      </c>
      <c r="C877" t="s">
        <v>74</v>
      </c>
      <c r="D877" t="s">
        <v>31</v>
      </c>
      <c r="E877" t="s">
        <v>27</v>
      </c>
      <c r="F877" s="4">
        <v>2000.97</v>
      </c>
      <c r="G877" s="5">
        <v>1</v>
      </c>
      <c r="H877" t="s">
        <v>15</v>
      </c>
      <c r="I877" t="str">
        <f t="shared" si="52"/>
        <v>2024-02</v>
      </c>
      <c r="J877" s="4">
        <f t="shared" si="53"/>
        <v>2000.97</v>
      </c>
      <c r="K877" t="str" cm="1">
        <f t="array" ref="K877">_xlfn.IFS(G877&lt;=5, "Small", G877&lt;=15, "Medium", G877&gt;15, "Large")</f>
        <v>Small</v>
      </c>
      <c r="L877" t="str">
        <f t="shared" si="54"/>
        <v>Standard</v>
      </c>
      <c r="M877" t="str">
        <f t="shared" si="55"/>
        <v>Weekday</v>
      </c>
    </row>
    <row r="878" spans="1:13" x14ac:dyDescent="0.35">
      <c r="A878" t="s">
        <v>929</v>
      </c>
      <c r="B878" s="1">
        <v>45046</v>
      </c>
      <c r="C878" t="s">
        <v>175</v>
      </c>
      <c r="D878" t="s">
        <v>10</v>
      </c>
      <c r="E878" t="s">
        <v>11</v>
      </c>
      <c r="F878" s="4">
        <v>0</v>
      </c>
      <c r="G878" s="5">
        <v>5</v>
      </c>
      <c r="H878" t="s">
        <v>12</v>
      </c>
      <c r="I878" t="str">
        <f t="shared" si="52"/>
        <v>2023-04</v>
      </c>
      <c r="J878" s="4">
        <f t="shared" si="53"/>
        <v>0</v>
      </c>
      <c r="K878" t="str" cm="1">
        <f t="array" ref="K878">_xlfn.IFS(G878&lt;=5, "Small", G878&lt;=15, "Medium", G878&gt;15, "Large")</f>
        <v>Small</v>
      </c>
      <c r="L878" t="str">
        <f t="shared" si="54"/>
        <v>Standard</v>
      </c>
      <c r="M878" t="str">
        <f t="shared" si="55"/>
        <v>Weekend</v>
      </c>
    </row>
    <row r="879" spans="1:13" x14ac:dyDescent="0.35">
      <c r="A879" t="s">
        <v>930</v>
      </c>
      <c r="B879" s="1">
        <v>45437</v>
      </c>
      <c r="C879" t="s">
        <v>97</v>
      </c>
      <c r="D879" t="s">
        <v>21</v>
      </c>
      <c r="E879" t="s">
        <v>27</v>
      </c>
      <c r="F879" s="4">
        <v>12603.89</v>
      </c>
      <c r="G879" s="5">
        <v>2</v>
      </c>
      <c r="H879" t="s">
        <v>15</v>
      </c>
      <c r="I879" t="str">
        <f t="shared" si="52"/>
        <v>2024-05</v>
      </c>
      <c r="J879" s="4">
        <f t="shared" si="53"/>
        <v>6301.9449999999997</v>
      </c>
      <c r="K879" t="str" cm="1">
        <f t="array" ref="K879">_xlfn.IFS(G879&lt;=5, "Small", G879&lt;=15, "Medium", G879&gt;15, "Large")</f>
        <v>Small</v>
      </c>
      <c r="L879" t="str">
        <f t="shared" si="54"/>
        <v>Standard</v>
      </c>
      <c r="M879" t="str">
        <f t="shared" si="55"/>
        <v>Weekend</v>
      </c>
    </row>
    <row r="880" spans="1:13" x14ac:dyDescent="0.35">
      <c r="A880" t="s">
        <v>931</v>
      </c>
      <c r="B880" s="1">
        <v>45035</v>
      </c>
      <c r="C880" t="s">
        <v>20</v>
      </c>
      <c r="D880" t="s">
        <v>21</v>
      </c>
      <c r="E880" t="s">
        <v>11</v>
      </c>
      <c r="F880" s="4">
        <v>12735.14</v>
      </c>
      <c r="G880" s="5">
        <v>7</v>
      </c>
      <c r="H880" t="s">
        <v>15</v>
      </c>
      <c r="I880" t="str">
        <f t="shared" si="52"/>
        <v>2023-04</v>
      </c>
      <c r="J880" s="4">
        <f t="shared" si="53"/>
        <v>1819.3057142857142</v>
      </c>
      <c r="K880" t="str" cm="1">
        <f t="array" ref="K880">_xlfn.IFS(G880&lt;=5, "Small", G880&lt;=15, "Medium", G880&gt;15, "Large")</f>
        <v>Medium</v>
      </c>
      <c r="L880" t="str">
        <f t="shared" si="54"/>
        <v>Standard</v>
      </c>
      <c r="M880" t="str">
        <f t="shared" si="55"/>
        <v>Weekday</v>
      </c>
    </row>
    <row r="881" spans="1:13" x14ac:dyDescent="0.35">
      <c r="A881" t="s">
        <v>932</v>
      </c>
      <c r="B881" s="1">
        <v>45452</v>
      </c>
      <c r="C881" t="s">
        <v>69</v>
      </c>
      <c r="D881" t="s">
        <v>31</v>
      </c>
      <c r="E881" t="s">
        <v>18</v>
      </c>
      <c r="F881" s="4">
        <v>2725.46</v>
      </c>
      <c r="G881" s="5">
        <v>5</v>
      </c>
      <c r="H881" t="s">
        <v>15</v>
      </c>
      <c r="I881" t="str">
        <f t="shared" si="52"/>
        <v>2024-06</v>
      </c>
      <c r="J881" s="4">
        <f t="shared" si="53"/>
        <v>545.09199999999998</v>
      </c>
      <c r="K881" t="str" cm="1">
        <f t="array" ref="K881">_xlfn.IFS(G881&lt;=5, "Small", G881&lt;=15, "Medium", G881&gt;15, "Large")</f>
        <v>Small</v>
      </c>
      <c r="L881" t="str">
        <f t="shared" si="54"/>
        <v>Standard</v>
      </c>
      <c r="M881" t="str">
        <f t="shared" si="55"/>
        <v>Weekend</v>
      </c>
    </row>
    <row r="882" spans="1:13" x14ac:dyDescent="0.35">
      <c r="A882" t="s">
        <v>933</v>
      </c>
      <c r="B882" s="1">
        <v>44972</v>
      </c>
      <c r="C882" t="s">
        <v>17</v>
      </c>
      <c r="D882" t="s">
        <v>10</v>
      </c>
      <c r="E882" t="s">
        <v>18</v>
      </c>
      <c r="F882" s="4">
        <v>0</v>
      </c>
      <c r="G882" s="5">
        <v>28</v>
      </c>
      <c r="H882" t="s">
        <v>12</v>
      </c>
      <c r="I882" t="str">
        <f t="shared" si="52"/>
        <v>2023-02</v>
      </c>
      <c r="J882" s="4">
        <f t="shared" si="53"/>
        <v>0</v>
      </c>
      <c r="K882" t="str" cm="1">
        <f t="array" ref="K882">_xlfn.IFS(G882&lt;=5, "Small", G882&lt;=15, "Medium", G882&gt;15, "Large")</f>
        <v>Large</v>
      </c>
      <c r="L882" t="str">
        <f t="shared" si="54"/>
        <v>Standard</v>
      </c>
      <c r="M882" t="str">
        <f t="shared" si="55"/>
        <v>Weekday</v>
      </c>
    </row>
    <row r="883" spans="1:13" x14ac:dyDescent="0.35">
      <c r="A883" t="s">
        <v>934</v>
      </c>
      <c r="B883" s="1">
        <v>45588</v>
      </c>
      <c r="C883" t="s">
        <v>126</v>
      </c>
      <c r="D883" t="s">
        <v>21</v>
      </c>
      <c r="E883" t="s">
        <v>18</v>
      </c>
      <c r="F883" s="4">
        <v>1639.13</v>
      </c>
      <c r="G883" s="5">
        <v>28</v>
      </c>
      <c r="H883" t="s">
        <v>15</v>
      </c>
      <c r="I883" t="str">
        <f t="shared" si="52"/>
        <v>2024-10</v>
      </c>
      <c r="J883" s="4">
        <f t="shared" si="53"/>
        <v>58.540357142857147</v>
      </c>
      <c r="K883" t="str" cm="1">
        <f t="array" ref="K883">_xlfn.IFS(G883&lt;=5, "Small", G883&lt;=15, "Medium", G883&gt;15, "Large")</f>
        <v>Large</v>
      </c>
      <c r="L883" t="str">
        <f t="shared" si="54"/>
        <v>Standard</v>
      </c>
      <c r="M883" t="str">
        <f t="shared" si="55"/>
        <v>Weekday</v>
      </c>
    </row>
    <row r="884" spans="1:13" x14ac:dyDescent="0.35">
      <c r="A884" t="s">
        <v>935</v>
      </c>
      <c r="B884" s="1">
        <v>45045</v>
      </c>
      <c r="C884" t="s">
        <v>50</v>
      </c>
      <c r="D884" t="s">
        <v>26</v>
      </c>
      <c r="E884" t="s">
        <v>11</v>
      </c>
      <c r="F884" s="4">
        <v>8957.01</v>
      </c>
      <c r="G884" s="5">
        <v>5</v>
      </c>
      <c r="H884" t="s">
        <v>15</v>
      </c>
      <c r="I884" t="str">
        <f t="shared" si="52"/>
        <v>2023-04</v>
      </c>
      <c r="J884" s="4">
        <f t="shared" si="53"/>
        <v>1791.402</v>
      </c>
      <c r="K884" t="str" cm="1">
        <f t="array" ref="K884">_xlfn.IFS(G884&lt;=5, "Small", G884&lt;=15, "Medium", G884&gt;15, "Large")</f>
        <v>Small</v>
      </c>
      <c r="L884" t="str">
        <f t="shared" si="54"/>
        <v>Standard</v>
      </c>
      <c r="M884" t="str">
        <f t="shared" si="55"/>
        <v>Weekend</v>
      </c>
    </row>
    <row r="885" spans="1:13" x14ac:dyDescent="0.35">
      <c r="A885" t="s">
        <v>936</v>
      </c>
      <c r="B885" s="1">
        <v>45142</v>
      </c>
      <c r="C885" t="s">
        <v>69</v>
      </c>
      <c r="D885" t="s">
        <v>31</v>
      </c>
      <c r="E885" t="s">
        <v>18</v>
      </c>
      <c r="F885" s="4">
        <v>2987.53</v>
      </c>
      <c r="G885" s="5">
        <v>5</v>
      </c>
      <c r="H885" t="s">
        <v>15</v>
      </c>
      <c r="I885" t="str">
        <f t="shared" si="52"/>
        <v>2023-08</v>
      </c>
      <c r="J885" s="4">
        <f t="shared" si="53"/>
        <v>597.50600000000009</v>
      </c>
      <c r="K885" t="str" cm="1">
        <f t="array" ref="K885">_xlfn.IFS(G885&lt;=5, "Small", G885&lt;=15, "Medium", G885&gt;15, "Large")</f>
        <v>Small</v>
      </c>
      <c r="L885" t="str">
        <f t="shared" si="54"/>
        <v>Standard</v>
      </c>
      <c r="M885" t="str">
        <f t="shared" si="55"/>
        <v>Weekday</v>
      </c>
    </row>
    <row r="886" spans="1:13" x14ac:dyDescent="0.35">
      <c r="A886" t="s">
        <v>937</v>
      </c>
      <c r="B886" s="1">
        <v>45513</v>
      </c>
      <c r="C886" t="s">
        <v>69</v>
      </c>
      <c r="D886" t="s">
        <v>31</v>
      </c>
      <c r="E886" t="s">
        <v>11</v>
      </c>
      <c r="F886" s="4">
        <v>0</v>
      </c>
      <c r="G886" s="5">
        <v>7</v>
      </c>
      <c r="H886" t="s">
        <v>28</v>
      </c>
      <c r="I886" t="str">
        <f t="shared" si="52"/>
        <v>2024-08</v>
      </c>
      <c r="J886" s="4">
        <f t="shared" si="53"/>
        <v>0</v>
      </c>
      <c r="K886" t="str" cm="1">
        <f t="array" ref="K886">_xlfn.IFS(G886&lt;=5, "Small", G886&lt;=15, "Medium", G886&gt;15, "Large")</f>
        <v>Medium</v>
      </c>
      <c r="L886" t="str">
        <f t="shared" si="54"/>
        <v>Standard</v>
      </c>
      <c r="M886" t="str">
        <f t="shared" si="55"/>
        <v>Weekday</v>
      </c>
    </row>
    <row r="887" spans="1:13" x14ac:dyDescent="0.35">
      <c r="A887" t="s">
        <v>938</v>
      </c>
      <c r="B887" s="1">
        <v>45250</v>
      </c>
      <c r="C887" t="s">
        <v>25</v>
      </c>
      <c r="D887" t="s">
        <v>26</v>
      </c>
      <c r="E887" t="s">
        <v>18</v>
      </c>
      <c r="F887" s="4">
        <v>3011.83</v>
      </c>
      <c r="G887" s="5">
        <v>2</v>
      </c>
      <c r="H887" t="s">
        <v>15</v>
      </c>
      <c r="I887" t="str">
        <f t="shared" si="52"/>
        <v>2023-11</v>
      </c>
      <c r="J887" s="4">
        <f t="shared" si="53"/>
        <v>1505.915</v>
      </c>
      <c r="K887" t="str" cm="1">
        <f t="array" ref="K887">_xlfn.IFS(G887&lt;=5, "Small", G887&lt;=15, "Medium", G887&gt;15, "Large")</f>
        <v>Small</v>
      </c>
      <c r="L887" t="str">
        <f t="shared" si="54"/>
        <v>Standard</v>
      </c>
      <c r="M887" t="str">
        <f t="shared" si="55"/>
        <v>Weekday</v>
      </c>
    </row>
    <row r="888" spans="1:13" x14ac:dyDescent="0.35">
      <c r="A888" t="s">
        <v>939</v>
      </c>
      <c r="B888" s="1">
        <v>45366</v>
      </c>
      <c r="C888" t="s">
        <v>78</v>
      </c>
      <c r="D888" t="s">
        <v>10</v>
      </c>
      <c r="E888" t="s">
        <v>11</v>
      </c>
      <c r="F888" s="4">
        <v>0</v>
      </c>
      <c r="G888" s="5">
        <v>0</v>
      </c>
      <c r="H888" t="s">
        <v>15</v>
      </c>
      <c r="I888" t="str">
        <f t="shared" si="52"/>
        <v>2024-03</v>
      </c>
      <c r="J888" s="4">
        <f t="shared" si="53"/>
        <v>0</v>
      </c>
      <c r="K888" t="str" cm="1">
        <f t="array" ref="K888">_xlfn.IFS(G888&lt;=5, "Small", G888&lt;=15, "Medium", G888&gt;15, "Large")</f>
        <v>Small</v>
      </c>
      <c r="L888" t="str">
        <f t="shared" si="54"/>
        <v>Standard</v>
      </c>
      <c r="M888" t="str">
        <f t="shared" si="55"/>
        <v>Weekday</v>
      </c>
    </row>
    <row r="889" spans="1:13" x14ac:dyDescent="0.35">
      <c r="A889" t="s">
        <v>940</v>
      </c>
      <c r="B889" s="1">
        <v>44947</v>
      </c>
      <c r="C889" t="s">
        <v>42</v>
      </c>
      <c r="D889" t="s">
        <v>10</v>
      </c>
      <c r="E889" t="s">
        <v>11</v>
      </c>
      <c r="F889" s="4">
        <v>16546.759999999998</v>
      </c>
      <c r="G889" s="5">
        <v>4</v>
      </c>
      <c r="H889" t="s">
        <v>15</v>
      </c>
      <c r="I889" t="str">
        <f t="shared" si="52"/>
        <v>2023-01</v>
      </c>
      <c r="J889" s="4">
        <f t="shared" si="53"/>
        <v>4136.6899999999996</v>
      </c>
      <c r="K889" t="str" cm="1">
        <f t="array" ref="K889">_xlfn.IFS(G889&lt;=5, "Small", G889&lt;=15, "Medium", G889&gt;15, "Large")</f>
        <v>Small</v>
      </c>
      <c r="L889" t="str">
        <f t="shared" si="54"/>
        <v>Standard</v>
      </c>
      <c r="M889" t="str">
        <f t="shared" si="55"/>
        <v>Weekend</v>
      </c>
    </row>
    <row r="890" spans="1:13" x14ac:dyDescent="0.35">
      <c r="A890" t="s">
        <v>941</v>
      </c>
      <c r="B890" s="1">
        <v>45352</v>
      </c>
      <c r="C890" t="s">
        <v>166</v>
      </c>
      <c r="D890" t="s">
        <v>26</v>
      </c>
      <c r="E890" t="s">
        <v>18</v>
      </c>
      <c r="F890" s="4">
        <v>3073.79</v>
      </c>
      <c r="G890" s="5">
        <v>12</v>
      </c>
      <c r="H890" t="s">
        <v>15</v>
      </c>
      <c r="I890" t="str">
        <f t="shared" si="52"/>
        <v>2024-03</v>
      </c>
      <c r="J890" s="4">
        <f t="shared" si="53"/>
        <v>256.14916666666664</v>
      </c>
      <c r="K890" t="str" cm="1">
        <f t="array" ref="K890">_xlfn.IFS(G890&lt;=5, "Small", G890&lt;=15, "Medium", G890&gt;15, "Large")</f>
        <v>Medium</v>
      </c>
      <c r="L890" t="str">
        <f t="shared" si="54"/>
        <v>Standard</v>
      </c>
      <c r="M890" t="str">
        <f t="shared" si="55"/>
        <v>Weekday</v>
      </c>
    </row>
    <row r="891" spans="1:13" x14ac:dyDescent="0.35">
      <c r="A891" t="s">
        <v>942</v>
      </c>
      <c r="B891" s="1">
        <v>45389</v>
      </c>
      <c r="C891" t="s">
        <v>50</v>
      </c>
      <c r="D891" t="s">
        <v>26</v>
      </c>
      <c r="E891" t="s">
        <v>11</v>
      </c>
      <c r="F891" s="4">
        <v>3397.73</v>
      </c>
      <c r="G891" s="5">
        <v>6</v>
      </c>
      <c r="H891" t="s">
        <v>15</v>
      </c>
      <c r="I891" t="str">
        <f t="shared" si="52"/>
        <v>2024-04</v>
      </c>
      <c r="J891" s="4">
        <f t="shared" si="53"/>
        <v>566.2883333333333</v>
      </c>
      <c r="K891" t="str" cm="1">
        <f t="array" ref="K891">_xlfn.IFS(G891&lt;=5, "Small", G891&lt;=15, "Medium", G891&gt;15, "Large")</f>
        <v>Medium</v>
      </c>
      <c r="L891" t="str">
        <f t="shared" si="54"/>
        <v>Standard</v>
      </c>
      <c r="M891" t="str">
        <f t="shared" si="55"/>
        <v>Weekend</v>
      </c>
    </row>
    <row r="892" spans="1:13" x14ac:dyDescent="0.35">
      <c r="A892" t="s">
        <v>943</v>
      </c>
      <c r="B892" s="1">
        <v>45482</v>
      </c>
      <c r="C892" t="s">
        <v>9</v>
      </c>
      <c r="D892" t="s">
        <v>10</v>
      </c>
      <c r="E892" t="s">
        <v>18</v>
      </c>
      <c r="F892" s="4">
        <v>1935.84</v>
      </c>
      <c r="G892" s="5">
        <v>25</v>
      </c>
      <c r="H892" t="s">
        <v>15</v>
      </c>
      <c r="I892" t="str">
        <f t="shared" si="52"/>
        <v>2024-07</v>
      </c>
      <c r="J892" s="4">
        <f t="shared" si="53"/>
        <v>77.433599999999998</v>
      </c>
      <c r="K892" t="str" cm="1">
        <f t="array" ref="K892">_xlfn.IFS(G892&lt;=5, "Small", G892&lt;=15, "Medium", G892&gt;15, "Large")</f>
        <v>Large</v>
      </c>
      <c r="L892" t="str">
        <f t="shared" si="54"/>
        <v>Standard</v>
      </c>
      <c r="M892" t="str">
        <f t="shared" si="55"/>
        <v>Weekday</v>
      </c>
    </row>
    <row r="893" spans="1:13" x14ac:dyDescent="0.35">
      <c r="A893" t="s">
        <v>944</v>
      </c>
      <c r="B893" s="1">
        <v>45347</v>
      </c>
      <c r="C893" t="s">
        <v>78</v>
      </c>
      <c r="D893" t="s">
        <v>31</v>
      </c>
      <c r="E893" t="s">
        <v>11</v>
      </c>
      <c r="F893" s="4">
        <v>12782.53</v>
      </c>
      <c r="G893" s="5">
        <v>7</v>
      </c>
      <c r="H893" t="s">
        <v>15</v>
      </c>
      <c r="I893" t="str">
        <f t="shared" si="52"/>
        <v>2024-02</v>
      </c>
      <c r="J893" s="4">
        <f t="shared" si="53"/>
        <v>1826.0757142857144</v>
      </c>
      <c r="K893" t="str" cm="1">
        <f t="array" ref="K893">_xlfn.IFS(G893&lt;=5, "Small", G893&lt;=15, "Medium", G893&gt;15, "Large")</f>
        <v>Medium</v>
      </c>
      <c r="L893" t="str">
        <f t="shared" si="54"/>
        <v>Standard</v>
      </c>
      <c r="M893" t="str">
        <f t="shared" si="55"/>
        <v>Weekend</v>
      </c>
    </row>
    <row r="894" spans="1:13" x14ac:dyDescent="0.35">
      <c r="A894" t="s">
        <v>945</v>
      </c>
      <c r="B894" s="1">
        <v>45507</v>
      </c>
      <c r="C894" t="s">
        <v>72</v>
      </c>
      <c r="D894" t="s">
        <v>26</v>
      </c>
      <c r="E894" t="s">
        <v>18</v>
      </c>
      <c r="F894" s="4">
        <v>1641.36</v>
      </c>
      <c r="G894" s="5">
        <v>18</v>
      </c>
      <c r="H894" t="s">
        <v>15</v>
      </c>
      <c r="I894" t="str">
        <f t="shared" si="52"/>
        <v>2024-08</v>
      </c>
      <c r="J894" s="4">
        <f t="shared" si="53"/>
        <v>91.186666666666667</v>
      </c>
      <c r="K894" t="str" cm="1">
        <f t="array" ref="K894">_xlfn.IFS(G894&lt;=5, "Small", G894&lt;=15, "Medium", G894&gt;15, "Large")</f>
        <v>Large</v>
      </c>
      <c r="L894" t="str">
        <f t="shared" si="54"/>
        <v>Standard</v>
      </c>
      <c r="M894" t="str">
        <f t="shared" si="55"/>
        <v>Weekend</v>
      </c>
    </row>
    <row r="895" spans="1:13" x14ac:dyDescent="0.35">
      <c r="A895" t="s">
        <v>946</v>
      </c>
      <c r="B895" s="1">
        <v>45604</v>
      </c>
      <c r="C895" t="s">
        <v>53</v>
      </c>
      <c r="D895" t="s">
        <v>31</v>
      </c>
      <c r="E895" t="s">
        <v>27</v>
      </c>
      <c r="F895" s="4">
        <v>20654.79</v>
      </c>
      <c r="G895" s="5">
        <v>4</v>
      </c>
      <c r="H895" t="s">
        <v>15</v>
      </c>
      <c r="I895" t="str">
        <f t="shared" si="52"/>
        <v>2024-11</v>
      </c>
      <c r="J895" s="4">
        <f t="shared" si="53"/>
        <v>5163.6975000000002</v>
      </c>
      <c r="K895" t="str" cm="1">
        <f t="array" ref="K895">_xlfn.IFS(G895&lt;=5, "Small", G895&lt;=15, "Medium", G895&gt;15, "Large")</f>
        <v>Small</v>
      </c>
      <c r="L895" t="str">
        <f t="shared" si="54"/>
        <v>Standard</v>
      </c>
      <c r="M895" t="str">
        <f t="shared" si="55"/>
        <v>Weekday</v>
      </c>
    </row>
    <row r="896" spans="1:13" x14ac:dyDescent="0.35">
      <c r="A896" t="s">
        <v>947</v>
      </c>
      <c r="B896" s="1">
        <v>45337</v>
      </c>
      <c r="C896" t="s">
        <v>82</v>
      </c>
      <c r="D896" t="s">
        <v>10</v>
      </c>
      <c r="E896" t="s">
        <v>18</v>
      </c>
      <c r="F896" s="4">
        <v>890.73</v>
      </c>
      <c r="G896" s="5">
        <v>6</v>
      </c>
      <c r="H896" t="s">
        <v>15</v>
      </c>
      <c r="I896" t="str">
        <f t="shared" si="52"/>
        <v>2024-02</v>
      </c>
      <c r="J896" s="4">
        <f t="shared" si="53"/>
        <v>148.45500000000001</v>
      </c>
      <c r="K896" t="str" cm="1">
        <f t="array" ref="K896">_xlfn.IFS(G896&lt;=5, "Small", G896&lt;=15, "Medium", G896&gt;15, "Large")</f>
        <v>Medium</v>
      </c>
      <c r="L896" t="str">
        <f t="shared" si="54"/>
        <v>Standard</v>
      </c>
      <c r="M896" t="str">
        <f t="shared" si="55"/>
        <v>Weekday</v>
      </c>
    </row>
    <row r="897" spans="1:13" x14ac:dyDescent="0.35">
      <c r="A897" t="s">
        <v>682</v>
      </c>
      <c r="B897" s="1">
        <v>45060</v>
      </c>
      <c r="C897" t="s">
        <v>48</v>
      </c>
      <c r="D897" t="s">
        <v>31</v>
      </c>
      <c r="E897" t="s">
        <v>27</v>
      </c>
      <c r="F897" s="4">
        <v>5658.74</v>
      </c>
      <c r="G897" s="5">
        <v>1</v>
      </c>
      <c r="H897" t="s">
        <v>15</v>
      </c>
      <c r="I897" t="str">
        <f t="shared" si="52"/>
        <v>2023-05</v>
      </c>
      <c r="J897" s="4">
        <f t="shared" si="53"/>
        <v>5658.74</v>
      </c>
      <c r="K897" t="str" cm="1">
        <f t="array" ref="K897">_xlfn.IFS(G897&lt;=5, "Small", G897&lt;=15, "Medium", G897&gt;15, "Large")</f>
        <v>Small</v>
      </c>
      <c r="L897" t="str">
        <f t="shared" si="54"/>
        <v>Standard</v>
      </c>
      <c r="M897" t="str">
        <f t="shared" si="55"/>
        <v>Weekend</v>
      </c>
    </row>
    <row r="898" spans="1:13" x14ac:dyDescent="0.35">
      <c r="A898" t="s">
        <v>948</v>
      </c>
      <c r="B898" s="1">
        <v>45386</v>
      </c>
      <c r="C898" t="s">
        <v>175</v>
      </c>
      <c r="D898" t="s">
        <v>10</v>
      </c>
      <c r="E898" t="s">
        <v>11</v>
      </c>
      <c r="F898" s="4">
        <v>0</v>
      </c>
      <c r="G898" s="5">
        <v>1</v>
      </c>
      <c r="H898" t="s">
        <v>28</v>
      </c>
      <c r="I898" t="str">
        <f t="shared" si="52"/>
        <v>2024-04</v>
      </c>
      <c r="J898" s="4">
        <f t="shared" si="53"/>
        <v>0</v>
      </c>
      <c r="K898" t="str" cm="1">
        <f t="array" ref="K898">_xlfn.IFS(G898&lt;=5, "Small", G898&lt;=15, "Medium", G898&gt;15, "Large")</f>
        <v>Small</v>
      </c>
      <c r="L898" t="str">
        <f t="shared" si="54"/>
        <v>Standard</v>
      </c>
      <c r="M898" t="str">
        <f t="shared" si="55"/>
        <v>Weekday</v>
      </c>
    </row>
    <row r="899" spans="1:13" x14ac:dyDescent="0.35">
      <c r="A899" t="s">
        <v>949</v>
      </c>
      <c r="B899" s="1">
        <v>44933</v>
      </c>
      <c r="C899" t="s">
        <v>48</v>
      </c>
      <c r="D899" t="s">
        <v>31</v>
      </c>
      <c r="E899" t="s">
        <v>11</v>
      </c>
      <c r="F899" s="4">
        <v>6870.18</v>
      </c>
      <c r="G899" s="5">
        <v>6</v>
      </c>
      <c r="H899" t="s">
        <v>15</v>
      </c>
      <c r="I899" t="str">
        <f t="shared" ref="I899:I962" si="56">TEXT(B899, "YYYY-MM")</f>
        <v>2023-01</v>
      </c>
      <c r="J899" s="4">
        <f t="shared" ref="J899:J962" si="57">IFERROR(F899/G899, 0)</f>
        <v>1145.03</v>
      </c>
      <c r="K899" t="str" cm="1">
        <f t="array" ref="K899">_xlfn.IFS(G899&lt;=5, "Small", G899&lt;=15, "Medium", G899&gt;15, "Large")</f>
        <v>Medium</v>
      </c>
      <c r="L899" t="str">
        <f t="shared" ref="L899:L962" si="58">IF(F899&gt;_xlfn.PERCENTILE.INC($F$2:$F$10000, 0.9), "VIP", "Standard")</f>
        <v>Standard</v>
      </c>
      <c r="M899" t="str">
        <f t="shared" ref="M899:M962" si="59">IF(WEEKDAY(B899, 2)&gt;5, "Weekend", "Weekday")</f>
        <v>Weekend</v>
      </c>
    </row>
    <row r="900" spans="1:13" x14ac:dyDescent="0.35">
      <c r="A900" t="s">
        <v>950</v>
      </c>
      <c r="B900" s="1">
        <v>45528</v>
      </c>
      <c r="C900" t="s">
        <v>60</v>
      </c>
      <c r="D900" t="s">
        <v>21</v>
      </c>
      <c r="E900" t="s">
        <v>11</v>
      </c>
      <c r="F900" s="4">
        <v>0</v>
      </c>
      <c r="G900" s="5">
        <v>3</v>
      </c>
      <c r="H900" t="s">
        <v>12</v>
      </c>
      <c r="I900" t="str">
        <f t="shared" si="56"/>
        <v>2024-08</v>
      </c>
      <c r="J900" s="4">
        <f t="shared" si="57"/>
        <v>0</v>
      </c>
      <c r="K900" t="str" cm="1">
        <f t="array" ref="K900">_xlfn.IFS(G900&lt;=5, "Small", G900&lt;=15, "Medium", G900&gt;15, "Large")</f>
        <v>Small</v>
      </c>
      <c r="L900" t="str">
        <f t="shared" si="58"/>
        <v>Standard</v>
      </c>
      <c r="M900" t="str">
        <f t="shared" si="59"/>
        <v>Weekend</v>
      </c>
    </row>
    <row r="901" spans="1:13" x14ac:dyDescent="0.35">
      <c r="A901" t="s">
        <v>951</v>
      </c>
      <c r="B901" s="1">
        <v>45589</v>
      </c>
      <c r="C901" t="s">
        <v>162</v>
      </c>
      <c r="D901" t="s">
        <v>26</v>
      </c>
      <c r="E901" t="s">
        <v>18</v>
      </c>
      <c r="F901" s="4">
        <v>0</v>
      </c>
      <c r="G901" s="5">
        <v>26</v>
      </c>
      <c r="H901" t="s">
        <v>28</v>
      </c>
      <c r="I901" t="str">
        <f t="shared" si="56"/>
        <v>2024-10</v>
      </c>
      <c r="J901" s="4">
        <f t="shared" si="57"/>
        <v>0</v>
      </c>
      <c r="K901" t="str" cm="1">
        <f t="array" ref="K901">_xlfn.IFS(G901&lt;=5, "Small", G901&lt;=15, "Medium", G901&gt;15, "Large")</f>
        <v>Large</v>
      </c>
      <c r="L901" t="str">
        <f t="shared" si="58"/>
        <v>Standard</v>
      </c>
      <c r="M901" t="str">
        <f t="shared" si="59"/>
        <v>Weekday</v>
      </c>
    </row>
    <row r="902" spans="1:13" x14ac:dyDescent="0.35">
      <c r="A902" t="s">
        <v>952</v>
      </c>
      <c r="B902" s="1">
        <v>45543</v>
      </c>
      <c r="C902" t="s">
        <v>162</v>
      </c>
      <c r="D902" t="s">
        <v>26</v>
      </c>
      <c r="E902" t="s">
        <v>11</v>
      </c>
      <c r="F902" s="4">
        <v>5209.8999999999996</v>
      </c>
      <c r="G902" s="5">
        <v>7</v>
      </c>
      <c r="H902" t="s">
        <v>15</v>
      </c>
      <c r="I902" t="str">
        <f t="shared" si="56"/>
        <v>2024-09</v>
      </c>
      <c r="J902" s="4">
        <f t="shared" si="57"/>
        <v>744.27142857142849</v>
      </c>
      <c r="K902" t="str" cm="1">
        <f t="array" ref="K902">_xlfn.IFS(G902&lt;=5, "Small", G902&lt;=15, "Medium", G902&gt;15, "Large")</f>
        <v>Medium</v>
      </c>
      <c r="L902" t="str">
        <f t="shared" si="58"/>
        <v>Standard</v>
      </c>
      <c r="M902" t="str">
        <f t="shared" si="59"/>
        <v>Weekend</v>
      </c>
    </row>
    <row r="903" spans="1:13" x14ac:dyDescent="0.35">
      <c r="A903" t="s">
        <v>953</v>
      </c>
      <c r="B903" s="1">
        <v>45315</v>
      </c>
      <c r="C903" t="s">
        <v>62</v>
      </c>
      <c r="D903" t="s">
        <v>10</v>
      </c>
      <c r="E903" t="s">
        <v>27</v>
      </c>
      <c r="F903" s="4">
        <v>4226.59</v>
      </c>
      <c r="G903" s="5">
        <v>1</v>
      </c>
      <c r="H903" t="s">
        <v>15</v>
      </c>
      <c r="I903" t="str">
        <f t="shared" si="56"/>
        <v>2024-01</v>
      </c>
      <c r="J903" s="4">
        <f t="shared" si="57"/>
        <v>4226.59</v>
      </c>
      <c r="K903" t="str" cm="1">
        <f t="array" ref="K903">_xlfn.IFS(G903&lt;=5, "Small", G903&lt;=15, "Medium", G903&gt;15, "Large")</f>
        <v>Small</v>
      </c>
      <c r="L903" t="str">
        <f t="shared" si="58"/>
        <v>Standard</v>
      </c>
      <c r="M903" t="str">
        <f t="shared" si="59"/>
        <v>Weekday</v>
      </c>
    </row>
    <row r="904" spans="1:13" x14ac:dyDescent="0.35">
      <c r="A904" t="s">
        <v>954</v>
      </c>
      <c r="B904" s="1">
        <v>45101</v>
      </c>
      <c r="C904" t="s">
        <v>111</v>
      </c>
      <c r="D904" t="s">
        <v>31</v>
      </c>
      <c r="E904" t="s">
        <v>18</v>
      </c>
      <c r="F904" s="4">
        <v>0</v>
      </c>
      <c r="G904" s="5">
        <v>19</v>
      </c>
      <c r="H904" t="s">
        <v>12</v>
      </c>
      <c r="I904" t="str">
        <f t="shared" si="56"/>
        <v>2023-06</v>
      </c>
      <c r="J904" s="4">
        <f t="shared" si="57"/>
        <v>0</v>
      </c>
      <c r="K904" t="str" cm="1">
        <f t="array" ref="K904">_xlfn.IFS(G904&lt;=5, "Small", G904&lt;=15, "Medium", G904&gt;15, "Large")</f>
        <v>Large</v>
      </c>
      <c r="L904" t="str">
        <f t="shared" si="58"/>
        <v>Standard</v>
      </c>
      <c r="M904" t="str">
        <f t="shared" si="59"/>
        <v>Weekend</v>
      </c>
    </row>
    <row r="905" spans="1:13" x14ac:dyDescent="0.35">
      <c r="A905" t="s">
        <v>955</v>
      </c>
      <c r="B905" s="1">
        <v>45188</v>
      </c>
      <c r="C905" t="s">
        <v>89</v>
      </c>
      <c r="D905" t="s">
        <v>21</v>
      </c>
      <c r="E905" t="s">
        <v>11</v>
      </c>
      <c r="F905" s="4">
        <v>16251.41</v>
      </c>
      <c r="G905" s="5">
        <v>3</v>
      </c>
      <c r="H905" t="s">
        <v>15</v>
      </c>
      <c r="I905" t="str">
        <f t="shared" si="56"/>
        <v>2023-09</v>
      </c>
      <c r="J905" s="4">
        <f t="shared" si="57"/>
        <v>5417.1366666666663</v>
      </c>
      <c r="K905" t="str" cm="1">
        <f t="array" ref="K905">_xlfn.IFS(G905&lt;=5, "Small", G905&lt;=15, "Medium", G905&gt;15, "Large")</f>
        <v>Small</v>
      </c>
      <c r="L905" t="str">
        <f t="shared" si="58"/>
        <v>Standard</v>
      </c>
      <c r="M905" t="str">
        <f t="shared" si="59"/>
        <v>Weekday</v>
      </c>
    </row>
    <row r="906" spans="1:13" x14ac:dyDescent="0.35">
      <c r="A906" t="s">
        <v>956</v>
      </c>
      <c r="B906" s="1">
        <v>45440</v>
      </c>
      <c r="C906" t="s">
        <v>55</v>
      </c>
      <c r="D906" t="s">
        <v>10</v>
      </c>
      <c r="E906" t="s">
        <v>11</v>
      </c>
      <c r="F906" s="4">
        <v>16478.669999999998</v>
      </c>
      <c r="G906" s="5">
        <v>8</v>
      </c>
      <c r="H906" t="s">
        <v>15</v>
      </c>
      <c r="I906" t="str">
        <f t="shared" si="56"/>
        <v>2024-05</v>
      </c>
      <c r="J906" s="4">
        <f t="shared" si="57"/>
        <v>2059.8337499999998</v>
      </c>
      <c r="K906" t="str" cm="1">
        <f t="array" ref="K906">_xlfn.IFS(G906&lt;=5, "Small", G906&lt;=15, "Medium", G906&gt;15, "Large")</f>
        <v>Medium</v>
      </c>
      <c r="L906" t="str">
        <f t="shared" si="58"/>
        <v>Standard</v>
      </c>
      <c r="M906" t="str">
        <f t="shared" si="59"/>
        <v>Weekday</v>
      </c>
    </row>
    <row r="907" spans="1:13" x14ac:dyDescent="0.35">
      <c r="A907" t="s">
        <v>957</v>
      </c>
      <c r="B907" s="1">
        <v>45502</v>
      </c>
      <c r="C907" t="s">
        <v>60</v>
      </c>
      <c r="D907" t="s">
        <v>21</v>
      </c>
      <c r="E907" t="s">
        <v>11</v>
      </c>
      <c r="F907" s="4">
        <v>0</v>
      </c>
      <c r="G907" s="5">
        <v>8</v>
      </c>
      <c r="H907" t="s">
        <v>12</v>
      </c>
      <c r="I907" t="str">
        <f t="shared" si="56"/>
        <v>2024-07</v>
      </c>
      <c r="J907" s="4">
        <f t="shared" si="57"/>
        <v>0</v>
      </c>
      <c r="K907" t="str" cm="1">
        <f t="array" ref="K907">_xlfn.IFS(G907&lt;=5, "Small", G907&lt;=15, "Medium", G907&gt;15, "Large")</f>
        <v>Medium</v>
      </c>
      <c r="L907" t="str">
        <f t="shared" si="58"/>
        <v>Standard</v>
      </c>
      <c r="M907" t="str">
        <f t="shared" si="59"/>
        <v>Weekday</v>
      </c>
    </row>
    <row r="908" spans="1:13" x14ac:dyDescent="0.35">
      <c r="A908" t="s">
        <v>958</v>
      </c>
      <c r="B908" s="1">
        <v>45121</v>
      </c>
      <c r="C908" t="s">
        <v>53</v>
      </c>
      <c r="D908" t="s">
        <v>31</v>
      </c>
      <c r="E908" t="s">
        <v>27</v>
      </c>
      <c r="F908" s="4">
        <v>26399.77</v>
      </c>
      <c r="G908" s="5">
        <v>5</v>
      </c>
      <c r="H908" t="s">
        <v>15</v>
      </c>
      <c r="I908" t="str">
        <f t="shared" si="56"/>
        <v>2023-07</v>
      </c>
      <c r="J908" s="4">
        <f t="shared" si="57"/>
        <v>5279.9539999999997</v>
      </c>
      <c r="K908" t="str" cm="1">
        <f t="array" ref="K908">_xlfn.IFS(G908&lt;=5, "Small", G908&lt;=15, "Medium", G908&gt;15, "Large")</f>
        <v>Small</v>
      </c>
      <c r="L908" t="str">
        <f t="shared" si="58"/>
        <v>Standard</v>
      </c>
      <c r="M908" t="str">
        <f t="shared" si="59"/>
        <v>Weekday</v>
      </c>
    </row>
    <row r="909" spans="1:13" x14ac:dyDescent="0.35">
      <c r="A909" t="s">
        <v>959</v>
      </c>
      <c r="B909" s="1">
        <v>45268</v>
      </c>
      <c r="C909" t="s">
        <v>115</v>
      </c>
      <c r="D909" t="s">
        <v>10</v>
      </c>
      <c r="E909" t="s">
        <v>27</v>
      </c>
      <c r="F909" s="4">
        <v>0</v>
      </c>
      <c r="G909" s="5">
        <v>2</v>
      </c>
      <c r="H909" t="s">
        <v>28</v>
      </c>
      <c r="I909" t="str">
        <f t="shared" si="56"/>
        <v>2023-12</v>
      </c>
      <c r="J909" s="4">
        <f t="shared" si="57"/>
        <v>0</v>
      </c>
      <c r="K909" t="str" cm="1">
        <f t="array" ref="K909">_xlfn.IFS(G909&lt;=5, "Small", G909&lt;=15, "Medium", G909&gt;15, "Large")</f>
        <v>Small</v>
      </c>
      <c r="L909" t="str">
        <f t="shared" si="58"/>
        <v>Standard</v>
      </c>
      <c r="M909" t="str">
        <f t="shared" si="59"/>
        <v>Weekday</v>
      </c>
    </row>
    <row r="910" spans="1:13" x14ac:dyDescent="0.35">
      <c r="A910" t="s">
        <v>960</v>
      </c>
      <c r="B910" s="1">
        <v>45245</v>
      </c>
      <c r="C910" t="s">
        <v>30</v>
      </c>
      <c r="D910" t="s">
        <v>31</v>
      </c>
      <c r="E910" t="s">
        <v>11</v>
      </c>
      <c r="F910" s="4">
        <v>10491.6</v>
      </c>
      <c r="G910" s="5">
        <v>7</v>
      </c>
      <c r="H910" t="s">
        <v>15</v>
      </c>
      <c r="I910" t="str">
        <f t="shared" si="56"/>
        <v>2023-11</v>
      </c>
      <c r="J910" s="4">
        <f t="shared" si="57"/>
        <v>1498.8</v>
      </c>
      <c r="K910" t="str" cm="1">
        <f t="array" ref="K910">_xlfn.IFS(G910&lt;=5, "Small", G910&lt;=15, "Medium", G910&gt;15, "Large")</f>
        <v>Medium</v>
      </c>
      <c r="L910" t="str">
        <f t="shared" si="58"/>
        <v>Standard</v>
      </c>
      <c r="M910" t="str">
        <f t="shared" si="59"/>
        <v>Weekday</v>
      </c>
    </row>
    <row r="911" spans="1:13" x14ac:dyDescent="0.35">
      <c r="A911" t="s">
        <v>961</v>
      </c>
      <c r="B911" s="1">
        <v>45612</v>
      </c>
      <c r="C911" t="s">
        <v>25</v>
      </c>
      <c r="D911" t="s">
        <v>26</v>
      </c>
      <c r="E911" t="s">
        <v>27</v>
      </c>
      <c r="F911" s="4">
        <v>0</v>
      </c>
      <c r="G911" s="5">
        <v>1</v>
      </c>
      <c r="H911" t="s">
        <v>28</v>
      </c>
      <c r="I911" t="str">
        <f t="shared" si="56"/>
        <v>2024-11</v>
      </c>
      <c r="J911" s="4">
        <f t="shared" si="57"/>
        <v>0</v>
      </c>
      <c r="K911" t="str" cm="1">
        <f t="array" ref="K911">_xlfn.IFS(G911&lt;=5, "Small", G911&lt;=15, "Medium", G911&gt;15, "Large")</f>
        <v>Small</v>
      </c>
      <c r="L911" t="str">
        <f t="shared" si="58"/>
        <v>Standard</v>
      </c>
      <c r="M911" t="str">
        <f t="shared" si="59"/>
        <v>Weekend</v>
      </c>
    </row>
    <row r="912" spans="1:13" x14ac:dyDescent="0.35">
      <c r="A912" t="s">
        <v>962</v>
      </c>
      <c r="B912" s="1">
        <v>45299</v>
      </c>
      <c r="C912" t="s">
        <v>72</v>
      </c>
      <c r="D912" t="s">
        <v>26</v>
      </c>
      <c r="E912" t="s">
        <v>11</v>
      </c>
      <c r="F912" s="4">
        <v>8536.75</v>
      </c>
      <c r="G912" s="5">
        <v>1</v>
      </c>
      <c r="H912" t="s">
        <v>15</v>
      </c>
      <c r="I912" t="str">
        <f t="shared" si="56"/>
        <v>2024-01</v>
      </c>
      <c r="J912" s="4">
        <f t="shared" si="57"/>
        <v>8536.75</v>
      </c>
      <c r="K912" t="str" cm="1">
        <f t="array" ref="K912">_xlfn.IFS(G912&lt;=5, "Small", G912&lt;=15, "Medium", G912&gt;15, "Large")</f>
        <v>Small</v>
      </c>
      <c r="L912" t="str">
        <f t="shared" si="58"/>
        <v>Standard</v>
      </c>
      <c r="M912" t="str">
        <f t="shared" si="59"/>
        <v>Weekday</v>
      </c>
    </row>
    <row r="913" spans="1:13" x14ac:dyDescent="0.35">
      <c r="A913" t="s">
        <v>963</v>
      </c>
      <c r="B913" s="1">
        <v>45368</v>
      </c>
      <c r="C913" t="s">
        <v>97</v>
      </c>
      <c r="D913" t="s">
        <v>21</v>
      </c>
      <c r="E913" t="s">
        <v>18</v>
      </c>
      <c r="F913" s="4">
        <v>1457.75</v>
      </c>
      <c r="G913" s="5">
        <v>1</v>
      </c>
      <c r="H913" t="s">
        <v>15</v>
      </c>
      <c r="I913" t="str">
        <f t="shared" si="56"/>
        <v>2024-03</v>
      </c>
      <c r="J913" s="4">
        <f t="shared" si="57"/>
        <v>1457.75</v>
      </c>
      <c r="K913" t="str" cm="1">
        <f t="array" ref="K913">_xlfn.IFS(G913&lt;=5, "Small", G913&lt;=15, "Medium", G913&gt;15, "Large")</f>
        <v>Small</v>
      </c>
      <c r="L913" t="str">
        <f t="shared" si="58"/>
        <v>Standard</v>
      </c>
      <c r="M913" t="str">
        <f t="shared" si="59"/>
        <v>Weekend</v>
      </c>
    </row>
    <row r="914" spans="1:13" x14ac:dyDescent="0.35">
      <c r="A914" t="s">
        <v>964</v>
      </c>
      <c r="B914" s="1">
        <v>45584</v>
      </c>
      <c r="C914" t="s">
        <v>50</v>
      </c>
      <c r="D914" t="s">
        <v>26</v>
      </c>
      <c r="E914" t="s">
        <v>27</v>
      </c>
      <c r="F914" s="4">
        <v>35281.39</v>
      </c>
      <c r="G914" s="5">
        <v>3</v>
      </c>
      <c r="H914" t="s">
        <v>15</v>
      </c>
      <c r="I914" t="str">
        <f t="shared" si="56"/>
        <v>2024-10</v>
      </c>
      <c r="J914" s="4">
        <f t="shared" si="57"/>
        <v>11760.463333333333</v>
      </c>
      <c r="K914" t="str" cm="1">
        <f t="array" ref="K914">_xlfn.IFS(G914&lt;=5, "Small", G914&lt;=15, "Medium", G914&gt;15, "Large")</f>
        <v>Small</v>
      </c>
      <c r="L914" t="str">
        <f t="shared" si="58"/>
        <v>VIP</v>
      </c>
      <c r="M914" t="str">
        <f t="shared" si="59"/>
        <v>Weekend</v>
      </c>
    </row>
    <row r="915" spans="1:13" x14ac:dyDescent="0.35">
      <c r="A915" t="s">
        <v>965</v>
      </c>
      <c r="B915" s="1">
        <v>45030</v>
      </c>
      <c r="C915" t="s">
        <v>253</v>
      </c>
      <c r="D915" t="s">
        <v>21</v>
      </c>
      <c r="E915" t="s">
        <v>11</v>
      </c>
      <c r="F915" s="4">
        <v>17799.39</v>
      </c>
      <c r="G915" s="5">
        <v>5</v>
      </c>
      <c r="H915" t="s">
        <v>15</v>
      </c>
      <c r="I915" t="str">
        <f t="shared" si="56"/>
        <v>2023-04</v>
      </c>
      <c r="J915" s="4">
        <f t="shared" si="57"/>
        <v>3559.8779999999997</v>
      </c>
      <c r="K915" t="str" cm="1">
        <f t="array" ref="K915">_xlfn.IFS(G915&lt;=5, "Small", G915&lt;=15, "Medium", G915&gt;15, "Large")</f>
        <v>Small</v>
      </c>
      <c r="L915" t="str">
        <f t="shared" si="58"/>
        <v>Standard</v>
      </c>
      <c r="M915" t="str">
        <f t="shared" si="59"/>
        <v>Weekday</v>
      </c>
    </row>
    <row r="916" spans="1:13" x14ac:dyDescent="0.35">
      <c r="A916" t="s">
        <v>966</v>
      </c>
      <c r="B916" s="1">
        <v>45199</v>
      </c>
      <c r="C916" t="s">
        <v>84</v>
      </c>
      <c r="D916" t="s">
        <v>26</v>
      </c>
      <c r="E916" t="s">
        <v>11</v>
      </c>
      <c r="F916" s="4">
        <v>6683.39</v>
      </c>
      <c r="G916" s="5">
        <v>4</v>
      </c>
      <c r="H916" t="s">
        <v>15</v>
      </c>
      <c r="I916" t="str">
        <f t="shared" si="56"/>
        <v>2023-09</v>
      </c>
      <c r="J916" s="4">
        <f t="shared" si="57"/>
        <v>1670.8475000000001</v>
      </c>
      <c r="K916" t="str" cm="1">
        <f t="array" ref="K916">_xlfn.IFS(G916&lt;=5, "Small", G916&lt;=15, "Medium", G916&gt;15, "Large")</f>
        <v>Small</v>
      </c>
      <c r="L916" t="str">
        <f t="shared" si="58"/>
        <v>Standard</v>
      </c>
      <c r="M916" t="str">
        <f t="shared" si="59"/>
        <v>Weekend</v>
      </c>
    </row>
    <row r="917" spans="1:13" x14ac:dyDescent="0.35">
      <c r="A917" t="s">
        <v>967</v>
      </c>
      <c r="B917" s="1">
        <v>45626</v>
      </c>
      <c r="C917" t="s">
        <v>55</v>
      </c>
      <c r="D917" t="s">
        <v>10</v>
      </c>
      <c r="E917" t="s">
        <v>18</v>
      </c>
      <c r="F917" s="4">
        <v>0</v>
      </c>
      <c r="G917" s="5">
        <v>28</v>
      </c>
      <c r="H917" t="s">
        <v>12</v>
      </c>
      <c r="I917" t="str">
        <f t="shared" si="56"/>
        <v>2024-11</v>
      </c>
      <c r="J917" s="4">
        <f t="shared" si="57"/>
        <v>0</v>
      </c>
      <c r="K917" t="str" cm="1">
        <f t="array" ref="K917">_xlfn.IFS(G917&lt;=5, "Small", G917&lt;=15, "Medium", G917&gt;15, "Large")</f>
        <v>Large</v>
      </c>
      <c r="L917" t="str">
        <f t="shared" si="58"/>
        <v>Standard</v>
      </c>
      <c r="M917" t="str">
        <f t="shared" si="59"/>
        <v>Weekend</v>
      </c>
    </row>
    <row r="918" spans="1:13" x14ac:dyDescent="0.35">
      <c r="A918" t="s">
        <v>968</v>
      </c>
      <c r="B918" s="1">
        <v>45562</v>
      </c>
      <c r="C918" t="s">
        <v>177</v>
      </c>
      <c r="D918" t="s">
        <v>26</v>
      </c>
      <c r="E918" t="s">
        <v>27</v>
      </c>
      <c r="F918" s="4">
        <v>29896.39</v>
      </c>
      <c r="G918" s="5">
        <v>5</v>
      </c>
      <c r="H918" t="s">
        <v>15</v>
      </c>
      <c r="I918" t="str">
        <f t="shared" si="56"/>
        <v>2024-09</v>
      </c>
      <c r="J918" s="4">
        <f t="shared" si="57"/>
        <v>5979.2780000000002</v>
      </c>
      <c r="K918" t="str" cm="1">
        <f t="array" ref="K918">_xlfn.IFS(G918&lt;=5, "Small", G918&lt;=15, "Medium", G918&gt;15, "Large")</f>
        <v>Small</v>
      </c>
      <c r="L918" t="str">
        <f t="shared" si="58"/>
        <v>VIP</v>
      </c>
      <c r="M918" t="str">
        <f t="shared" si="59"/>
        <v>Weekday</v>
      </c>
    </row>
    <row r="919" spans="1:13" x14ac:dyDescent="0.35">
      <c r="A919" t="s">
        <v>969</v>
      </c>
      <c r="B919" s="1">
        <v>45598</v>
      </c>
      <c r="C919" t="s">
        <v>62</v>
      </c>
      <c r="D919" t="s">
        <v>10</v>
      </c>
      <c r="E919" t="s">
        <v>27</v>
      </c>
      <c r="F919" s="4">
        <v>44454.21</v>
      </c>
      <c r="G919" s="5">
        <v>5</v>
      </c>
      <c r="H919" t="s">
        <v>15</v>
      </c>
      <c r="I919" t="str">
        <f t="shared" si="56"/>
        <v>2024-11</v>
      </c>
      <c r="J919" s="4">
        <f t="shared" si="57"/>
        <v>8890.8420000000006</v>
      </c>
      <c r="K919" t="str" cm="1">
        <f t="array" ref="K919">_xlfn.IFS(G919&lt;=5, "Small", G919&lt;=15, "Medium", G919&gt;15, "Large")</f>
        <v>Small</v>
      </c>
      <c r="L919" t="str">
        <f t="shared" si="58"/>
        <v>VIP</v>
      </c>
      <c r="M919" t="str">
        <f t="shared" si="59"/>
        <v>Weekend</v>
      </c>
    </row>
    <row r="920" spans="1:13" x14ac:dyDescent="0.35">
      <c r="A920" t="s">
        <v>970</v>
      </c>
      <c r="B920" s="1">
        <v>45275</v>
      </c>
      <c r="C920" t="s">
        <v>166</v>
      </c>
      <c r="D920" t="s">
        <v>26</v>
      </c>
      <c r="E920" t="s">
        <v>11</v>
      </c>
      <c r="F920" s="4">
        <v>1354.14</v>
      </c>
      <c r="G920" s="5">
        <v>3</v>
      </c>
      <c r="H920" t="s">
        <v>15</v>
      </c>
      <c r="I920" t="str">
        <f t="shared" si="56"/>
        <v>2023-12</v>
      </c>
      <c r="J920" s="4">
        <f t="shared" si="57"/>
        <v>451.38000000000005</v>
      </c>
      <c r="K920" t="str" cm="1">
        <f t="array" ref="K920">_xlfn.IFS(G920&lt;=5, "Small", G920&lt;=15, "Medium", G920&gt;15, "Large")</f>
        <v>Small</v>
      </c>
      <c r="L920" t="str">
        <f t="shared" si="58"/>
        <v>Standard</v>
      </c>
      <c r="M920" t="str">
        <f t="shared" si="59"/>
        <v>Weekday</v>
      </c>
    </row>
    <row r="921" spans="1:13" x14ac:dyDescent="0.35">
      <c r="A921" t="s">
        <v>971</v>
      </c>
      <c r="B921" s="1">
        <v>45456</v>
      </c>
      <c r="C921" t="s">
        <v>60</v>
      </c>
      <c r="D921" t="s">
        <v>21</v>
      </c>
      <c r="E921" t="s">
        <v>18</v>
      </c>
      <c r="F921" s="4">
        <v>0</v>
      </c>
      <c r="G921" s="5">
        <v>18</v>
      </c>
      <c r="H921" t="s">
        <v>12</v>
      </c>
      <c r="I921" t="str">
        <f t="shared" si="56"/>
        <v>2024-06</v>
      </c>
      <c r="J921" s="4">
        <f t="shared" si="57"/>
        <v>0</v>
      </c>
      <c r="K921" t="str" cm="1">
        <f t="array" ref="K921">_xlfn.IFS(G921&lt;=5, "Small", G921&lt;=15, "Medium", G921&gt;15, "Large")</f>
        <v>Large</v>
      </c>
      <c r="L921" t="str">
        <f t="shared" si="58"/>
        <v>Standard</v>
      </c>
      <c r="M921" t="str">
        <f t="shared" si="59"/>
        <v>Weekday</v>
      </c>
    </row>
    <row r="922" spans="1:13" x14ac:dyDescent="0.35">
      <c r="A922" t="s">
        <v>972</v>
      </c>
      <c r="B922" s="1">
        <v>45648</v>
      </c>
      <c r="C922" t="s">
        <v>115</v>
      </c>
      <c r="D922" t="s">
        <v>10</v>
      </c>
      <c r="E922" t="s">
        <v>18</v>
      </c>
      <c r="F922" s="4">
        <v>3019.31</v>
      </c>
      <c r="G922" s="5">
        <v>3</v>
      </c>
      <c r="H922" t="s">
        <v>15</v>
      </c>
      <c r="I922" t="str">
        <f t="shared" si="56"/>
        <v>2024-12</v>
      </c>
      <c r="J922" s="4">
        <f t="shared" si="57"/>
        <v>1006.4366666666666</v>
      </c>
      <c r="K922" t="str" cm="1">
        <f t="array" ref="K922">_xlfn.IFS(G922&lt;=5, "Small", G922&lt;=15, "Medium", G922&gt;15, "Large")</f>
        <v>Small</v>
      </c>
      <c r="L922" t="str">
        <f t="shared" si="58"/>
        <v>Standard</v>
      </c>
      <c r="M922" t="str">
        <f t="shared" si="59"/>
        <v>Weekend</v>
      </c>
    </row>
    <row r="923" spans="1:13" x14ac:dyDescent="0.35">
      <c r="A923" t="s">
        <v>973</v>
      </c>
      <c r="B923" s="1">
        <v>45013</v>
      </c>
      <c r="C923" t="s">
        <v>23</v>
      </c>
      <c r="D923" t="s">
        <v>21</v>
      </c>
      <c r="E923" t="s">
        <v>27</v>
      </c>
      <c r="F923" s="4">
        <v>33401.620000000003</v>
      </c>
      <c r="G923" s="5">
        <v>4</v>
      </c>
      <c r="H923" t="s">
        <v>15</v>
      </c>
      <c r="I923" t="str">
        <f t="shared" si="56"/>
        <v>2023-03</v>
      </c>
      <c r="J923" s="4">
        <f t="shared" si="57"/>
        <v>8350.4050000000007</v>
      </c>
      <c r="K923" t="str" cm="1">
        <f t="array" ref="K923">_xlfn.IFS(G923&lt;=5, "Small", G923&lt;=15, "Medium", G923&gt;15, "Large")</f>
        <v>Small</v>
      </c>
      <c r="L923" t="str">
        <f t="shared" si="58"/>
        <v>VIP</v>
      </c>
      <c r="M923" t="str">
        <f t="shared" si="59"/>
        <v>Weekday</v>
      </c>
    </row>
    <row r="924" spans="1:13" x14ac:dyDescent="0.35">
      <c r="A924" t="s">
        <v>974</v>
      </c>
      <c r="B924" s="1">
        <v>45369</v>
      </c>
      <c r="C924" t="s">
        <v>64</v>
      </c>
      <c r="D924" t="s">
        <v>10</v>
      </c>
      <c r="E924" t="s">
        <v>18</v>
      </c>
      <c r="F924" s="4">
        <v>682.88</v>
      </c>
      <c r="G924" s="5">
        <v>19</v>
      </c>
      <c r="H924" t="s">
        <v>15</v>
      </c>
      <c r="I924" t="str">
        <f t="shared" si="56"/>
        <v>2024-03</v>
      </c>
      <c r="J924" s="4">
        <f t="shared" si="57"/>
        <v>35.941052631578948</v>
      </c>
      <c r="K924" t="str" cm="1">
        <f t="array" ref="K924">_xlfn.IFS(G924&lt;=5, "Small", G924&lt;=15, "Medium", G924&gt;15, "Large")</f>
        <v>Large</v>
      </c>
      <c r="L924" t="str">
        <f t="shared" si="58"/>
        <v>Standard</v>
      </c>
      <c r="M924" t="str">
        <f t="shared" si="59"/>
        <v>Weekday</v>
      </c>
    </row>
    <row r="925" spans="1:13" x14ac:dyDescent="0.35">
      <c r="A925" t="s">
        <v>975</v>
      </c>
      <c r="B925" s="1">
        <v>45649</v>
      </c>
      <c r="C925" t="s">
        <v>82</v>
      </c>
      <c r="D925" t="s">
        <v>10</v>
      </c>
      <c r="E925" t="s">
        <v>18</v>
      </c>
      <c r="F925" s="4">
        <v>2143.65</v>
      </c>
      <c r="G925" s="5">
        <v>13</v>
      </c>
      <c r="H925" t="s">
        <v>15</v>
      </c>
      <c r="I925" t="str">
        <f t="shared" si="56"/>
        <v>2024-12</v>
      </c>
      <c r="J925" s="4">
        <f t="shared" si="57"/>
        <v>164.89615384615385</v>
      </c>
      <c r="K925" t="str" cm="1">
        <f t="array" ref="K925">_xlfn.IFS(G925&lt;=5, "Small", G925&lt;=15, "Medium", G925&gt;15, "Large")</f>
        <v>Medium</v>
      </c>
      <c r="L925" t="str">
        <f t="shared" si="58"/>
        <v>Standard</v>
      </c>
      <c r="M925" t="str">
        <f t="shared" si="59"/>
        <v>Weekday</v>
      </c>
    </row>
    <row r="926" spans="1:13" x14ac:dyDescent="0.35">
      <c r="A926" t="s">
        <v>976</v>
      </c>
      <c r="B926" s="1">
        <v>45499</v>
      </c>
      <c r="C926" t="s">
        <v>64</v>
      </c>
      <c r="D926" t="s">
        <v>10</v>
      </c>
      <c r="E926" t="s">
        <v>11</v>
      </c>
      <c r="F926" s="4">
        <v>13102.06</v>
      </c>
      <c r="G926" s="5">
        <v>7</v>
      </c>
      <c r="H926" t="s">
        <v>15</v>
      </c>
      <c r="I926" t="str">
        <f t="shared" si="56"/>
        <v>2024-07</v>
      </c>
      <c r="J926" s="4">
        <f t="shared" si="57"/>
        <v>1871.722857142857</v>
      </c>
      <c r="K926" t="str" cm="1">
        <f t="array" ref="K926">_xlfn.IFS(G926&lt;=5, "Small", G926&lt;=15, "Medium", G926&gt;15, "Large")</f>
        <v>Medium</v>
      </c>
      <c r="L926" t="str">
        <f t="shared" si="58"/>
        <v>Standard</v>
      </c>
      <c r="M926" t="str">
        <f t="shared" si="59"/>
        <v>Weekday</v>
      </c>
    </row>
    <row r="927" spans="1:13" x14ac:dyDescent="0.35">
      <c r="A927" t="s">
        <v>977</v>
      </c>
      <c r="B927" s="1">
        <v>45533</v>
      </c>
      <c r="C927" t="s">
        <v>55</v>
      </c>
      <c r="D927" t="s">
        <v>10</v>
      </c>
      <c r="E927" t="s">
        <v>27</v>
      </c>
      <c r="F927" s="4">
        <v>37518.31</v>
      </c>
      <c r="G927" s="5">
        <v>1</v>
      </c>
      <c r="H927" t="s">
        <v>15</v>
      </c>
      <c r="I927" t="str">
        <f t="shared" si="56"/>
        <v>2024-08</v>
      </c>
      <c r="J927" s="4">
        <f t="shared" si="57"/>
        <v>37518.31</v>
      </c>
      <c r="K927" t="str" cm="1">
        <f t="array" ref="K927">_xlfn.IFS(G927&lt;=5, "Small", G927&lt;=15, "Medium", G927&gt;15, "Large")</f>
        <v>Small</v>
      </c>
      <c r="L927" t="str">
        <f t="shared" si="58"/>
        <v>VIP</v>
      </c>
      <c r="M927" t="str">
        <f t="shared" si="59"/>
        <v>Weekday</v>
      </c>
    </row>
    <row r="928" spans="1:13" x14ac:dyDescent="0.35">
      <c r="A928" t="s">
        <v>978</v>
      </c>
      <c r="B928" s="1">
        <v>45486</v>
      </c>
      <c r="C928" t="s">
        <v>45</v>
      </c>
      <c r="D928" t="s">
        <v>21</v>
      </c>
      <c r="E928" t="s">
        <v>18</v>
      </c>
      <c r="F928" s="4">
        <v>1069.67</v>
      </c>
      <c r="G928" s="5">
        <v>29</v>
      </c>
      <c r="H928" t="s">
        <v>15</v>
      </c>
      <c r="I928" t="str">
        <f t="shared" si="56"/>
        <v>2024-07</v>
      </c>
      <c r="J928" s="4">
        <f t="shared" si="57"/>
        <v>36.885172413793107</v>
      </c>
      <c r="K928" t="str" cm="1">
        <f t="array" ref="K928">_xlfn.IFS(G928&lt;=5, "Small", G928&lt;=15, "Medium", G928&gt;15, "Large")</f>
        <v>Large</v>
      </c>
      <c r="L928" t="str">
        <f t="shared" si="58"/>
        <v>Standard</v>
      </c>
      <c r="M928" t="str">
        <f t="shared" si="59"/>
        <v>Weekend</v>
      </c>
    </row>
    <row r="929" spans="1:13" x14ac:dyDescent="0.35">
      <c r="A929" t="s">
        <v>979</v>
      </c>
      <c r="B929" s="1">
        <v>45126</v>
      </c>
      <c r="C929" t="s">
        <v>78</v>
      </c>
      <c r="D929" t="s">
        <v>31</v>
      </c>
      <c r="E929" t="s">
        <v>18</v>
      </c>
      <c r="F929" s="4">
        <v>1829.56</v>
      </c>
      <c r="G929" s="5">
        <v>8</v>
      </c>
      <c r="H929" t="s">
        <v>15</v>
      </c>
      <c r="I929" t="str">
        <f t="shared" si="56"/>
        <v>2023-07</v>
      </c>
      <c r="J929" s="4">
        <f t="shared" si="57"/>
        <v>228.69499999999999</v>
      </c>
      <c r="K929" t="str" cm="1">
        <f t="array" ref="K929">_xlfn.IFS(G929&lt;=5, "Small", G929&lt;=15, "Medium", G929&gt;15, "Large")</f>
        <v>Medium</v>
      </c>
      <c r="L929" t="str">
        <f t="shared" si="58"/>
        <v>Standard</v>
      </c>
      <c r="M929" t="str">
        <f t="shared" si="59"/>
        <v>Weekday</v>
      </c>
    </row>
    <row r="930" spans="1:13" x14ac:dyDescent="0.35">
      <c r="A930" t="s">
        <v>980</v>
      </c>
      <c r="B930" s="1">
        <v>45017</v>
      </c>
      <c r="C930" t="s">
        <v>175</v>
      </c>
      <c r="D930" t="s">
        <v>21</v>
      </c>
      <c r="E930" t="s">
        <v>27</v>
      </c>
      <c r="F930" s="4">
        <v>43682.16</v>
      </c>
      <c r="G930" s="5">
        <v>4</v>
      </c>
      <c r="H930" t="s">
        <v>15</v>
      </c>
      <c r="I930" t="str">
        <f t="shared" si="56"/>
        <v>2023-04</v>
      </c>
      <c r="J930" s="4">
        <f t="shared" si="57"/>
        <v>10920.54</v>
      </c>
      <c r="K930" t="str" cm="1">
        <f t="array" ref="K930">_xlfn.IFS(G930&lt;=5, "Small", G930&lt;=15, "Medium", G930&gt;15, "Large")</f>
        <v>Small</v>
      </c>
      <c r="L930" t="str">
        <f t="shared" si="58"/>
        <v>VIP</v>
      </c>
      <c r="M930" t="str">
        <f t="shared" si="59"/>
        <v>Weekend</v>
      </c>
    </row>
    <row r="931" spans="1:13" x14ac:dyDescent="0.35">
      <c r="A931" t="s">
        <v>981</v>
      </c>
      <c r="B931" s="1">
        <v>45589</v>
      </c>
      <c r="C931" t="s">
        <v>160</v>
      </c>
      <c r="D931" t="s">
        <v>26</v>
      </c>
      <c r="E931" t="s">
        <v>27</v>
      </c>
      <c r="F931" s="4">
        <v>43856.44</v>
      </c>
      <c r="G931" s="5">
        <v>2</v>
      </c>
      <c r="H931" t="s">
        <v>15</v>
      </c>
      <c r="I931" t="str">
        <f t="shared" si="56"/>
        <v>2024-10</v>
      </c>
      <c r="J931" s="4">
        <f t="shared" si="57"/>
        <v>21928.22</v>
      </c>
      <c r="K931" t="str" cm="1">
        <f t="array" ref="K931">_xlfn.IFS(G931&lt;=5, "Small", G931&lt;=15, "Medium", G931&gt;15, "Large")</f>
        <v>Small</v>
      </c>
      <c r="L931" t="str">
        <f t="shared" si="58"/>
        <v>VIP</v>
      </c>
      <c r="M931" t="str">
        <f t="shared" si="59"/>
        <v>Weekday</v>
      </c>
    </row>
    <row r="932" spans="1:13" x14ac:dyDescent="0.35">
      <c r="A932" t="s">
        <v>982</v>
      </c>
      <c r="B932" s="1">
        <v>45388</v>
      </c>
      <c r="C932" t="s">
        <v>166</v>
      </c>
      <c r="D932" t="s">
        <v>26</v>
      </c>
      <c r="E932" t="s">
        <v>18</v>
      </c>
      <c r="F932" s="4">
        <v>2416.7399999999998</v>
      </c>
      <c r="G932" s="5">
        <v>27</v>
      </c>
      <c r="H932" t="s">
        <v>15</v>
      </c>
      <c r="I932" t="str">
        <f t="shared" si="56"/>
        <v>2024-04</v>
      </c>
      <c r="J932" s="4">
        <f t="shared" si="57"/>
        <v>89.508888888888876</v>
      </c>
      <c r="K932" t="str" cm="1">
        <f t="array" ref="K932">_xlfn.IFS(G932&lt;=5, "Small", G932&lt;=15, "Medium", G932&gt;15, "Large")</f>
        <v>Large</v>
      </c>
      <c r="L932" t="str">
        <f t="shared" si="58"/>
        <v>Standard</v>
      </c>
      <c r="M932" t="str">
        <f t="shared" si="59"/>
        <v>Weekend</v>
      </c>
    </row>
    <row r="933" spans="1:13" x14ac:dyDescent="0.35">
      <c r="A933" t="s">
        <v>983</v>
      </c>
      <c r="B933" s="1">
        <v>45248</v>
      </c>
      <c r="C933" t="s">
        <v>166</v>
      </c>
      <c r="D933" t="s">
        <v>26</v>
      </c>
      <c r="E933" t="s">
        <v>11</v>
      </c>
      <c r="F933" s="4">
        <v>5458.63</v>
      </c>
      <c r="G933" s="5">
        <v>8</v>
      </c>
      <c r="H933" t="s">
        <v>15</v>
      </c>
      <c r="I933" t="str">
        <f t="shared" si="56"/>
        <v>2023-11</v>
      </c>
      <c r="J933" s="4">
        <f t="shared" si="57"/>
        <v>682.32875000000001</v>
      </c>
      <c r="K933" t="str" cm="1">
        <f t="array" ref="K933">_xlfn.IFS(G933&lt;=5, "Small", G933&lt;=15, "Medium", G933&gt;15, "Large")</f>
        <v>Medium</v>
      </c>
      <c r="L933" t="str">
        <f t="shared" si="58"/>
        <v>Standard</v>
      </c>
      <c r="M933" t="str">
        <f t="shared" si="59"/>
        <v>Weekend</v>
      </c>
    </row>
    <row r="934" spans="1:13" x14ac:dyDescent="0.35">
      <c r="A934" t="s">
        <v>984</v>
      </c>
      <c r="B934" s="1">
        <v>45521</v>
      </c>
      <c r="C934" t="s">
        <v>58</v>
      </c>
      <c r="D934" t="s">
        <v>31</v>
      </c>
      <c r="E934" t="s">
        <v>27</v>
      </c>
      <c r="F934" s="4">
        <v>0</v>
      </c>
      <c r="G934" s="5">
        <v>5</v>
      </c>
      <c r="H934" t="s">
        <v>12</v>
      </c>
      <c r="I934" t="str">
        <f t="shared" si="56"/>
        <v>2024-08</v>
      </c>
      <c r="J934" s="4">
        <f t="shared" si="57"/>
        <v>0</v>
      </c>
      <c r="K934" t="str" cm="1">
        <f t="array" ref="K934">_xlfn.IFS(G934&lt;=5, "Small", G934&lt;=15, "Medium", G934&gt;15, "Large")</f>
        <v>Small</v>
      </c>
      <c r="L934" t="str">
        <f t="shared" si="58"/>
        <v>Standard</v>
      </c>
      <c r="M934" t="str">
        <f t="shared" si="59"/>
        <v>Weekend</v>
      </c>
    </row>
    <row r="935" spans="1:13" x14ac:dyDescent="0.35">
      <c r="A935" t="s">
        <v>985</v>
      </c>
      <c r="B935" s="1">
        <v>45538</v>
      </c>
      <c r="C935" t="s">
        <v>50</v>
      </c>
      <c r="D935" t="s">
        <v>26</v>
      </c>
      <c r="E935" t="s">
        <v>18</v>
      </c>
      <c r="F935" s="4">
        <v>948.53</v>
      </c>
      <c r="G935" s="5">
        <v>21</v>
      </c>
      <c r="H935" t="s">
        <v>15</v>
      </c>
      <c r="I935" t="str">
        <f t="shared" si="56"/>
        <v>2024-09</v>
      </c>
      <c r="J935" s="4">
        <f t="shared" si="57"/>
        <v>45.168095238095233</v>
      </c>
      <c r="K935" t="str" cm="1">
        <f t="array" ref="K935">_xlfn.IFS(G935&lt;=5, "Small", G935&lt;=15, "Medium", G935&gt;15, "Large")</f>
        <v>Large</v>
      </c>
      <c r="L935" t="str">
        <f t="shared" si="58"/>
        <v>Standard</v>
      </c>
      <c r="M935" t="str">
        <f t="shared" si="59"/>
        <v>Weekday</v>
      </c>
    </row>
    <row r="936" spans="1:13" x14ac:dyDescent="0.35">
      <c r="A936" t="s">
        <v>986</v>
      </c>
      <c r="B936" s="1">
        <v>45409</v>
      </c>
      <c r="C936" t="s">
        <v>62</v>
      </c>
      <c r="D936" t="s">
        <v>10</v>
      </c>
      <c r="E936" t="s">
        <v>18</v>
      </c>
      <c r="F936" s="4">
        <v>887.07</v>
      </c>
      <c r="G936" s="5">
        <v>10</v>
      </c>
      <c r="H936" t="s">
        <v>15</v>
      </c>
      <c r="I936" t="str">
        <f t="shared" si="56"/>
        <v>2024-04</v>
      </c>
      <c r="J936" s="4">
        <f t="shared" si="57"/>
        <v>88.707000000000008</v>
      </c>
      <c r="K936" t="str" cm="1">
        <f t="array" ref="K936">_xlfn.IFS(G936&lt;=5, "Small", G936&lt;=15, "Medium", G936&gt;15, "Large")</f>
        <v>Medium</v>
      </c>
      <c r="L936" t="str">
        <f t="shared" si="58"/>
        <v>Standard</v>
      </c>
      <c r="M936" t="str">
        <f t="shared" si="59"/>
        <v>Weekend</v>
      </c>
    </row>
    <row r="937" spans="1:13" x14ac:dyDescent="0.35">
      <c r="A937" t="s">
        <v>987</v>
      </c>
      <c r="B937" s="1">
        <v>45243</v>
      </c>
      <c r="C937" t="s">
        <v>166</v>
      </c>
      <c r="D937" t="s">
        <v>26</v>
      </c>
      <c r="E937" t="s">
        <v>27</v>
      </c>
      <c r="F937" s="4">
        <v>3282.62</v>
      </c>
      <c r="G937" s="5">
        <v>5</v>
      </c>
      <c r="H937" t="s">
        <v>15</v>
      </c>
      <c r="I937" t="str">
        <f t="shared" si="56"/>
        <v>2023-11</v>
      </c>
      <c r="J937" s="4">
        <f t="shared" si="57"/>
        <v>656.524</v>
      </c>
      <c r="K937" t="str" cm="1">
        <f t="array" ref="K937">_xlfn.IFS(G937&lt;=5, "Small", G937&lt;=15, "Medium", G937&gt;15, "Large")</f>
        <v>Small</v>
      </c>
      <c r="L937" t="str">
        <f t="shared" si="58"/>
        <v>Standard</v>
      </c>
      <c r="M937" t="str">
        <f t="shared" si="59"/>
        <v>Weekday</v>
      </c>
    </row>
    <row r="938" spans="1:13" x14ac:dyDescent="0.35">
      <c r="A938" t="s">
        <v>988</v>
      </c>
      <c r="B938" s="1">
        <v>45580</v>
      </c>
      <c r="C938" t="s">
        <v>33</v>
      </c>
      <c r="D938" t="s">
        <v>10</v>
      </c>
      <c r="E938" t="s">
        <v>27</v>
      </c>
      <c r="F938" s="4">
        <v>29865.99</v>
      </c>
      <c r="G938" s="5">
        <v>3</v>
      </c>
      <c r="H938" t="s">
        <v>15</v>
      </c>
      <c r="I938" t="str">
        <f t="shared" si="56"/>
        <v>2024-10</v>
      </c>
      <c r="J938" s="4">
        <f t="shared" si="57"/>
        <v>9955.33</v>
      </c>
      <c r="K938" t="str" cm="1">
        <f t="array" ref="K938">_xlfn.IFS(G938&lt;=5, "Small", G938&lt;=15, "Medium", G938&gt;15, "Large")</f>
        <v>Small</v>
      </c>
      <c r="L938" t="str">
        <f t="shared" si="58"/>
        <v>VIP</v>
      </c>
      <c r="M938" t="str">
        <f t="shared" si="59"/>
        <v>Weekday</v>
      </c>
    </row>
    <row r="939" spans="1:13" x14ac:dyDescent="0.35">
      <c r="A939" t="s">
        <v>989</v>
      </c>
      <c r="B939" s="1">
        <v>45508</v>
      </c>
      <c r="C939" t="s">
        <v>126</v>
      </c>
      <c r="D939" t="s">
        <v>21</v>
      </c>
      <c r="E939" t="s">
        <v>11</v>
      </c>
      <c r="F939" s="4">
        <v>5423.5</v>
      </c>
      <c r="G939" s="5">
        <v>8</v>
      </c>
      <c r="H939" t="s">
        <v>15</v>
      </c>
      <c r="I939" t="str">
        <f t="shared" si="56"/>
        <v>2024-08</v>
      </c>
      <c r="J939" s="4">
        <f t="shared" si="57"/>
        <v>677.9375</v>
      </c>
      <c r="K939" t="str" cm="1">
        <f t="array" ref="K939">_xlfn.IFS(G939&lt;=5, "Small", G939&lt;=15, "Medium", G939&gt;15, "Large")</f>
        <v>Medium</v>
      </c>
      <c r="L939" t="str">
        <f t="shared" si="58"/>
        <v>Standard</v>
      </c>
      <c r="M939" t="str">
        <f t="shared" si="59"/>
        <v>Weekend</v>
      </c>
    </row>
    <row r="940" spans="1:13" x14ac:dyDescent="0.35">
      <c r="A940" t="s">
        <v>990</v>
      </c>
      <c r="B940" s="1">
        <v>45588</v>
      </c>
      <c r="C940" t="s">
        <v>23</v>
      </c>
      <c r="D940" t="s">
        <v>21</v>
      </c>
      <c r="E940" t="s">
        <v>27</v>
      </c>
      <c r="F940" s="4">
        <v>12423.73</v>
      </c>
      <c r="G940" s="5">
        <v>4</v>
      </c>
      <c r="H940" t="s">
        <v>15</v>
      </c>
      <c r="I940" t="str">
        <f t="shared" si="56"/>
        <v>2024-10</v>
      </c>
      <c r="J940" s="4">
        <f t="shared" si="57"/>
        <v>3105.9324999999999</v>
      </c>
      <c r="K940" t="str" cm="1">
        <f t="array" ref="K940">_xlfn.IFS(G940&lt;=5, "Small", G940&lt;=15, "Medium", G940&gt;15, "Large")</f>
        <v>Small</v>
      </c>
      <c r="L940" t="str">
        <f t="shared" si="58"/>
        <v>Standard</v>
      </c>
      <c r="M940" t="str">
        <f t="shared" si="59"/>
        <v>Weekday</v>
      </c>
    </row>
    <row r="941" spans="1:13" x14ac:dyDescent="0.35">
      <c r="A941" t="s">
        <v>991</v>
      </c>
      <c r="B941" s="1">
        <v>45076</v>
      </c>
      <c r="C941" t="s">
        <v>62</v>
      </c>
      <c r="D941" t="s">
        <v>10</v>
      </c>
      <c r="E941" t="s">
        <v>18</v>
      </c>
      <c r="F941" s="4">
        <v>2048.04</v>
      </c>
      <c r="G941" s="5">
        <v>14</v>
      </c>
      <c r="H941" t="s">
        <v>15</v>
      </c>
      <c r="I941" t="str">
        <f t="shared" si="56"/>
        <v>2023-05</v>
      </c>
      <c r="J941" s="4">
        <f t="shared" si="57"/>
        <v>146.28857142857143</v>
      </c>
      <c r="K941" t="str" cm="1">
        <f t="array" ref="K941">_xlfn.IFS(G941&lt;=5, "Small", G941&lt;=15, "Medium", G941&gt;15, "Large")</f>
        <v>Medium</v>
      </c>
      <c r="L941" t="str">
        <f t="shared" si="58"/>
        <v>Standard</v>
      </c>
      <c r="M941" t="str">
        <f t="shared" si="59"/>
        <v>Weekday</v>
      </c>
    </row>
    <row r="942" spans="1:13" x14ac:dyDescent="0.35">
      <c r="A942" t="s">
        <v>992</v>
      </c>
      <c r="B942" s="1">
        <v>45223</v>
      </c>
      <c r="C942" t="s">
        <v>33</v>
      </c>
      <c r="D942" t="s">
        <v>10</v>
      </c>
      <c r="E942" t="s">
        <v>27</v>
      </c>
      <c r="F942" s="4">
        <v>17601.580000000002</v>
      </c>
      <c r="G942" s="5">
        <v>4</v>
      </c>
      <c r="H942" t="s">
        <v>15</v>
      </c>
      <c r="I942" t="str">
        <f t="shared" si="56"/>
        <v>2023-10</v>
      </c>
      <c r="J942" s="4">
        <f t="shared" si="57"/>
        <v>4400.3950000000004</v>
      </c>
      <c r="K942" t="str" cm="1">
        <f t="array" ref="K942">_xlfn.IFS(G942&lt;=5, "Small", G942&lt;=15, "Medium", G942&gt;15, "Large")</f>
        <v>Small</v>
      </c>
      <c r="L942" t="str">
        <f t="shared" si="58"/>
        <v>Standard</v>
      </c>
      <c r="M942" t="str">
        <f t="shared" si="59"/>
        <v>Weekday</v>
      </c>
    </row>
    <row r="943" spans="1:13" x14ac:dyDescent="0.35">
      <c r="A943" t="s">
        <v>993</v>
      </c>
      <c r="B943" s="1">
        <v>45599</v>
      </c>
      <c r="C943" t="s">
        <v>14</v>
      </c>
      <c r="D943" t="s">
        <v>10</v>
      </c>
      <c r="E943" t="s">
        <v>18</v>
      </c>
      <c r="F943" s="4">
        <v>470.18</v>
      </c>
      <c r="G943" s="5">
        <v>4</v>
      </c>
      <c r="H943" t="s">
        <v>15</v>
      </c>
      <c r="I943" t="str">
        <f t="shared" si="56"/>
        <v>2024-11</v>
      </c>
      <c r="J943" s="4">
        <f t="shared" si="57"/>
        <v>117.545</v>
      </c>
      <c r="K943" t="str" cm="1">
        <f t="array" ref="K943">_xlfn.IFS(G943&lt;=5, "Small", G943&lt;=15, "Medium", G943&gt;15, "Large")</f>
        <v>Small</v>
      </c>
      <c r="L943" t="str">
        <f t="shared" si="58"/>
        <v>Standard</v>
      </c>
      <c r="M943" t="str">
        <f t="shared" si="59"/>
        <v>Weekend</v>
      </c>
    </row>
    <row r="944" spans="1:13" x14ac:dyDescent="0.35">
      <c r="A944" t="s">
        <v>994</v>
      </c>
      <c r="B944" s="1">
        <v>45235</v>
      </c>
      <c r="C944" t="s">
        <v>35</v>
      </c>
      <c r="D944" t="s">
        <v>31</v>
      </c>
      <c r="E944" t="s">
        <v>18</v>
      </c>
      <c r="F944" s="4">
        <v>2750.09</v>
      </c>
      <c r="G944" s="5">
        <v>12</v>
      </c>
      <c r="H944" t="s">
        <v>15</v>
      </c>
      <c r="I944" t="str">
        <f t="shared" si="56"/>
        <v>2023-11</v>
      </c>
      <c r="J944" s="4">
        <f t="shared" si="57"/>
        <v>229.17416666666668</v>
      </c>
      <c r="K944" t="str" cm="1">
        <f t="array" ref="K944">_xlfn.IFS(G944&lt;=5, "Small", G944&lt;=15, "Medium", G944&gt;15, "Large")</f>
        <v>Medium</v>
      </c>
      <c r="L944" t="str">
        <f t="shared" si="58"/>
        <v>Standard</v>
      </c>
      <c r="M944" t="str">
        <f t="shared" si="59"/>
        <v>Weekend</v>
      </c>
    </row>
    <row r="945" spans="1:13" x14ac:dyDescent="0.35">
      <c r="A945" t="s">
        <v>995</v>
      </c>
      <c r="B945" s="1">
        <v>44965</v>
      </c>
      <c r="C945" t="s">
        <v>166</v>
      </c>
      <c r="D945" t="s">
        <v>26</v>
      </c>
      <c r="E945" t="s">
        <v>27</v>
      </c>
      <c r="F945" s="4">
        <v>42079.38</v>
      </c>
      <c r="G945" s="5">
        <v>1</v>
      </c>
      <c r="H945" t="s">
        <v>15</v>
      </c>
      <c r="I945" t="str">
        <f t="shared" si="56"/>
        <v>2023-02</v>
      </c>
      <c r="J945" s="4">
        <f t="shared" si="57"/>
        <v>42079.38</v>
      </c>
      <c r="K945" t="str" cm="1">
        <f t="array" ref="K945">_xlfn.IFS(G945&lt;=5, "Small", G945&lt;=15, "Medium", G945&gt;15, "Large")</f>
        <v>Small</v>
      </c>
      <c r="L945" t="str">
        <f t="shared" si="58"/>
        <v>VIP</v>
      </c>
      <c r="M945" t="str">
        <f t="shared" si="59"/>
        <v>Weekday</v>
      </c>
    </row>
    <row r="946" spans="1:13" x14ac:dyDescent="0.35">
      <c r="A946" t="s">
        <v>996</v>
      </c>
      <c r="B946" s="1">
        <v>45084</v>
      </c>
      <c r="C946" t="s">
        <v>62</v>
      </c>
      <c r="D946" t="s">
        <v>10</v>
      </c>
      <c r="E946" t="s">
        <v>18</v>
      </c>
      <c r="F946" s="4">
        <v>2325.41</v>
      </c>
      <c r="G946" s="5">
        <v>15</v>
      </c>
      <c r="H946" t="s">
        <v>15</v>
      </c>
      <c r="I946" t="str">
        <f t="shared" si="56"/>
        <v>2023-06</v>
      </c>
      <c r="J946" s="4">
        <f t="shared" si="57"/>
        <v>155.02733333333333</v>
      </c>
      <c r="K946" t="str" cm="1">
        <f t="array" ref="K946">_xlfn.IFS(G946&lt;=5, "Small", G946&lt;=15, "Medium", G946&gt;15, "Large")</f>
        <v>Medium</v>
      </c>
      <c r="L946" t="str">
        <f t="shared" si="58"/>
        <v>Standard</v>
      </c>
      <c r="M946" t="str">
        <f t="shared" si="59"/>
        <v>Weekday</v>
      </c>
    </row>
    <row r="947" spans="1:13" x14ac:dyDescent="0.35">
      <c r="A947" t="s">
        <v>192</v>
      </c>
      <c r="B947" s="1">
        <v>45483</v>
      </c>
      <c r="C947" t="s">
        <v>50</v>
      </c>
      <c r="D947" t="s">
        <v>26</v>
      </c>
      <c r="E947" t="s">
        <v>18</v>
      </c>
      <c r="F947" s="4">
        <v>1874.85</v>
      </c>
      <c r="G947" s="5">
        <v>22</v>
      </c>
      <c r="H947" t="s">
        <v>15</v>
      </c>
      <c r="I947" t="str">
        <f t="shared" si="56"/>
        <v>2024-07</v>
      </c>
      <c r="J947" s="4">
        <f t="shared" si="57"/>
        <v>85.220454545454544</v>
      </c>
      <c r="K947" t="str" cm="1">
        <f t="array" ref="K947">_xlfn.IFS(G947&lt;=5, "Small", G947&lt;=15, "Medium", G947&gt;15, "Large")</f>
        <v>Large</v>
      </c>
      <c r="L947" t="str">
        <f t="shared" si="58"/>
        <v>Standard</v>
      </c>
      <c r="M947" t="str">
        <f t="shared" si="59"/>
        <v>Weekday</v>
      </c>
    </row>
    <row r="948" spans="1:13" x14ac:dyDescent="0.35">
      <c r="A948" t="s">
        <v>997</v>
      </c>
      <c r="B948" s="1">
        <v>45496</v>
      </c>
      <c r="C948" t="s">
        <v>162</v>
      </c>
      <c r="D948" t="s">
        <v>26</v>
      </c>
      <c r="E948" t="s">
        <v>11</v>
      </c>
      <c r="F948" s="4">
        <v>2103.7600000000002</v>
      </c>
      <c r="G948" s="5">
        <v>3</v>
      </c>
      <c r="H948" t="s">
        <v>15</v>
      </c>
      <c r="I948" t="str">
        <f t="shared" si="56"/>
        <v>2024-07</v>
      </c>
      <c r="J948" s="4">
        <f t="shared" si="57"/>
        <v>701.25333333333344</v>
      </c>
      <c r="K948" t="str" cm="1">
        <f t="array" ref="K948">_xlfn.IFS(G948&lt;=5, "Small", G948&lt;=15, "Medium", G948&gt;15, "Large")</f>
        <v>Small</v>
      </c>
      <c r="L948" t="str">
        <f t="shared" si="58"/>
        <v>Standard</v>
      </c>
      <c r="M948" t="str">
        <f t="shared" si="59"/>
        <v>Weekday</v>
      </c>
    </row>
    <row r="949" spans="1:13" x14ac:dyDescent="0.35">
      <c r="A949" t="s">
        <v>998</v>
      </c>
      <c r="B949" s="1">
        <v>45510</v>
      </c>
      <c r="C949" t="s">
        <v>42</v>
      </c>
      <c r="D949" t="s">
        <v>10</v>
      </c>
      <c r="E949" t="s">
        <v>11</v>
      </c>
      <c r="F949" s="4">
        <v>9196.7099999999991</v>
      </c>
      <c r="G949" s="5">
        <v>1</v>
      </c>
      <c r="H949" t="s">
        <v>15</v>
      </c>
      <c r="I949" t="str">
        <f t="shared" si="56"/>
        <v>2024-08</v>
      </c>
      <c r="J949" s="4">
        <f t="shared" si="57"/>
        <v>9196.7099999999991</v>
      </c>
      <c r="K949" t="str" cm="1">
        <f t="array" ref="K949">_xlfn.IFS(G949&lt;=5, "Small", G949&lt;=15, "Medium", G949&gt;15, "Large")</f>
        <v>Small</v>
      </c>
      <c r="L949" t="str">
        <f t="shared" si="58"/>
        <v>Standard</v>
      </c>
      <c r="M949" t="str">
        <f t="shared" si="59"/>
        <v>Weekday</v>
      </c>
    </row>
    <row r="950" spans="1:13" x14ac:dyDescent="0.35">
      <c r="A950" t="s">
        <v>999</v>
      </c>
      <c r="B950" s="1">
        <v>45497</v>
      </c>
      <c r="C950" t="s">
        <v>72</v>
      </c>
      <c r="D950" t="s">
        <v>10</v>
      </c>
      <c r="E950" t="s">
        <v>11</v>
      </c>
      <c r="F950" s="4">
        <v>16375.61</v>
      </c>
      <c r="G950" s="5">
        <v>1</v>
      </c>
      <c r="H950" t="s">
        <v>15</v>
      </c>
      <c r="I950" t="str">
        <f t="shared" si="56"/>
        <v>2024-07</v>
      </c>
      <c r="J950" s="4">
        <f t="shared" si="57"/>
        <v>16375.61</v>
      </c>
      <c r="K950" t="str" cm="1">
        <f t="array" ref="K950">_xlfn.IFS(G950&lt;=5, "Small", G950&lt;=15, "Medium", G950&gt;15, "Large")</f>
        <v>Small</v>
      </c>
      <c r="L950" t="str">
        <f t="shared" si="58"/>
        <v>Standard</v>
      </c>
      <c r="M950" t="str">
        <f t="shared" si="59"/>
        <v>Weekday</v>
      </c>
    </row>
    <row r="951" spans="1:13" x14ac:dyDescent="0.35">
      <c r="A951" t="s">
        <v>1000</v>
      </c>
      <c r="B951" s="1">
        <v>45062</v>
      </c>
      <c r="C951" t="s">
        <v>69</v>
      </c>
      <c r="D951" t="s">
        <v>31</v>
      </c>
      <c r="E951" t="s">
        <v>27</v>
      </c>
      <c r="F951" s="4">
        <v>17133.099999999999</v>
      </c>
      <c r="G951" s="5">
        <v>2</v>
      </c>
      <c r="H951" t="s">
        <v>15</v>
      </c>
      <c r="I951" t="str">
        <f t="shared" si="56"/>
        <v>2023-05</v>
      </c>
      <c r="J951" s="4">
        <f t="shared" si="57"/>
        <v>8566.5499999999993</v>
      </c>
      <c r="K951" t="str" cm="1">
        <f t="array" ref="K951">_xlfn.IFS(G951&lt;=5, "Small", G951&lt;=15, "Medium", G951&gt;15, "Large")</f>
        <v>Small</v>
      </c>
      <c r="L951" t="str">
        <f t="shared" si="58"/>
        <v>Standard</v>
      </c>
      <c r="M951" t="str">
        <f t="shared" si="59"/>
        <v>Weekday</v>
      </c>
    </row>
    <row r="952" spans="1:13" x14ac:dyDescent="0.35">
      <c r="A952" t="s">
        <v>1001</v>
      </c>
      <c r="B952" s="1">
        <v>44981</v>
      </c>
      <c r="C952" t="s">
        <v>82</v>
      </c>
      <c r="D952" t="s">
        <v>10</v>
      </c>
      <c r="E952" t="s">
        <v>18</v>
      </c>
      <c r="F952" s="4">
        <v>295.69</v>
      </c>
      <c r="G952" s="5">
        <v>29</v>
      </c>
      <c r="H952" t="s">
        <v>15</v>
      </c>
      <c r="I952" t="str">
        <f t="shared" si="56"/>
        <v>2023-02</v>
      </c>
      <c r="J952" s="4">
        <f t="shared" si="57"/>
        <v>10.196206896551724</v>
      </c>
      <c r="K952" t="str" cm="1">
        <f t="array" ref="K952">_xlfn.IFS(G952&lt;=5, "Small", G952&lt;=15, "Medium", G952&gt;15, "Large")</f>
        <v>Large</v>
      </c>
      <c r="L952" t="str">
        <f t="shared" si="58"/>
        <v>Standard</v>
      </c>
      <c r="M952" t="str">
        <f t="shared" si="59"/>
        <v>Weekday</v>
      </c>
    </row>
    <row r="953" spans="1:13" x14ac:dyDescent="0.35">
      <c r="A953" t="s">
        <v>1002</v>
      </c>
      <c r="B953" s="1">
        <v>45089</v>
      </c>
      <c r="C953" t="s">
        <v>25</v>
      </c>
      <c r="D953" t="s">
        <v>26</v>
      </c>
      <c r="E953" t="s">
        <v>27</v>
      </c>
      <c r="F953" s="4">
        <v>6519.74</v>
      </c>
      <c r="G953" s="5">
        <v>4</v>
      </c>
      <c r="H953" t="s">
        <v>15</v>
      </c>
      <c r="I953" t="str">
        <f t="shared" si="56"/>
        <v>2023-06</v>
      </c>
      <c r="J953" s="4">
        <f t="shared" si="57"/>
        <v>1629.9349999999999</v>
      </c>
      <c r="K953" t="str" cm="1">
        <f t="array" ref="K953">_xlfn.IFS(G953&lt;=5, "Small", G953&lt;=15, "Medium", G953&gt;15, "Large")</f>
        <v>Small</v>
      </c>
      <c r="L953" t="str">
        <f t="shared" si="58"/>
        <v>Standard</v>
      </c>
      <c r="M953" t="str">
        <f t="shared" si="59"/>
        <v>Weekday</v>
      </c>
    </row>
    <row r="954" spans="1:13" x14ac:dyDescent="0.35">
      <c r="A954" t="s">
        <v>1003</v>
      </c>
      <c r="B954" s="1">
        <v>45113</v>
      </c>
      <c r="C954" t="s">
        <v>72</v>
      </c>
      <c r="D954" t="s">
        <v>26</v>
      </c>
      <c r="E954" t="s">
        <v>11</v>
      </c>
      <c r="F954" s="4">
        <v>4046.39</v>
      </c>
      <c r="G954" s="5">
        <v>6</v>
      </c>
      <c r="H954" t="s">
        <v>15</v>
      </c>
      <c r="I954" t="str">
        <f t="shared" si="56"/>
        <v>2023-07</v>
      </c>
      <c r="J954" s="4">
        <f t="shared" si="57"/>
        <v>674.39833333333331</v>
      </c>
      <c r="K954" t="str" cm="1">
        <f t="array" ref="K954">_xlfn.IFS(G954&lt;=5, "Small", G954&lt;=15, "Medium", G954&gt;15, "Large")</f>
        <v>Medium</v>
      </c>
      <c r="L954" t="str">
        <f t="shared" si="58"/>
        <v>Standard</v>
      </c>
      <c r="M954" t="str">
        <f t="shared" si="59"/>
        <v>Weekday</v>
      </c>
    </row>
    <row r="955" spans="1:13" x14ac:dyDescent="0.35">
      <c r="A955" t="s">
        <v>1004</v>
      </c>
      <c r="B955" s="1">
        <v>44953</v>
      </c>
      <c r="C955" t="s">
        <v>84</v>
      </c>
      <c r="D955" t="s">
        <v>26</v>
      </c>
      <c r="E955" t="s">
        <v>11</v>
      </c>
      <c r="F955" s="4">
        <v>8573.08</v>
      </c>
      <c r="G955" s="5">
        <v>3</v>
      </c>
      <c r="H955" t="s">
        <v>15</v>
      </c>
      <c r="I955" t="str">
        <f t="shared" si="56"/>
        <v>2023-01</v>
      </c>
      <c r="J955" s="4">
        <f t="shared" si="57"/>
        <v>2857.6933333333332</v>
      </c>
      <c r="K955" t="str" cm="1">
        <f t="array" ref="K955">_xlfn.IFS(G955&lt;=5, "Small", G955&lt;=15, "Medium", G955&gt;15, "Large")</f>
        <v>Small</v>
      </c>
      <c r="L955" t="str">
        <f t="shared" si="58"/>
        <v>Standard</v>
      </c>
      <c r="M955" t="str">
        <f t="shared" si="59"/>
        <v>Weekday</v>
      </c>
    </row>
    <row r="956" spans="1:13" x14ac:dyDescent="0.35">
      <c r="A956" t="s">
        <v>1005</v>
      </c>
      <c r="B956" s="1">
        <v>45437</v>
      </c>
      <c r="C956" t="s">
        <v>53</v>
      </c>
      <c r="D956" t="s">
        <v>31</v>
      </c>
      <c r="E956" t="s">
        <v>11</v>
      </c>
      <c r="F956" s="4">
        <v>3917.62</v>
      </c>
      <c r="G956" s="5">
        <v>1</v>
      </c>
      <c r="H956" t="s">
        <v>15</v>
      </c>
      <c r="I956" t="str">
        <f t="shared" si="56"/>
        <v>2024-05</v>
      </c>
      <c r="J956" s="4">
        <f t="shared" si="57"/>
        <v>3917.62</v>
      </c>
      <c r="K956" t="str" cm="1">
        <f t="array" ref="K956">_xlfn.IFS(G956&lt;=5, "Small", G956&lt;=15, "Medium", G956&gt;15, "Large")</f>
        <v>Small</v>
      </c>
      <c r="L956" t="str">
        <f t="shared" si="58"/>
        <v>Standard</v>
      </c>
      <c r="M956" t="str">
        <f t="shared" si="59"/>
        <v>Weekend</v>
      </c>
    </row>
    <row r="957" spans="1:13" x14ac:dyDescent="0.35">
      <c r="A957" t="s">
        <v>1006</v>
      </c>
      <c r="B957" s="1">
        <v>45596</v>
      </c>
      <c r="C957" t="s">
        <v>30</v>
      </c>
      <c r="D957" t="s">
        <v>31</v>
      </c>
      <c r="E957" t="s">
        <v>27</v>
      </c>
      <c r="F957" s="4">
        <v>11790.61</v>
      </c>
      <c r="G957" s="5">
        <v>2</v>
      </c>
      <c r="H957" t="s">
        <v>15</v>
      </c>
      <c r="I957" t="str">
        <f t="shared" si="56"/>
        <v>2024-10</v>
      </c>
      <c r="J957" s="4">
        <f t="shared" si="57"/>
        <v>5895.3050000000003</v>
      </c>
      <c r="K957" t="str" cm="1">
        <f t="array" ref="K957">_xlfn.IFS(G957&lt;=5, "Small", G957&lt;=15, "Medium", G957&gt;15, "Large")</f>
        <v>Small</v>
      </c>
      <c r="L957" t="str">
        <f t="shared" si="58"/>
        <v>Standard</v>
      </c>
      <c r="M957" t="str">
        <f t="shared" si="59"/>
        <v>Weekday</v>
      </c>
    </row>
    <row r="958" spans="1:13" x14ac:dyDescent="0.35">
      <c r="A958" t="s">
        <v>1007</v>
      </c>
      <c r="B958" s="1">
        <v>45518</v>
      </c>
      <c r="C958" t="s">
        <v>69</v>
      </c>
      <c r="D958" t="s">
        <v>31</v>
      </c>
      <c r="E958" t="s">
        <v>27</v>
      </c>
      <c r="F958" s="4">
        <v>3121.53</v>
      </c>
      <c r="G958" s="5">
        <v>4</v>
      </c>
      <c r="H958" t="s">
        <v>15</v>
      </c>
      <c r="I958" t="str">
        <f t="shared" si="56"/>
        <v>2024-08</v>
      </c>
      <c r="J958" s="4">
        <f t="shared" si="57"/>
        <v>780.38250000000005</v>
      </c>
      <c r="K958" t="str" cm="1">
        <f t="array" ref="K958">_xlfn.IFS(G958&lt;=5, "Small", G958&lt;=15, "Medium", G958&gt;15, "Large")</f>
        <v>Small</v>
      </c>
      <c r="L958" t="str">
        <f t="shared" si="58"/>
        <v>Standard</v>
      </c>
      <c r="M958" t="str">
        <f t="shared" si="59"/>
        <v>Weekday</v>
      </c>
    </row>
    <row r="959" spans="1:13" x14ac:dyDescent="0.35">
      <c r="A959" t="s">
        <v>1008</v>
      </c>
      <c r="B959" s="1">
        <v>45566</v>
      </c>
      <c r="C959" t="s">
        <v>33</v>
      </c>
      <c r="D959" t="s">
        <v>10</v>
      </c>
      <c r="E959" t="s">
        <v>18</v>
      </c>
      <c r="F959" s="4">
        <v>376.83</v>
      </c>
      <c r="G959" s="5">
        <v>11</v>
      </c>
      <c r="H959" t="s">
        <v>15</v>
      </c>
      <c r="I959" t="str">
        <f t="shared" si="56"/>
        <v>2024-10</v>
      </c>
      <c r="J959" s="4">
        <f t="shared" si="57"/>
        <v>34.257272727272728</v>
      </c>
      <c r="K959" t="str" cm="1">
        <f t="array" ref="K959">_xlfn.IFS(G959&lt;=5, "Small", G959&lt;=15, "Medium", G959&gt;15, "Large")</f>
        <v>Medium</v>
      </c>
      <c r="L959" t="str">
        <f t="shared" si="58"/>
        <v>Standard</v>
      </c>
      <c r="M959" t="str">
        <f t="shared" si="59"/>
        <v>Weekday</v>
      </c>
    </row>
    <row r="960" spans="1:13" x14ac:dyDescent="0.35">
      <c r="A960" t="s">
        <v>1009</v>
      </c>
      <c r="B960" s="1">
        <v>44957</v>
      </c>
      <c r="C960" t="s">
        <v>82</v>
      </c>
      <c r="D960" t="s">
        <v>10</v>
      </c>
      <c r="E960" t="s">
        <v>11</v>
      </c>
      <c r="F960" s="4">
        <v>12208.64</v>
      </c>
      <c r="G960" s="5">
        <v>2</v>
      </c>
      <c r="H960" t="s">
        <v>15</v>
      </c>
      <c r="I960" t="str">
        <f t="shared" si="56"/>
        <v>2023-01</v>
      </c>
      <c r="J960" s="4">
        <f t="shared" si="57"/>
        <v>6104.32</v>
      </c>
      <c r="K960" t="str" cm="1">
        <f t="array" ref="K960">_xlfn.IFS(G960&lt;=5, "Small", G960&lt;=15, "Medium", G960&gt;15, "Large")</f>
        <v>Small</v>
      </c>
      <c r="L960" t="str">
        <f t="shared" si="58"/>
        <v>Standard</v>
      </c>
      <c r="M960" t="str">
        <f t="shared" si="59"/>
        <v>Weekday</v>
      </c>
    </row>
    <row r="961" spans="1:13" x14ac:dyDescent="0.35">
      <c r="A961" t="s">
        <v>1010</v>
      </c>
      <c r="B961" s="1">
        <v>45625</v>
      </c>
      <c r="C961" t="s">
        <v>89</v>
      </c>
      <c r="D961" t="s">
        <v>21</v>
      </c>
      <c r="E961" t="s">
        <v>27</v>
      </c>
      <c r="F961" s="4">
        <v>29413.82</v>
      </c>
      <c r="G961" s="5">
        <v>5</v>
      </c>
      <c r="H961" t="s">
        <v>15</v>
      </c>
      <c r="I961" t="str">
        <f t="shared" si="56"/>
        <v>2024-11</v>
      </c>
      <c r="J961" s="4">
        <f t="shared" si="57"/>
        <v>5882.7640000000001</v>
      </c>
      <c r="K961" t="str" cm="1">
        <f t="array" ref="K961">_xlfn.IFS(G961&lt;=5, "Small", G961&lt;=15, "Medium", G961&gt;15, "Large")</f>
        <v>Small</v>
      </c>
      <c r="L961" t="str">
        <f t="shared" si="58"/>
        <v>VIP</v>
      </c>
      <c r="M961" t="str">
        <f t="shared" si="59"/>
        <v>Weekday</v>
      </c>
    </row>
    <row r="962" spans="1:13" x14ac:dyDescent="0.35">
      <c r="A962" t="s">
        <v>1011</v>
      </c>
      <c r="B962" s="1">
        <v>45630</v>
      </c>
      <c r="C962" t="s">
        <v>58</v>
      </c>
      <c r="D962" t="s">
        <v>21</v>
      </c>
      <c r="E962" t="s">
        <v>27</v>
      </c>
      <c r="F962" s="4">
        <v>19888.939999999999</v>
      </c>
      <c r="G962" s="5">
        <v>3</v>
      </c>
      <c r="H962" t="s">
        <v>15</v>
      </c>
      <c r="I962" t="str">
        <f t="shared" si="56"/>
        <v>2024-12</v>
      </c>
      <c r="J962" s="4">
        <f t="shared" si="57"/>
        <v>6629.6466666666665</v>
      </c>
      <c r="K962" t="str" cm="1">
        <f t="array" ref="K962">_xlfn.IFS(G962&lt;=5, "Small", G962&lt;=15, "Medium", G962&gt;15, "Large")</f>
        <v>Small</v>
      </c>
      <c r="L962" t="str">
        <f t="shared" si="58"/>
        <v>Standard</v>
      </c>
      <c r="M962" t="str">
        <f t="shared" si="59"/>
        <v>Weekday</v>
      </c>
    </row>
    <row r="963" spans="1:13" x14ac:dyDescent="0.35">
      <c r="A963" t="s">
        <v>1012</v>
      </c>
      <c r="B963" s="1">
        <v>45601</v>
      </c>
      <c r="C963" t="s">
        <v>48</v>
      </c>
      <c r="D963" t="s">
        <v>31</v>
      </c>
      <c r="E963" t="s">
        <v>27</v>
      </c>
      <c r="F963" s="4">
        <v>12953.34</v>
      </c>
      <c r="G963" s="5">
        <v>2</v>
      </c>
      <c r="H963" t="s">
        <v>15</v>
      </c>
      <c r="I963" t="str">
        <f t="shared" ref="I963:I1026" si="60">TEXT(B963, "YYYY-MM")</f>
        <v>2024-11</v>
      </c>
      <c r="J963" s="4">
        <f t="shared" ref="J963:J1026" si="61">IFERROR(F963/G963, 0)</f>
        <v>6476.67</v>
      </c>
      <c r="K963" t="str" cm="1">
        <f t="array" ref="K963">_xlfn.IFS(G963&lt;=5, "Small", G963&lt;=15, "Medium", G963&gt;15, "Large")</f>
        <v>Small</v>
      </c>
      <c r="L963" t="str">
        <f t="shared" ref="L963:L1026" si="62">IF(F963&gt;_xlfn.PERCENTILE.INC($F$2:$F$10000, 0.9), "VIP", "Standard")</f>
        <v>Standard</v>
      </c>
      <c r="M963" t="str">
        <f t="shared" ref="M963:M1026" si="63">IF(WEEKDAY(B963, 2)&gt;5, "Weekend", "Weekday")</f>
        <v>Weekday</v>
      </c>
    </row>
    <row r="964" spans="1:13" x14ac:dyDescent="0.35">
      <c r="A964" t="s">
        <v>1013</v>
      </c>
      <c r="B964" s="1">
        <v>44986</v>
      </c>
      <c r="C964" t="s">
        <v>42</v>
      </c>
      <c r="D964" t="s">
        <v>10</v>
      </c>
      <c r="E964" t="s">
        <v>11</v>
      </c>
      <c r="F964" s="4">
        <v>0</v>
      </c>
      <c r="G964" s="5">
        <v>5</v>
      </c>
      <c r="H964" t="s">
        <v>28</v>
      </c>
      <c r="I964" t="str">
        <f t="shared" si="60"/>
        <v>2023-03</v>
      </c>
      <c r="J964" s="4">
        <f t="shared" si="61"/>
        <v>0</v>
      </c>
      <c r="K964" t="str" cm="1">
        <f t="array" ref="K964">_xlfn.IFS(G964&lt;=5, "Small", G964&lt;=15, "Medium", G964&gt;15, "Large")</f>
        <v>Small</v>
      </c>
      <c r="L964" t="str">
        <f t="shared" si="62"/>
        <v>Standard</v>
      </c>
      <c r="M964" t="str">
        <f t="shared" si="63"/>
        <v>Weekday</v>
      </c>
    </row>
    <row r="965" spans="1:13" x14ac:dyDescent="0.35">
      <c r="A965" t="s">
        <v>1014</v>
      </c>
      <c r="B965" s="1">
        <v>45117</v>
      </c>
      <c r="C965" t="s">
        <v>30</v>
      </c>
      <c r="D965" t="s">
        <v>31</v>
      </c>
      <c r="E965" t="s">
        <v>27</v>
      </c>
      <c r="F965" s="4">
        <v>32411.66</v>
      </c>
      <c r="G965" s="5">
        <v>1</v>
      </c>
      <c r="H965" t="s">
        <v>15</v>
      </c>
      <c r="I965" t="str">
        <f t="shared" si="60"/>
        <v>2023-07</v>
      </c>
      <c r="J965" s="4">
        <f t="shared" si="61"/>
        <v>32411.66</v>
      </c>
      <c r="K965" t="str" cm="1">
        <f t="array" ref="K965">_xlfn.IFS(G965&lt;=5, "Small", G965&lt;=15, "Medium", G965&gt;15, "Large")</f>
        <v>Small</v>
      </c>
      <c r="L965" t="str">
        <f t="shared" si="62"/>
        <v>VIP</v>
      </c>
      <c r="M965" t="str">
        <f t="shared" si="63"/>
        <v>Weekday</v>
      </c>
    </row>
    <row r="966" spans="1:13" x14ac:dyDescent="0.35">
      <c r="A966" t="s">
        <v>1015</v>
      </c>
      <c r="B966" s="1">
        <v>45582</v>
      </c>
      <c r="C966" t="s">
        <v>162</v>
      </c>
      <c r="D966" t="s">
        <v>26</v>
      </c>
      <c r="E966" t="s">
        <v>11</v>
      </c>
      <c r="F966" s="4">
        <v>15218.48</v>
      </c>
      <c r="G966" s="5">
        <v>1</v>
      </c>
      <c r="H966" t="s">
        <v>15</v>
      </c>
      <c r="I966" t="str">
        <f t="shared" si="60"/>
        <v>2024-10</v>
      </c>
      <c r="J966" s="4">
        <f t="shared" si="61"/>
        <v>15218.48</v>
      </c>
      <c r="K966" t="str" cm="1">
        <f t="array" ref="K966">_xlfn.IFS(G966&lt;=5, "Small", G966&lt;=15, "Medium", G966&gt;15, "Large")</f>
        <v>Small</v>
      </c>
      <c r="L966" t="str">
        <f t="shared" si="62"/>
        <v>Standard</v>
      </c>
      <c r="M966" t="str">
        <f t="shared" si="63"/>
        <v>Weekday</v>
      </c>
    </row>
    <row r="967" spans="1:13" x14ac:dyDescent="0.35">
      <c r="A967" t="s">
        <v>1016</v>
      </c>
      <c r="B967" s="1">
        <v>45517</v>
      </c>
      <c r="C967" t="s">
        <v>20</v>
      </c>
      <c r="D967" t="s">
        <v>21</v>
      </c>
      <c r="E967" t="s">
        <v>18</v>
      </c>
      <c r="F967" s="4">
        <v>3062.35</v>
      </c>
      <c r="G967" s="5">
        <v>17</v>
      </c>
      <c r="H967" t="s">
        <v>15</v>
      </c>
      <c r="I967" t="str">
        <f t="shared" si="60"/>
        <v>2024-08</v>
      </c>
      <c r="J967" s="4">
        <f t="shared" si="61"/>
        <v>180.13823529411764</v>
      </c>
      <c r="K967" t="str" cm="1">
        <f t="array" ref="K967">_xlfn.IFS(G967&lt;=5, "Small", G967&lt;=15, "Medium", G967&gt;15, "Large")</f>
        <v>Large</v>
      </c>
      <c r="L967" t="str">
        <f t="shared" si="62"/>
        <v>Standard</v>
      </c>
      <c r="M967" t="str">
        <f t="shared" si="63"/>
        <v>Weekday</v>
      </c>
    </row>
    <row r="968" spans="1:13" x14ac:dyDescent="0.35">
      <c r="A968" t="s">
        <v>1017</v>
      </c>
      <c r="B968" s="1">
        <v>45160</v>
      </c>
      <c r="C968" t="s">
        <v>111</v>
      </c>
      <c r="D968" t="s">
        <v>31</v>
      </c>
      <c r="E968" t="s">
        <v>27</v>
      </c>
      <c r="F968" s="4">
        <v>21770.17</v>
      </c>
      <c r="G968" s="5">
        <v>5</v>
      </c>
      <c r="H968" t="s">
        <v>15</v>
      </c>
      <c r="I968" t="str">
        <f t="shared" si="60"/>
        <v>2023-08</v>
      </c>
      <c r="J968" s="4">
        <f t="shared" si="61"/>
        <v>4354.0339999999997</v>
      </c>
      <c r="K968" t="str" cm="1">
        <f t="array" ref="K968">_xlfn.IFS(G968&lt;=5, "Small", G968&lt;=15, "Medium", G968&gt;15, "Large")</f>
        <v>Small</v>
      </c>
      <c r="L968" t="str">
        <f t="shared" si="62"/>
        <v>Standard</v>
      </c>
      <c r="M968" t="str">
        <f t="shared" si="63"/>
        <v>Weekday</v>
      </c>
    </row>
    <row r="969" spans="1:13" x14ac:dyDescent="0.35">
      <c r="A969" t="s">
        <v>1018</v>
      </c>
      <c r="B969" s="1">
        <v>45339</v>
      </c>
      <c r="C969" t="s">
        <v>53</v>
      </c>
      <c r="D969" t="s">
        <v>31</v>
      </c>
      <c r="E969" t="s">
        <v>27</v>
      </c>
      <c r="F969" s="4">
        <v>0</v>
      </c>
      <c r="G969" s="5">
        <v>4</v>
      </c>
      <c r="H969" t="s">
        <v>28</v>
      </c>
      <c r="I969" t="str">
        <f t="shared" si="60"/>
        <v>2024-02</v>
      </c>
      <c r="J969" s="4">
        <f t="shared" si="61"/>
        <v>0</v>
      </c>
      <c r="K969" t="str" cm="1">
        <f t="array" ref="K969">_xlfn.IFS(G969&lt;=5, "Small", G969&lt;=15, "Medium", G969&gt;15, "Large")</f>
        <v>Small</v>
      </c>
      <c r="L969" t="str">
        <f t="shared" si="62"/>
        <v>Standard</v>
      </c>
      <c r="M969" t="str">
        <f t="shared" si="63"/>
        <v>Weekend</v>
      </c>
    </row>
    <row r="970" spans="1:13" x14ac:dyDescent="0.35">
      <c r="A970" t="s">
        <v>701</v>
      </c>
      <c r="B970" s="1">
        <v>45422</v>
      </c>
      <c r="C970" t="s">
        <v>55</v>
      </c>
      <c r="D970" t="s">
        <v>10</v>
      </c>
      <c r="E970" t="s">
        <v>18</v>
      </c>
      <c r="F970" s="4">
        <v>2108.9299999999998</v>
      </c>
      <c r="G970" s="5">
        <v>4</v>
      </c>
      <c r="H970" t="s">
        <v>15</v>
      </c>
      <c r="I970" t="str">
        <f t="shared" si="60"/>
        <v>2024-05</v>
      </c>
      <c r="J970" s="4">
        <f t="shared" si="61"/>
        <v>527.23249999999996</v>
      </c>
      <c r="K970" t="str" cm="1">
        <f t="array" ref="K970">_xlfn.IFS(G970&lt;=5, "Small", G970&lt;=15, "Medium", G970&gt;15, "Large")</f>
        <v>Small</v>
      </c>
      <c r="L970" t="str">
        <f t="shared" si="62"/>
        <v>Standard</v>
      </c>
      <c r="M970" t="str">
        <f t="shared" si="63"/>
        <v>Weekday</v>
      </c>
    </row>
    <row r="971" spans="1:13" x14ac:dyDescent="0.35">
      <c r="A971" t="s">
        <v>1019</v>
      </c>
      <c r="B971" s="1">
        <v>45064</v>
      </c>
      <c r="C971" t="s">
        <v>50</v>
      </c>
      <c r="D971" t="s">
        <v>26</v>
      </c>
      <c r="E971" t="s">
        <v>11</v>
      </c>
      <c r="F971" s="4">
        <v>14000.35</v>
      </c>
      <c r="G971" s="5">
        <v>6</v>
      </c>
      <c r="H971" t="s">
        <v>15</v>
      </c>
      <c r="I971" t="str">
        <f t="shared" si="60"/>
        <v>2023-05</v>
      </c>
      <c r="J971" s="4">
        <f t="shared" si="61"/>
        <v>2333.3916666666669</v>
      </c>
      <c r="K971" t="str" cm="1">
        <f t="array" ref="K971">_xlfn.IFS(G971&lt;=5, "Small", G971&lt;=15, "Medium", G971&gt;15, "Large")</f>
        <v>Medium</v>
      </c>
      <c r="L971" t="str">
        <f t="shared" si="62"/>
        <v>Standard</v>
      </c>
      <c r="M971" t="str">
        <f t="shared" si="63"/>
        <v>Weekday</v>
      </c>
    </row>
    <row r="972" spans="1:13" x14ac:dyDescent="0.35">
      <c r="A972" t="s">
        <v>1020</v>
      </c>
      <c r="B972" s="1">
        <v>45273</v>
      </c>
      <c r="C972" t="s">
        <v>91</v>
      </c>
      <c r="D972" t="s">
        <v>26</v>
      </c>
      <c r="E972" t="s">
        <v>27</v>
      </c>
      <c r="F972" s="4">
        <v>0</v>
      </c>
      <c r="G972" s="5">
        <v>2</v>
      </c>
      <c r="H972" t="s">
        <v>28</v>
      </c>
      <c r="I972" t="str">
        <f t="shared" si="60"/>
        <v>2023-12</v>
      </c>
      <c r="J972" s="4">
        <f t="shared" si="61"/>
        <v>0</v>
      </c>
      <c r="K972" t="str" cm="1">
        <f t="array" ref="K972">_xlfn.IFS(G972&lt;=5, "Small", G972&lt;=15, "Medium", G972&gt;15, "Large")</f>
        <v>Small</v>
      </c>
      <c r="L972" t="str">
        <f t="shared" si="62"/>
        <v>Standard</v>
      </c>
      <c r="M972" t="str">
        <f t="shared" si="63"/>
        <v>Weekday</v>
      </c>
    </row>
    <row r="973" spans="1:13" x14ac:dyDescent="0.35">
      <c r="A973" t="s">
        <v>1021</v>
      </c>
      <c r="B973" s="1">
        <v>45135</v>
      </c>
      <c r="C973" t="s">
        <v>9</v>
      </c>
      <c r="D973" t="s">
        <v>10</v>
      </c>
      <c r="E973" t="s">
        <v>11</v>
      </c>
      <c r="F973" s="4">
        <v>0</v>
      </c>
      <c r="G973" s="5">
        <v>6</v>
      </c>
      <c r="H973" t="s">
        <v>28</v>
      </c>
      <c r="I973" t="str">
        <f t="shared" si="60"/>
        <v>2023-07</v>
      </c>
      <c r="J973" s="4">
        <f t="shared" si="61"/>
        <v>0</v>
      </c>
      <c r="K973" t="str" cm="1">
        <f t="array" ref="K973">_xlfn.IFS(G973&lt;=5, "Small", G973&lt;=15, "Medium", G973&gt;15, "Large")</f>
        <v>Medium</v>
      </c>
      <c r="L973" t="str">
        <f t="shared" si="62"/>
        <v>Standard</v>
      </c>
      <c r="M973" t="str">
        <f t="shared" si="63"/>
        <v>Weekday</v>
      </c>
    </row>
    <row r="974" spans="1:13" x14ac:dyDescent="0.35">
      <c r="A974" t="s">
        <v>1022</v>
      </c>
      <c r="B974" s="1">
        <v>45649</v>
      </c>
      <c r="C974" t="s">
        <v>58</v>
      </c>
      <c r="D974" t="s">
        <v>31</v>
      </c>
      <c r="E974" t="s">
        <v>27</v>
      </c>
      <c r="F974" s="4">
        <v>40838.9</v>
      </c>
      <c r="G974" s="5">
        <v>1</v>
      </c>
      <c r="H974" t="s">
        <v>15</v>
      </c>
      <c r="I974" t="str">
        <f t="shared" si="60"/>
        <v>2024-12</v>
      </c>
      <c r="J974" s="4">
        <f t="shared" si="61"/>
        <v>40838.9</v>
      </c>
      <c r="K974" t="str" cm="1">
        <f t="array" ref="K974">_xlfn.IFS(G974&lt;=5, "Small", G974&lt;=15, "Medium", G974&gt;15, "Large")</f>
        <v>Small</v>
      </c>
      <c r="L974" t="str">
        <f t="shared" si="62"/>
        <v>VIP</v>
      </c>
      <c r="M974" t="str">
        <f t="shared" si="63"/>
        <v>Weekday</v>
      </c>
    </row>
    <row r="975" spans="1:13" x14ac:dyDescent="0.35">
      <c r="A975" t="s">
        <v>854</v>
      </c>
      <c r="B975" s="1">
        <v>45494</v>
      </c>
      <c r="C975" t="s">
        <v>111</v>
      </c>
      <c r="D975" t="s">
        <v>31</v>
      </c>
      <c r="E975" t="s">
        <v>27</v>
      </c>
      <c r="F975" s="4">
        <v>3937.89</v>
      </c>
      <c r="G975" s="5">
        <v>1</v>
      </c>
      <c r="H975" t="s">
        <v>15</v>
      </c>
      <c r="I975" t="str">
        <f t="shared" si="60"/>
        <v>2024-07</v>
      </c>
      <c r="J975" s="4">
        <f t="shared" si="61"/>
        <v>3937.89</v>
      </c>
      <c r="K975" t="str" cm="1">
        <f t="array" ref="K975">_xlfn.IFS(G975&lt;=5, "Small", G975&lt;=15, "Medium", G975&gt;15, "Large")</f>
        <v>Small</v>
      </c>
      <c r="L975" t="str">
        <f t="shared" si="62"/>
        <v>Standard</v>
      </c>
      <c r="M975" t="str">
        <f t="shared" si="63"/>
        <v>Weekend</v>
      </c>
    </row>
    <row r="976" spans="1:13" x14ac:dyDescent="0.35">
      <c r="A976" t="s">
        <v>1023</v>
      </c>
      <c r="B976" s="1">
        <v>45009</v>
      </c>
      <c r="C976" t="s">
        <v>48</v>
      </c>
      <c r="D976" t="s">
        <v>31</v>
      </c>
      <c r="E976" t="s">
        <v>11</v>
      </c>
      <c r="F976" s="4">
        <v>2399.81</v>
      </c>
      <c r="G976" s="5">
        <v>7</v>
      </c>
      <c r="H976" t="s">
        <v>15</v>
      </c>
      <c r="I976" t="str">
        <f t="shared" si="60"/>
        <v>2023-03</v>
      </c>
      <c r="J976" s="4">
        <f t="shared" si="61"/>
        <v>342.83</v>
      </c>
      <c r="K976" t="str" cm="1">
        <f t="array" ref="K976">_xlfn.IFS(G976&lt;=5, "Small", G976&lt;=15, "Medium", G976&gt;15, "Large")</f>
        <v>Medium</v>
      </c>
      <c r="L976" t="str">
        <f t="shared" si="62"/>
        <v>Standard</v>
      </c>
      <c r="M976" t="str">
        <f t="shared" si="63"/>
        <v>Weekday</v>
      </c>
    </row>
    <row r="977" spans="1:13" x14ac:dyDescent="0.35">
      <c r="A977" t="s">
        <v>1024</v>
      </c>
      <c r="B977" s="1">
        <v>45651</v>
      </c>
      <c r="C977" t="s">
        <v>23</v>
      </c>
      <c r="D977" t="s">
        <v>21</v>
      </c>
      <c r="E977" t="s">
        <v>18</v>
      </c>
      <c r="F977" s="4">
        <v>2161.65</v>
      </c>
      <c r="G977" s="5">
        <v>6</v>
      </c>
      <c r="H977" t="s">
        <v>15</v>
      </c>
      <c r="I977" t="str">
        <f t="shared" si="60"/>
        <v>2024-12</v>
      </c>
      <c r="J977" s="4">
        <f t="shared" si="61"/>
        <v>360.27500000000003</v>
      </c>
      <c r="K977" t="str" cm="1">
        <f t="array" ref="K977">_xlfn.IFS(G977&lt;=5, "Small", G977&lt;=15, "Medium", G977&gt;15, "Large")</f>
        <v>Medium</v>
      </c>
      <c r="L977" t="str">
        <f t="shared" si="62"/>
        <v>Standard</v>
      </c>
      <c r="M977" t="str">
        <f t="shared" si="63"/>
        <v>Weekday</v>
      </c>
    </row>
    <row r="978" spans="1:13" x14ac:dyDescent="0.35">
      <c r="A978" t="s">
        <v>1025</v>
      </c>
      <c r="B978" s="1">
        <v>45584</v>
      </c>
      <c r="C978" t="s">
        <v>23</v>
      </c>
      <c r="D978" t="s">
        <v>21</v>
      </c>
      <c r="E978" t="s">
        <v>18</v>
      </c>
      <c r="F978" s="4">
        <v>2202.6999999999998</v>
      </c>
      <c r="G978" s="5">
        <v>19</v>
      </c>
      <c r="H978" t="s">
        <v>15</v>
      </c>
      <c r="I978" t="str">
        <f t="shared" si="60"/>
        <v>2024-10</v>
      </c>
      <c r="J978" s="4">
        <f t="shared" si="61"/>
        <v>115.93157894736841</v>
      </c>
      <c r="K978" t="str" cm="1">
        <f t="array" ref="K978">_xlfn.IFS(G978&lt;=5, "Small", G978&lt;=15, "Medium", G978&gt;15, "Large")</f>
        <v>Large</v>
      </c>
      <c r="L978" t="str">
        <f t="shared" si="62"/>
        <v>Standard</v>
      </c>
      <c r="M978" t="str">
        <f t="shared" si="63"/>
        <v>Weekend</v>
      </c>
    </row>
    <row r="979" spans="1:13" x14ac:dyDescent="0.35">
      <c r="A979" t="s">
        <v>1026</v>
      </c>
      <c r="B979" s="1">
        <v>44994</v>
      </c>
      <c r="C979" t="s">
        <v>69</v>
      </c>
      <c r="D979" t="s">
        <v>31</v>
      </c>
      <c r="E979" t="s">
        <v>18</v>
      </c>
      <c r="F979" s="4">
        <v>2856.33</v>
      </c>
      <c r="G979" s="5">
        <v>24</v>
      </c>
      <c r="H979" t="s">
        <v>15</v>
      </c>
      <c r="I979" t="str">
        <f t="shared" si="60"/>
        <v>2023-03</v>
      </c>
      <c r="J979" s="4">
        <f t="shared" si="61"/>
        <v>119.01375</v>
      </c>
      <c r="K979" t="str" cm="1">
        <f t="array" ref="K979">_xlfn.IFS(G979&lt;=5, "Small", G979&lt;=15, "Medium", G979&gt;15, "Large")</f>
        <v>Large</v>
      </c>
      <c r="L979" t="str">
        <f t="shared" si="62"/>
        <v>Standard</v>
      </c>
      <c r="M979" t="str">
        <f t="shared" si="63"/>
        <v>Weekday</v>
      </c>
    </row>
    <row r="980" spans="1:13" x14ac:dyDescent="0.35">
      <c r="A980" t="s">
        <v>1027</v>
      </c>
      <c r="B980" s="1">
        <v>45040</v>
      </c>
      <c r="C980" t="s">
        <v>74</v>
      </c>
      <c r="D980" t="s">
        <v>31</v>
      </c>
      <c r="E980" t="s">
        <v>18</v>
      </c>
      <c r="F980" s="4">
        <v>3395.34</v>
      </c>
      <c r="G980" s="5">
        <v>27</v>
      </c>
      <c r="H980" t="s">
        <v>15</v>
      </c>
      <c r="I980" t="str">
        <f t="shared" si="60"/>
        <v>2023-04</v>
      </c>
      <c r="J980" s="4">
        <f t="shared" si="61"/>
        <v>125.75333333333334</v>
      </c>
      <c r="K980" t="str" cm="1">
        <f t="array" ref="K980">_xlfn.IFS(G980&lt;=5, "Small", G980&lt;=15, "Medium", G980&gt;15, "Large")</f>
        <v>Large</v>
      </c>
      <c r="L980" t="str">
        <f t="shared" si="62"/>
        <v>Standard</v>
      </c>
      <c r="M980" t="str">
        <f t="shared" si="63"/>
        <v>Weekday</v>
      </c>
    </row>
    <row r="981" spans="1:13" x14ac:dyDescent="0.35">
      <c r="A981" t="s">
        <v>1028</v>
      </c>
      <c r="B981" s="1">
        <v>45033</v>
      </c>
      <c r="C981" t="s">
        <v>72</v>
      </c>
      <c r="D981" t="s">
        <v>26</v>
      </c>
      <c r="E981" t="s">
        <v>27</v>
      </c>
      <c r="F981" s="4">
        <v>7785.62</v>
      </c>
      <c r="G981" s="5">
        <v>1</v>
      </c>
      <c r="H981" t="s">
        <v>15</v>
      </c>
      <c r="I981" t="str">
        <f t="shared" si="60"/>
        <v>2023-04</v>
      </c>
      <c r="J981" s="4">
        <f t="shared" si="61"/>
        <v>7785.62</v>
      </c>
      <c r="K981" t="str" cm="1">
        <f t="array" ref="K981">_xlfn.IFS(G981&lt;=5, "Small", G981&lt;=15, "Medium", G981&gt;15, "Large")</f>
        <v>Small</v>
      </c>
      <c r="L981" t="str">
        <f t="shared" si="62"/>
        <v>Standard</v>
      </c>
      <c r="M981" t="str">
        <f t="shared" si="63"/>
        <v>Weekday</v>
      </c>
    </row>
    <row r="982" spans="1:13" x14ac:dyDescent="0.35">
      <c r="A982" t="s">
        <v>1029</v>
      </c>
      <c r="B982" s="1">
        <v>45350</v>
      </c>
      <c r="C982" t="s">
        <v>60</v>
      </c>
      <c r="D982" t="s">
        <v>31</v>
      </c>
      <c r="E982" t="s">
        <v>27</v>
      </c>
      <c r="F982" s="4">
        <v>0</v>
      </c>
      <c r="G982" s="5">
        <v>1</v>
      </c>
      <c r="H982" t="s">
        <v>28</v>
      </c>
      <c r="I982" t="str">
        <f t="shared" si="60"/>
        <v>2024-02</v>
      </c>
      <c r="J982" s="4">
        <f t="shared" si="61"/>
        <v>0</v>
      </c>
      <c r="K982" t="str" cm="1">
        <f t="array" ref="K982">_xlfn.IFS(G982&lt;=5, "Small", G982&lt;=15, "Medium", G982&gt;15, "Large")</f>
        <v>Small</v>
      </c>
      <c r="L982" t="str">
        <f t="shared" si="62"/>
        <v>Standard</v>
      </c>
      <c r="M982" t="str">
        <f t="shared" si="63"/>
        <v>Weekday</v>
      </c>
    </row>
    <row r="983" spans="1:13" x14ac:dyDescent="0.35">
      <c r="A983" t="s">
        <v>1030</v>
      </c>
      <c r="B983" s="1">
        <v>44973</v>
      </c>
      <c r="C983" t="s">
        <v>72</v>
      </c>
      <c r="D983" t="s">
        <v>26</v>
      </c>
      <c r="E983" t="s">
        <v>18</v>
      </c>
      <c r="F983" s="4">
        <v>0</v>
      </c>
      <c r="G983" s="5">
        <v>21</v>
      </c>
      <c r="H983" t="s">
        <v>12</v>
      </c>
      <c r="I983" t="str">
        <f t="shared" si="60"/>
        <v>2023-02</v>
      </c>
      <c r="J983" s="4">
        <f t="shared" si="61"/>
        <v>0</v>
      </c>
      <c r="K983" t="str" cm="1">
        <f t="array" ref="K983">_xlfn.IFS(G983&lt;=5, "Small", G983&lt;=15, "Medium", G983&gt;15, "Large")</f>
        <v>Large</v>
      </c>
      <c r="L983" t="str">
        <f t="shared" si="62"/>
        <v>Standard</v>
      </c>
      <c r="M983" t="str">
        <f t="shared" si="63"/>
        <v>Weekday</v>
      </c>
    </row>
    <row r="984" spans="1:13" x14ac:dyDescent="0.35">
      <c r="A984" t="s">
        <v>1031</v>
      </c>
      <c r="B984" s="1">
        <v>45015</v>
      </c>
      <c r="C984" t="s">
        <v>37</v>
      </c>
      <c r="D984" t="s">
        <v>21</v>
      </c>
      <c r="E984" t="s">
        <v>18</v>
      </c>
      <c r="F984" s="4">
        <v>2530.1</v>
      </c>
      <c r="G984" s="5">
        <v>17</v>
      </c>
      <c r="H984" t="s">
        <v>15</v>
      </c>
      <c r="I984" t="str">
        <f t="shared" si="60"/>
        <v>2023-03</v>
      </c>
      <c r="J984" s="4">
        <f t="shared" si="61"/>
        <v>148.82941176470587</v>
      </c>
      <c r="K984" t="str" cm="1">
        <f t="array" ref="K984">_xlfn.IFS(G984&lt;=5, "Small", G984&lt;=15, "Medium", G984&gt;15, "Large")</f>
        <v>Large</v>
      </c>
      <c r="L984" t="str">
        <f t="shared" si="62"/>
        <v>Standard</v>
      </c>
      <c r="M984" t="str">
        <f t="shared" si="63"/>
        <v>Weekday</v>
      </c>
    </row>
    <row r="985" spans="1:13" x14ac:dyDescent="0.35">
      <c r="A985" t="s">
        <v>1032</v>
      </c>
      <c r="B985" s="1">
        <v>45286</v>
      </c>
      <c r="C985" t="s">
        <v>89</v>
      </c>
      <c r="D985" t="s">
        <v>21</v>
      </c>
      <c r="E985" t="s">
        <v>27</v>
      </c>
      <c r="F985" s="4">
        <v>25831.39</v>
      </c>
      <c r="G985" s="5">
        <v>4</v>
      </c>
      <c r="H985" t="s">
        <v>15</v>
      </c>
      <c r="I985" t="str">
        <f t="shared" si="60"/>
        <v>2023-12</v>
      </c>
      <c r="J985" s="4">
        <f t="shared" si="61"/>
        <v>6457.8474999999999</v>
      </c>
      <c r="K985" t="str" cm="1">
        <f t="array" ref="K985">_xlfn.IFS(G985&lt;=5, "Small", G985&lt;=15, "Medium", G985&gt;15, "Large")</f>
        <v>Small</v>
      </c>
      <c r="L985" t="str">
        <f t="shared" si="62"/>
        <v>Standard</v>
      </c>
      <c r="M985" t="str">
        <f t="shared" si="63"/>
        <v>Weekday</v>
      </c>
    </row>
    <row r="986" spans="1:13" x14ac:dyDescent="0.35">
      <c r="A986" t="s">
        <v>1033</v>
      </c>
      <c r="B986" s="1">
        <v>45029</v>
      </c>
      <c r="C986" t="s">
        <v>89</v>
      </c>
      <c r="D986" t="s">
        <v>21</v>
      </c>
      <c r="E986" t="s">
        <v>18</v>
      </c>
      <c r="F986" s="4">
        <v>1436.24</v>
      </c>
      <c r="G986" s="5">
        <v>27</v>
      </c>
      <c r="H986" t="s">
        <v>15</v>
      </c>
      <c r="I986" t="str">
        <f t="shared" si="60"/>
        <v>2023-04</v>
      </c>
      <c r="J986" s="4">
        <f t="shared" si="61"/>
        <v>53.194074074074074</v>
      </c>
      <c r="K986" t="str" cm="1">
        <f t="array" ref="K986">_xlfn.IFS(G986&lt;=5, "Small", G986&lt;=15, "Medium", G986&gt;15, "Large")</f>
        <v>Large</v>
      </c>
      <c r="L986" t="str">
        <f t="shared" si="62"/>
        <v>Standard</v>
      </c>
      <c r="M986" t="str">
        <f t="shared" si="63"/>
        <v>Weekday</v>
      </c>
    </row>
    <row r="987" spans="1:13" x14ac:dyDescent="0.35">
      <c r="A987" t="s">
        <v>1034</v>
      </c>
      <c r="B987" s="1">
        <v>45293</v>
      </c>
      <c r="C987" t="s">
        <v>45</v>
      </c>
      <c r="D987" t="s">
        <v>21</v>
      </c>
      <c r="E987" t="s">
        <v>18</v>
      </c>
      <c r="F987" s="4">
        <v>1089.6600000000001</v>
      </c>
      <c r="G987" s="5">
        <v>3</v>
      </c>
      <c r="H987" t="s">
        <v>15</v>
      </c>
      <c r="I987" t="str">
        <f t="shared" si="60"/>
        <v>2024-01</v>
      </c>
      <c r="J987" s="4">
        <f t="shared" si="61"/>
        <v>363.22</v>
      </c>
      <c r="K987" t="str" cm="1">
        <f t="array" ref="K987">_xlfn.IFS(G987&lt;=5, "Small", G987&lt;=15, "Medium", G987&gt;15, "Large")</f>
        <v>Small</v>
      </c>
      <c r="L987" t="str">
        <f t="shared" si="62"/>
        <v>Standard</v>
      </c>
      <c r="M987" t="str">
        <f t="shared" si="63"/>
        <v>Weekday</v>
      </c>
    </row>
    <row r="988" spans="1:13" x14ac:dyDescent="0.35">
      <c r="A988" t="s">
        <v>1035</v>
      </c>
      <c r="B988" s="1">
        <v>45143</v>
      </c>
      <c r="C988" t="s">
        <v>20</v>
      </c>
      <c r="D988" t="s">
        <v>21</v>
      </c>
      <c r="E988" t="s">
        <v>27</v>
      </c>
      <c r="F988" s="4">
        <v>41647.839999999997</v>
      </c>
      <c r="G988" s="5">
        <v>3</v>
      </c>
      <c r="H988" t="s">
        <v>15</v>
      </c>
      <c r="I988" t="str">
        <f t="shared" si="60"/>
        <v>2023-08</v>
      </c>
      <c r="J988" s="4">
        <f t="shared" si="61"/>
        <v>13882.613333333333</v>
      </c>
      <c r="K988" t="str" cm="1">
        <f t="array" ref="K988">_xlfn.IFS(G988&lt;=5, "Small", G988&lt;=15, "Medium", G988&gt;15, "Large")</f>
        <v>Small</v>
      </c>
      <c r="L988" t="str">
        <f t="shared" si="62"/>
        <v>VIP</v>
      </c>
      <c r="M988" t="str">
        <f t="shared" si="63"/>
        <v>Weekend</v>
      </c>
    </row>
    <row r="989" spans="1:13" x14ac:dyDescent="0.35">
      <c r="A989" t="s">
        <v>1036</v>
      </c>
      <c r="B989" s="1">
        <v>45641</v>
      </c>
      <c r="C989" t="s">
        <v>126</v>
      </c>
      <c r="D989" t="s">
        <v>21</v>
      </c>
      <c r="E989" t="s">
        <v>11</v>
      </c>
      <c r="F989" s="4">
        <v>10199.540000000001</v>
      </c>
      <c r="G989" s="5">
        <v>8</v>
      </c>
      <c r="H989" t="s">
        <v>15</v>
      </c>
      <c r="I989" t="str">
        <f t="shared" si="60"/>
        <v>2024-12</v>
      </c>
      <c r="J989" s="4">
        <f t="shared" si="61"/>
        <v>1274.9425000000001</v>
      </c>
      <c r="K989" t="str" cm="1">
        <f t="array" ref="K989">_xlfn.IFS(G989&lt;=5, "Small", G989&lt;=15, "Medium", G989&gt;15, "Large")</f>
        <v>Medium</v>
      </c>
      <c r="L989" t="str">
        <f t="shared" si="62"/>
        <v>Standard</v>
      </c>
      <c r="M989" t="str">
        <f t="shared" si="63"/>
        <v>Weekend</v>
      </c>
    </row>
    <row r="990" spans="1:13" x14ac:dyDescent="0.35">
      <c r="A990" t="s">
        <v>1037</v>
      </c>
      <c r="B990" s="1">
        <v>45500</v>
      </c>
      <c r="C990" t="s">
        <v>241</v>
      </c>
      <c r="D990" t="s">
        <v>31</v>
      </c>
      <c r="E990" t="s">
        <v>18</v>
      </c>
      <c r="F990" s="4">
        <v>583.21</v>
      </c>
      <c r="G990" s="5">
        <v>30</v>
      </c>
      <c r="H990" t="s">
        <v>15</v>
      </c>
      <c r="I990" t="str">
        <f t="shared" si="60"/>
        <v>2024-07</v>
      </c>
      <c r="J990" s="4">
        <f t="shared" si="61"/>
        <v>19.440333333333335</v>
      </c>
      <c r="K990" t="str" cm="1">
        <f t="array" ref="K990">_xlfn.IFS(G990&lt;=5, "Small", G990&lt;=15, "Medium", G990&gt;15, "Large")</f>
        <v>Large</v>
      </c>
      <c r="L990" t="str">
        <f t="shared" si="62"/>
        <v>Standard</v>
      </c>
      <c r="M990" t="str">
        <f t="shared" si="63"/>
        <v>Weekend</v>
      </c>
    </row>
    <row r="991" spans="1:13" x14ac:dyDescent="0.35">
      <c r="A991" t="s">
        <v>882</v>
      </c>
      <c r="B991" s="1">
        <v>44941</v>
      </c>
      <c r="C991" t="s">
        <v>253</v>
      </c>
      <c r="D991" t="s">
        <v>21</v>
      </c>
      <c r="E991" t="s">
        <v>11</v>
      </c>
      <c r="F991" s="4">
        <v>6823.97</v>
      </c>
      <c r="G991" s="5">
        <v>5</v>
      </c>
      <c r="H991" t="s">
        <v>15</v>
      </c>
      <c r="I991" t="str">
        <f t="shared" si="60"/>
        <v>2023-01</v>
      </c>
      <c r="J991" s="4">
        <f t="shared" si="61"/>
        <v>1364.7940000000001</v>
      </c>
      <c r="K991" t="str" cm="1">
        <f t="array" ref="K991">_xlfn.IFS(G991&lt;=5, "Small", G991&lt;=15, "Medium", G991&gt;15, "Large")</f>
        <v>Small</v>
      </c>
      <c r="L991" t="str">
        <f t="shared" si="62"/>
        <v>Standard</v>
      </c>
      <c r="M991" t="str">
        <f t="shared" si="63"/>
        <v>Weekend</v>
      </c>
    </row>
    <row r="992" spans="1:13" x14ac:dyDescent="0.35">
      <c r="A992" t="s">
        <v>1038</v>
      </c>
      <c r="B992" s="1">
        <v>45119</v>
      </c>
      <c r="C992" t="s">
        <v>40</v>
      </c>
      <c r="D992" t="s">
        <v>26</v>
      </c>
      <c r="E992" t="s">
        <v>18</v>
      </c>
      <c r="F992" s="4">
        <v>1491.02</v>
      </c>
      <c r="G992" s="5">
        <v>15</v>
      </c>
      <c r="H992" t="s">
        <v>15</v>
      </c>
      <c r="I992" t="str">
        <f t="shared" si="60"/>
        <v>2023-07</v>
      </c>
      <c r="J992" s="4">
        <f t="shared" si="61"/>
        <v>99.401333333333326</v>
      </c>
      <c r="K992" t="str" cm="1">
        <f t="array" ref="K992">_xlfn.IFS(G992&lt;=5, "Small", G992&lt;=15, "Medium", G992&gt;15, "Large")</f>
        <v>Medium</v>
      </c>
      <c r="L992" t="str">
        <f t="shared" si="62"/>
        <v>Standard</v>
      </c>
      <c r="M992" t="str">
        <f t="shared" si="63"/>
        <v>Weekday</v>
      </c>
    </row>
    <row r="993" spans="1:13" x14ac:dyDescent="0.35">
      <c r="A993" t="s">
        <v>1039</v>
      </c>
      <c r="B993" s="1">
        <v>45590</v>
      </c>
      <c r="C993" t="s">
        <v>241</v>
      </c>
      <c r="D993" t="s">
        <v>31</v>
      </c>
      <c r="E993" t="s">
        <v>27</v>
      </c>
      <c r="F993" s="4">
        <v>22669.66</v>
      </c>
      <c r="G993" s="5">
        <v>3</v>
      </c>
      <c r="H993" t="s">
        <v>15</v>
      </c>
      <c r="I993" t="str">
        <f t="shared" si="60"/>
        <v>2024-10</v>
      </c>
      <c r="J993" s="4">
        <f t="shared" si="61"/>
        <v>7556.5533333333333</v>
      </c>
      <c r="K993" t="str" cm="1">
        <f t="array" ref="K993">_xlfn.IFS(G993&lt;=5, "Small", G993&lt;=15, "Medium", G993&gt;15, "Large")</f>
        <v>Small</v>
      </c>
      <c r="L993" t="str">
        <f t="shared" si="62"/>
        <v>Standard</v>
      </c>
      <c r="M993" t="str">
        <f t="shared" si="63"/>
        <v>Weekday</v>
      </c>
    </row>
    <row r="994" spans="1:13" x14ac:dyDescent="0.35">
      <c r="A994" t="s">
        <v>1040</v>
      </c>
      <c r="B994" s="1">
        <v>45434</v>
      </c>
      <c r="C994" t="s">
        <v>82</v>
      </c>
      <c r="D994" t="s">
        <v>10</v>
      </c>
      <c r="E994" t="s">
        <v>18</v>
      </c>
      <c r="F994" s="4">
        <v>3496.64</v>
      </c>
      <c r="G994" s="5">
        <v>2</v>
      </c>
      <c r="H994" t="s">
        <v>15</v>
      </c>
      <c r="I994" t="str">
        <f t="shared" si="60"/>
        <v>2024-05</v>
      </c>
      <c r="J994" s="4">
        <f t="shared" si="61"/>
        <v>1748.32</v>
      </c>
      <c r="K994" t="str" cm="1">
        <f t="array" ref="K994">_xlfn.IFS(G994&lt;=5, "Small", G994&lt;=15, "Medium", G994&gt;15, "Large")</f>
        <v>Small</v>
      </c>
      <c r="L994" t="str">
        <f t="shared" si="62"/>
        <v>Standard</v>
      </c>
      <c r="M994" t="str">
        <f t="shared" si="63"/>
        <v>Weekday</v>
      </c>
    </row>
    <row r="995" spans="1:13" x14ac:dyDescent="0.35">
      <c r="A995" t="s">
        <v>1041</v>
      </c>
      <c r="B995" s="1">
        <v>45145</v>
      </c>
      <c r="C995" t="s">
        <v>40</v>
      </c>
      <c r="D995" t="s">
        <v>26</v>
      </c>
      <c r="E995" t="s">
        <v>27</v>
      </c>
      <c r="F995" s="4">
        <v>24568.74</v>
      </c>
      <c r="G995" s="5">
        <v>4</v>
      </c>
      <c r="H995" t="s">
        <v>15</v>
      </c>
      <c r="I995" t="str">
        <f t="shared" si="60"/>
        <v>2023-08</v>
      </c>
      <c r="J995" s="4">
        <f t="shared" si="61"/>
        <v>6142.1850000000004</v>
      </c>
      <c r="K995" t="str" cm="1">
        <f t="array" ref="K995">_xlfn.IFS(G995&lt;=5, "Small", G995&lt;=15, "Medium", G995&gt;15, "Large")</f>
        <v>Small</v>
      </c>
      <c r="L995" t="str">
        <f t="shared" si="62"/>
        <v>Standard</v>
      </c>
      <c r="M995" t="str">
        <f t="shared" si="63"/>
        <v>Weekday</v>
      </c>
    </row>
    <row r="996" spans="1:13" x14ac:dyDescent="0.35">
      <c r="A996" t="s">
        <v>1042</v>
      </c>
      <c r="B996" s="1">
        <v>45115</v>
      </c>
      <c r="C996" t="s">
        <v>111</v>
      </c>
      <c r="D996" t="s">
        <v>31</v>
      </c>
      <c r="E996" t="s">
        <v>11</v>
      </c>
      <c r="F996" s="4">
        <v>0</v>
      </c>
      <c r="G996" s="5">
        <v>3</v>
      </c>
      <c r="H996" t="s">
        <v>28</v>
      </c>
      <c r="I996" t="str">
        <f t="shared" si="60"/>
        <v>2023-07</v>
      </c>
      <c r="J996" s="4">
        <f t="shared" si="61"/>
        <v>0</v>
      </c>
      <c r="K996" t="str" cm="1">
        <f t="array" ref="K996">_xlfn.IFS(G996&lt;=5, "Small", G996&lt;=15, "Medium", G996&gt;15, "Large")</f>
        <v>Small</v>
      </c>
      <c r="L996" t="str">
        <f t="shared" si="62"/>
        <v>Standard</v>
      </c>
      <c r="M996" t="str">
        <f t="shared" si="63"/>
        <v>Weekend</v>
      </c>
    </row>
    <row r="997" spans="1:13" x14ac:dyDescent="0.35">
      <c r="A997" t="s">
        <v>1043</v>
      </c>
      <c r="B997" s="1">
        <v>45343</v>
      </c>
      <c r="C997" t="s">
        <v>58</v>
      </c>
      <c r="D997" t="s">
        <v>31</v>
      </c>
      <c r="E997" t="s">
        <v>27</v>
      </c>
      <c r="F997" s="4">
        <v>34211.269999999997</v>
      </c>
      <c r="G997" s="5">
        <v>3</v>
      </c>
      <c r="H997" t="s">
        <v>15</v>
      </c>
      <c r="I997" t="str">
        <f t="shared" si="60"/>
        <v>2024-02</v>
      </c>
      <c r="J997" s="4">
        <f t="shared" si="61"/>
        <v>11403.756666666666</v>
      </c>
      <c r="K997" t="str" cm="1">
        <f t="array" ref="K997">_xlfn.IFS(G997&lt;=5, "Small", G997&lt;=15, "Medium", G997&gt;15, "Large")</f>
        <v>Small</v>
      </c>
      <c r="L997" t="str">
        <f t="shared" si="62"/>
        <v>VIP</v>
      </c>
      <c r="M997" t="str">
        <f t="shared" si="63"/>
        <v>Weekday</v>
      </c>
    </row>
    <row r="998" spans="1:13" x14ac:dyDescent="0.35">
      <c r="A998" t="s">
        <v>1044</v>
      </c>
      <c r="B998" s="1">
        <v>45225</v>
      </c>
      <c r="C998" t="s">
        <v>253</v>
      </c>
      <c r="D998" t="s">
        <v>21</v>
      </c>
      <c r="E998" t="s">
        <v>11</v>
      </c>
      <c r="F998" s="4">
        <v>12702.84</v>
      </c>
      <c r="G998" s="5">
        <v>6</v>
      </c>
      <c r="H998" t="s">
        <v>15</v>
      </c>
      <c r="I998" t="str">
        <f t="shared" si="60"/>
        <v>2023-10</v>
      </c>
      <c r="J998" s="4">
        <f t="shared" si="61"/>
        <v>2117.14</v>
      </c>
      <c r="K998" t="str" cm="1">
        <f t="array" ref="K998">_xlfn.IFS(G998&lt;=5, "Small", G998&lt;=15, "Medium", G998&gt;15, "Large")</f>
        <v>Medium</v>
      </c>
      <c r="L998" t="str">
        <f t="shared" si="62"/>
        <v>Standard</v>
      </c>
      <c r="M998" t="str">
        <f t="shared" si="63"/>
        <v>Weekday</v>
      </c>
    </row>
    <row r="999" spans="1:13" x14ac:dyDescent="0.35">
      <c r="A999" t="s">
        <v>1045</v>
      </c>
      <c r="B999" s="1">
        <v>45245</v>
      </c>
      <c r="C999" t="s">
        <v>175</v>
      </c>
      <c r="D999" t="s">
        <v>21</v>
      </c>
      <c r="E999" t="s">
        <v>11</v>
      </c>
      <c r="F999" s="4">
        <v>441.05</v>
      </c>
      <c r="G999" s="5">
        <v>4</v>
      </c>
      <c r="H999" t="s">
        <v>15</v>
      </c>
      <c r="I999" t="str">
        <f t="shared" si="60"/>
        <v>2023-11</v>
      </c>
      <c r="J999" s="4">
        <f t="shared" si="61"/>
        <v>110.2625</v>
      </c>
      <c r="K999" t="str" cm="1">
        <f t="array" ref="K999">_xlfn.IFS(G999&lt;=5, "Small", G999&lt;=15, "Medium", G999&gt;15, "Large")</f>
        <v>Small</v>
      </c>
      <c r="L999" t="str">
        <f t="shared" si="62"/>
        <v>Standard</v>
      </c>
      <c r="M999" t="str">
        <f t="shared" si="63"/>
        <v>Weekday</v>
      </c>
    </row>
    <row r="1000" spans="1:13" x14ac:dyDescent="0.35">
      <c r="A1000" t="s">
        <v>1046</v>
      </c>
      <c r="B1000" s="1">
        <v>45631</v>
      </c>
      <c r="C1000" t="s">
        <v>175</v>
      </c>
      <c r="D1000" t="s">
        <v>21</v>
      </c>
      <c r="E1000" t="s">
        <v>27</v>
      </c>
      <c r="F1000" s="4">
        <v>7641.21</v>
      </c>
      <c r="G1000" s="5">
        <v>5</v>
      </c>
      <c r="H1000" t="s">
        <v>15</v>
      </c>
      <c r="I1000" t="str">
        <f t="shared" si="60"/>
        <v>2024-12</v>
      </c>
      <c r="J1000" s="4">
        <f t="shared" si="61"/>
        <v>1528.242</v>
      </c>
      <c r="K1000" t="str" cm="1">
        <f t="array" ref="K1000">_xlfn.IFS(G1000&lt;=5, "Small", G1000&lt;=15, "Medium", G1000&gt;15, "Large")</f>
        <v>Small</v>
      </c>
      <c r="L1000" t="str">
        <f t="shared" si="62"/>
        <v>Standard</v>
      </c>
      <c r="M1000" t="str">
        <f t="shared" si="63"/>
        <v>Weekday</v>
      </c>
    </row>
    <row r="1001" spans="1:13" x14ac:dyDescent="0.35">
      <c r="A1001" t="s">
        <v>1047</v>
      </c>
      <c r="B1001" s="1">
        <v>45214</v>
      </c>
      <c r="C1001" t="s">
        <v>69</v>
      </c>
      <c r="D1001" t="s">
        <v>31</v>
      </c>
      <c r="E1001" t="s">
        <v>18</v>
      </c>
      <c r="F1001" s="4">
        <v>0</v>
      </c>
      <c r="G1001" s="5">
        <v>26</v>
      </c>
      <c r="H1001" t="s">
        <v>28</v>
      </c>
      <c r="I1001" t="str">
        <f t="shared" si="60"/>
        <v>2023-10</v>
      </c>
      <c r="J1001" s="4">
        <f t="shared" si="61"/>
        <v>0</v>
      </c>
      <c r="K1001" t="str" cm="1">
        <f t="array" ref="K1001">_xlfn.IFS(G1001&lt;=5, "Small", G1001&lt;=15, "Medium", G1001&gt;15, "Large")</f>
        <v>Large</v>
      </c>
      <c r="L1001" t="str">
        <f t="shared" si="62"/>
        <v>Standard</v>
      </c>
      <c r="M1001" t="str">
        <f t="shared" si="63"/>
        <v>Weekend</v>
      </c>
    </row>
    <row r="1002" spans="1:13" x14ac:dyDescent="0.35">
      <c r="A1002" t="s">
        <v>1048</v>
      </c>
      <c r="B1002" s="1">
        <v>45219</v>
      </c>
      <c r="C1002" t="s">
        <v>177</v>
      </c>
      <c r="D1002" t="s">
        <v>26</v>
      </c>
      <c r="E1002" t="s">
        <v>11</v>
      </c>
      <c r="F1002" s="4">
        <v>16106.57</v>
      </c>
      <c r="G1002" s="5">
        <v>2</v>
      </c>
      <c r="H1002" t="s">
        <v>15</v>
      </c>
      <c r="I1002" t="str">
        <f t="shared" si="60"/>
        <v>2023-10</v>
      </c>
      <c r="J1002" s="4">
        <f t="shared" si="61"/>
        <v>8053.2849999999999</v>
      </c>
      <c r="K1002" t="str" cm="1">
        <f t="array" ref="K1002">_xlfn.IFS(G1002&lt;=5, "Small", G1002&lt;=15, "Medium", G1002&gt;15, "Large")</f>
        <v>Small</v>
      </c>
      <c r="L1002" t="str">
        <f t="shared" si="62"/>
        <v>Standard</v>
      </c>
      <c r="M1002" t="str">
        <f t="shared" si="63"/>
        <v>Weekday</v>
      </c>
    </row>
    <row r="1003" spans="1:13" x14ac:dyDescent="0.35">
      <c r="A1003" t="s">
        <v>1049</v>
      </c>
      <c r="B1003" s="1">
        <v>45456</v>
      </c>
      <c r="C1003" t="s">
        <v>115</v>
      </c>
      <c r="D1003" t="s">
        <v>10</v>
      </c>
      <c r="E1003" t="s">
        <v>18</v>
      </c>
      <c r="F1003" s="4">
        <v>1608.36</v>
      </c>
      <c r="G1003" s="5">
        <v>24</v>
      </c>
      <c r="H1003" t="s">
        <v>15</v>
      </c>
      <c r="I1003" t="str">
        <f t="shared" si="60"/>
        <v>2024-06</v>
      </c>
      <c r="J1003" s="4">
        <f t="shared" si="61"/>
        <v>67.015000000000001</v>
      </c>
      <c r="K1003" t="str" cm="1">
        <f t="array" ref="K1003">_xlfn.IFS(G1003&lt;=5, "Small", G1003&lt;=15, "Medium", G1003&gt;15, "Large")</f>
        <v>Large</v>
      </c>
      <c r="L1003" t="str">
        <f t="shared" si="62"/>
        <v>Standard</v>
      </c>
      <c r="M1003" t="str">
        <f t="shared" si="63"/>
        <v>Weekday</v>
      </c>
    </row>
    <row r="1004" spans="1:13" x14ac:dyDescent="0.35">
      <c r="A1004" t="s">
        <v>1050</v>
      </c>
      <c r="B1004" s="1">
        <v>45545</v>
      </c>
      <c r="C1004" t="s">
        <v>160</v>
      </c>
      <c r="D1004" t="s">
        <v>26</v>
      </c>
      <c r="E1004" t="s">
        <v>18</v>
      </c>
      <c r="F1004" s="4">
        <v>0</v>
      </c>
      <c r="G1004" s="5">
        <v>21</v>
      </c>
      <c r="H1004" t="s">
        <v>28</v>
      </c>
      <c r="I1004" t="str">
        <f t="shared" si="60"/>
        <v>2024-09</v>
      </c>
      <c r="J1004" s="4">
        <f t="shared" si="61"/>
        <v>0</v>
      </c>
      <c r="K1004" t="str" cm="1">
        <f t="array" ref="K1004">_xlfn.IFS(G1004&lt;=5, "Small", G1004&lt;=15, "Medium", G1004&gt;15, "Large")</f>
        <v>Large</v>
      </c>
      <c r="L1004" t="str">
        <f t="shared" si="62"/>
        <v>Standard</v>
      </c>
      <c r="M1004" t="str">
        <f t="shared" si="63"/>
        <v>Weekday</v>
      </c>
    </row>
    <row r="1005" spans="1:13" x14ac:dyDescent="0.35">
      <c r="A1005" t="s">
        <v>1051</v>
      </c>
      <c r="B1005" s="1">
        <v>45496</v>
      </c>
      <c r="C1005" t="s">
        <v>55</v>
      </c>
      <c r="D1005" t="s">
        <v>10</v>
      </c>
      <c r="E1005" t="s">
        <v>27</v>
      </c>
      <c r="F1005" s="4">
        <v>0</v>
      </c>
      <c r="G1005" s="5">
        <v>3</v>
      </c>
      <c r="H1005" t="s">
        <v>28</v>
      </c>
      <c r="I1005" t="str">
        <f t="shared" si="60"/>
        <v>2024-07</v>
      </c>
      <c r="J1005" s="4">
        <f t="shared" si="61"/>
        <v>0</v>
      </c>
      <c r="K1005" t="str" cm="1">
        <f t="array" ref="K1005">_xlfn.IFS(G1005&lt;=5, "Small", G1005&lt;=15, "Medium", G1005&gt;15, "Large")</f>
        <v>Small</v>
      </c>
      <c r="L1005" t="str">
        <f t="shared" si="62"/>
        <v>Standard</v>
      </c>
      <c r="M1005" t="str">
        <f t="shared" si="63"/>
        <v>Weekday</v>
      </c>
    </row>
    <row r="1006" spans="1:13" x14ac:dyDescent="0.35">
      <c r="A1006" t="s">
        <v>1052</v>
      </c>
      <c r="B1006" s="1">
        <v>45299</v>
      </c>
      <c r="C1006" t="s">
        <v>53</v>
      </c>
      <c r="D1006" t="s">
        <v>31</v>
      </c>
      <c r="E1006" t="s">
        <v>11</v>
      </c>
      <c r="F1006" s="4">
        <v>6217.01</v>
      </c>
      <c r="G1006" s="5">
        <v>8</v>
      </c>
      <c r="H1006" t="s">
        <v>15</v>
      </c>
      <c r="I1006" t="str">
        <f t="shared" si="60"/>
        <v>2024-01</v>
      </c>
      <c r="J1006" s="4">
        <f t="shared" si="61"/>
        <v>777.12625000000003</v>
      </c>
      <c r="K1006" t="str" cm="1">
        <f t="array" ref="K1006">_xlfn.IFS(G1006&lt;=5, "Small", G1006&lt;=15, "Medium", G1006&gt;15, "Large")</f>
        <v>Medium</v>
      </c>
      <c r="L1006" t="str">
        <f t="shared" si="62"/>
        <v>Standard</v>
      </c>
      <c r="M1006" t="str">
        <f t="shared" si="63"/>
        <v>Weekday</v>
      </c>
    </row>
    <row r="1007" spans="1:13" x14ac:dyDescent="0.35">
      <c r="A1007" t="s">
        <v>1053</v>
      </c>
      <c r="B1007" s="1">
        <v>45504</v>
      </c>
      <c r="C1007" t="s">
        <v>40</v>
      </c>
      <c r="D1007" t="s">
        <v>26</v>
      </c>
      <c r="E1007" t="s">
        <v>18</v>
      </c>
      <c r="F1007" s="4">
        <v>1891.56</v>
      </c>
      <c r="G1007" s="5">
        <v>30</v>
      </c>
      <c r="H1007" t="s">
        <v>15</v>
      </c>
      <c r="I1007" t="str">
        <f t="shared" si="60"/>
        <v>2024-07</v>
      </c>
      <c r="J1007" s="4">
        <f t="shared" si="61"/>
        <v>63.052</v>
      </c>
      <c r="K1007" t="str" cm="1">
        <f t="array" ref="K1007">_xlfn.IFS(G1007&lt;=5, "Small", G1007&lt;=15, "Medium", G1007&gt;15, "Large")</f>
        <v>Large</v>
      </c>
      <c r="L1007" t="str">
        <f t="shared" si="62"/>
        <v>Standard</v>
      </c>
      <c r="M1007" t="str">
        <f t="shared" si="63"/>
        <v>Weekday</v>
      </c>
    </row>
    <row r="1008" spans="1:13" x14ac:dyDescent="0.35">
      <c r="A1008" t="s">
        <v>1054</v>
      </c>
      <c r="B1008" s="1">
        <v>45295</v>
      </c>
      <c r="C1008" t="s">
        <v>17</v>
      </c>
      <c r="D1008" t="s">
        <v>10</v>
      </c>
      <c r="E1008" t="s">
        <v>11</v>
      </c>
      <c r="F1008" s="4">
        <v>0</v>
      </c>
      <c r="G1008" s="5">
        <v>7</v>
      </c>
      <c r="H1008" t="s">
        <v>12</v>
      </c>
      <c r="I1008" t="str">
        <f t="shared" si="60"/>
        <v>2024-01</v>
      </c>
      <c r="J1008" s="4">
        <f t="shared" si="61"/>
        <v>0</v>
      </c>
      <c r="K1008" t="str" cm="1">
        <f t="array" ref="K1008">_xlfn.IFS(G1008&lt;=5, "Small", G1008&lt;=15, "Medium", G1008&gt;15, "Large")</f>
        <v>Medium</v>
      </c>
      <c r="L1008" t="str">
        <f t="shared" si="62"/>
        <v>Standard</v>
      </c>
      <c r="M1008" t="str">
        <f t="shared" si="63"/>
        <v>Weekday</v>
      </c>
    </row>
    <row r="1009" spans="1:13" x14ac:dyDescent="0.35">
      <c r="A1009" t="s">
        <v>1055</v>
      </c>
      <c r="B1009" s="1">
        <v>45526</v>
      </c>
      <c r="C1009" t="s">
        <v>162</v>
      </c>
      <c r="D1009" t="s">
        <v>26</v>
      </c>
      <c r="E1009" t="s">
        <v>11</v>
      </c>
      <c r="F1009" s="4">
        <v>17904.91</v>
      </c>
      <c r="G1009" s="5">
        <v>5</v>
      </c>
      <c r="H1009" t="s">
        <v>15</v>
      </c>
      <c r="I1009" t="str">
        <f t="shared" si="60"/>
        <v>2024-08</v>
      </c>
      <c r="J1009" s="4">
        <f t="shared" si="61"/>
        <v>3580.982</v>
      </c>
      <c r="K1009" t="str" cm="1">
        <f t="array" ref="K1009">_xlfn.IFS(G1009&lt;=5, "Small", G1009&lt;=15, "Medium", G1009&gt;15, "Large")</f>
        <v>Small</v>
      </c>
      <c r="L1009" t="str">
        <f t="shared" si="62"/>
        <v>Standard</v>
      </c>
      <c r="M1009" t="str">
        <f t="shared" si="63"/>
        <v>Weekday</v>
      </c>
    </row>
    <row r="1010" spans="1:13" x14ac:dyDescent="0.35">
      <c r="A1010" t="s">
        <v>1056</v>
      </c>
      <c r="B1010" s="1">
        <v>45175</v>
      </c>
      <c r="C1010" t="s">
        <v>175</v>
      </c>
      <c r="D1010" t="s">
        <v>21</v>
      </c>
      <c r="E1010" t="s">
        <v>11</v>
      </c>
      <c r="F1010" s="4">
        <v>6760.78</v>
      </c>
      <c r="G1010" s="5">
        <v>4</v>
      </c>
      <c r="H1010" t="s">
        <v>15</v>
      </c>
      <c r="I1010" t="str">
        <f t="shared" si="60"/>
        <v>2023-09</v>
      </c>
      <c r="J1010" s="4">
        <f t="shared" si="61"/>
        <v>1690.1949999999999</v>
      </c>
      <c r="K1010" t="str" cm="1">
        <f t="array" ref="K1010">_xlfn.IFS(G1010&lt;=5, "Small", G1010&lt;=15, "Medium", G1010&gt;15, "Large")</f>
        <v>Small</v>
      </c>
      <c r="L1010" t="str">
        <f t="shared" si="62"/>
        <v>Standard</v>
      </c>
      <c r="M1010" t="str">
        <f t="shared" si="63"/>
        <v>Weekday</v>
      </c>
    </row>
    <row r="1011" spans="1:13" x14ac:dyDescent="0.35">
      <c r="A1011" t="s">
        <v>133</v>
      </c>
      <c r="B1011" s="1">
        <v>45576</v>
      </c>
      <c r="C1011" t="s">
        <v>40</v>
      </c>
      <c r="D1011" t="s">
        <v>26</v>
      </c>
      <c r="E1011" t="s">
        <v>27</v>
      </c>
      <c r="F1011" s="4">
        <v>956.72</v>
      </c>
      <c r="G1011" s="5">
        <v>2</v>
      </c>
      <c r="H1011" t="s">
        <v>15</v>
      </c>
      <c r="I1011" t="str">
        <f t="shared" si="60"/>
        <v>2024-10</v>
      </c>
      <c r="J1011" s="4">
        <f t="shared" si="61"/>
        <v>478.36</v>
      </c>
      <c r="K1011" t="str" cm="1">
        <f t="array" ref="K1011">_xlfn.IFS(G1011&lt;=5, "Small", G1011&lt;=15, "Medium", G1011&gt;15, "Large")</f>
        <v>Small</v>
      </c>
      <c r="L1011" t="str">
        <f t="shared" si="62"/>
        <v>Standard</v>
      </c>
      <c r="M1011" t="str">
        <f t="shared" si="63"/>
        <v>Weekday</v>
      </c>
    </row>
    <row r="1012" spans="1:13" x14ac:dyDescent="0.35">
      <c r="A1012" t="s">
        <v>1057</v>
      </c>
      <c r="B1012" s="1">
        <v>45612</v>
      </c>
      <c r="C1012" t="s">
        <v>177</v>
      </c>
      <c r="D1012" t="s">
        <v>26</v>
      </c>
      <c r="E1012" t="s">
        <v>18</v>
      </c>
      <c r="F1012" s="4">
        <v>422.93</v>
      </c>
      <c r="G1012" s="5">
        <v>28</v>
      </c>
      <c r="H1012" t="s">
        <v>15</v>
      </c>
      <c r="I1012" t="str">
        <f t="shared" si="60"/>
        <v>2024-11</v>
      </c>
      <c r="J1012" s="4">
        <f t="shared" si="61"/>
        <v>15.104642857142858</v>
      </c>
      <c r="K1012" t="str" cm="1">
        <f t="array" ref="K1012">_xlfn.IFS(G1012&lt;=5, "Small", G1012&lt;=15, "Medium", G1012&gt;15, "Large")</f>
        <v>Large</v>
      </c>
      <c r="L1012" t="str">
        <f t="shared" si="62"/>
        <v>Standard</v>
      </c>
      <c r="M1012" t="str">
        <f t="shared" si="63"/>
        <v>Weekend</v>
      </c>
    </row>
    <row r="1013" spans="1:13" x14ac:dyDescent="0.35">
      <c r="A1013" t="s">
        <v>1058</v>
      </c>
      <c r="B1013" s="1">
        <v>45493</v>
      </c>
      <c r="C1013" t="s">
        <v>14</v>
      </c>
      <c r="D1013" t="s">
        <v>10</v>
      </c>
      <c r="E1013" t="s">
        <v>18</v>
      </c>
      <c r="F1013" s="4">
        <v>2514.63</v>
      </c>
      <c r="G1013" s="5">
        <v>22</v>
      </c>
      <c r="H1013" t="s">
        <v>15</v>
      </c>
      <c r="I1013" t="str">
        <f t="shared" si="60"/>
        <v>2024-07</v>
      </c>
      <c r="J1013" s="4">
        <f t="shared" si="61"/>
        <v>114.30136363636365</v>
      </c>
      <c r="K1013" t="str" cm="1">
        <f t="array" ref="K1013">_xlfn.IFS(G1013&lt;=5, "Small", G1013&lt;=15, "Medium", G1013&gt;15, "Large")</f>
        <v>Large</v>
      </c>
      <c r="L1013" t="str">
        <f t="shared" si="62"/>
        <v>Standard</v>
      </c>
      <c r="M1013" t="str">
        <f t="shared" si="63"/>
        <v>Weekend</v>
      </c>
    </row>
    <row r="1014" spans="1:13" x14ac:dyDescent="0.35">
      <c r="A1014" t="s">
        <v>1059</v>
      </c>
      <c r="B1014" s="1">
        <v>45631</v>
      </c>
      <c r="C1014" t="s">
        <v>20</v>
      </c>
      <c r="D1014" t="s">
        <v>21</v>
      </c>
      <c r="E1014" t="s">
        <v>11</v>
      </c>
      <c r="F1014" s="4">
        <v>7223.07</v>
      </c>
      <c r="G1014" s="5">
        <v>3</v>
      </c>
      <c r="H1014" t="s">
        <v>15</v>
      </c>
      <c r="I1014" t="str">
        <f t="shared" si="60"/>
        <v>2024-12</v>
      </c>
      <c r="J1014" s="4">
        <f t="shared" si="61"/>
        <v>2407.69</v>
      </c>
      <c r="K1014" t="str" cm="1">
        <f t="array" ref="K1014">_xlfn.IFS(G1014&lt;=5, "Small", G1014&lt;=15, "Medium", G1014&gt;15, "Large")</f>
        <v>Small</v>
      </c>
      <c r="L1014" t="str">
        <f t="shared" si="62"/>
        <v>Standard</v>
      </c>
      <c r="M1014" t="str">
        <f t="shared" si="63"/>
        <v>Weekday</v>
      </c>
    </row>
    <row r="1015" spans="1:13" x14ac:dyDescent="0.35">
      <c r="A1015" t="s">
        <v>1060</v>
      </c>
      <c r="B1015" s="1">
        <v>45004</v>
      </c>
      <c r="C1015" t="s">
        <v>166</v>
      </c>
      <c r="D1015" t="s">
        <v>26</v>
      </c>
      <c r="E1015" t="s">
        <v>18</v>
      </c>
      <c r="F1015" s="4">
        <v>1754.7</v>
      </c>
      <c r="G1015" s="5">
        <v>25</v>
      </c>
      <c r="H1015" t="s">
        <v>15</v>
      </c>
      <c r="I1015" t="str">
        <f t="shared" si="60"/>
        <v>2023-03</v>
      </c>
      <c r="J1015" s="4">
        <f t="shared" si="61"/>
        <v>70.188000000000002</v>
      </c>
      <c r="K1015" t="str" cm="1">
        <f t="array" ref="K1015">_xlfn.IFS(G1015&lt;=5, "Small", G1015&lt;=15, "Medium", G1015&gt;15, "Large")</f>
        <v>Large</v>
      </c>
      <c r="L1015" t="str">
        <f t="shared" si="62"/>
        <v>Standard</v>
      </c>
      <c r="M1015" t="str">
        <f t="shared" si="63"/>
        <v>Weekend</v>
      </c>
    </row>
    <row r="1016" spans="1:13" x14ac:dyDescent="0.35">
      <c r="A1016" t="s">
        <v>1061</v>
      </c>
      <c r="B1016" s="1">
        <v>45056</v>
      </c>
      <c r="C1016" t="s">
        <v>126</v>
      </c>
      <c r="D1016" t="s">
        <v>21</v>
      </c>
      <c r="E1016" t="s">
        <v>27</v>
      </c>
      <c r="F1016" s="4">
        <v>2062.85</v>
      </c>
      <c r="G1016" s="5">
        <v>3</v>
      </c>
      <c r="H1016" t="s">
        <v>15</v>
      </c>
      <c r="I1016" t="str">
        <f t="shared" si="60"/>
        <v>2023-05</v>
      </c>
      <c r="J1016" s="4">
        <f t="shared" si="61"/>
        <v>687.61666666666667</v>
      </c>
      <c r="K1016" t="str" cm="1">
        <f t="array" ref="K1016">_xlfn.IFS(G1016&lt;=5, "Small", G1016&lt;=15, "Medium", G1016&gt;15, "Large")</f>
        <v>Small</v>
      </c>
      <c r="L1016" t="str">
        <f t="shared" si="62"/>
        <v>Standard</v>
      </c>
      <c r="M1016" t="str">
        <f t="shared" si="63"/>
        <v>Weekday</v>
      </c>
    </row>
    <row r="1017" spans="1:13" x14ac:dyDescent="0.35">
      <c r="A1017" t="s">
        <v>1062</v>
      </c>
      <c r="B1017" s="1">
        <v>44948</v>
      </c>
      <c r="C1017" t="s">
        <v>55</v>
      </c>
      <c r="D1017" t="s">
        <v>10</v>
      </c>
      <c r="E1017" t="s">
        <v>27</v>
      </c>
      <c r="F1017" s="4">
        <v>21596.14</v>
      </c>
      <c r="G1017" s="5">
        <v>4</v>
      </c>
      <c r="H1017" t="s">
        <v>15</v>
      </c>
      <c r="I1017" t="str">
        <f t="shared" si="60"/>
        <v>2023-01</v>
      </c>
      <c r="J1017" s="4">
        <f t="shared" si="61"/>
        <v>5399.0349999999999</v>
      </c>
      <c r="K1017" t="str" cm="1">
        <f t="array" ref="K1017">_xlfn.IFS(G1017&lt;=5, "Small", G1017&lt;=15, "Medium", G1017&gt;15, "Large")</f>
        <v>Small</v>
      </c>
      <c r="L1017" t="str">
        <f t="shared" si="62"/>
        <v>Standard</v>
      </c>
      <c r="M1017" t="str">
        <f t="shared" si="63"/>
        <v>Weekend</v>
      </c>
    </row>
    <row r="1018" spans="1:13" x14ac:dyDescent="0.35">
      <c r="A1018" t="s">
        <v>1063</v>
      </c>
      <c r="B1018" s="1">
        <v>45158</v>
      </c>
      <c r="C1018" t="s">
        <v>89</v>
      </c>
      <c r="D1018" t="s">
        <v>21</v>
      </c>
      <c r="E1018" t="s">
        <v>18</v>
      </c>
      <c r="F1018" s="4">
        <v>2872.02</v>
      </c>
      <c r="G1018" s="5">
        <v>16</v>
      </c>
      <c r="H1018" t="s">
        <v>15</v>
      </c>
      <c r="I1018" t="str">
        <f t="shared" si="60"/>
        <v>2023-08</v>
      </c>
      <c r="J1018" s="4">
        <f t="shared" si="61"/>
        <v>179.50125</v>
      </c>
      <c r="K1018" t="str" cm="1">
        <f t="array" ref="K1018">_xlfn.IFS(G1018&lt;=5, "Small", G1018&lt;=15, "Medium", G1018&gt;15, "Large")</f>
        <v>Large</v>
      </c>
      <c r="L1018" t="str">
        <f t="shared" si="62"/>
        <v>Standard</v>
      </c>
      <c r="M1018" t="str">
        <f t="shared" si="63"/>
        <v>Weekend</v>
      </c>
    </row>
    <row r="1019" spans="1:13" x14ac:dyDescent="0.35">
      <c r="A1019" t="s">
        <v>1064</v>
      </c>
      <c r="B1019" s="1">
        <v>45454</v>
      </c>
      <c r="C1019" t="s">
        <v>91</v>
      </c>
      <c r="D1019" t="s">
        <v>10</v>
      </c>
      <c r="E1019" t="s">
        <v>18</v>
      </c>
      <c r="F1019" s="4">
        <v>1584.63</v>
      </c>
      <c r="G1019" s="5">
        <v>19</v>
      </c>
      <c r="H1019" t="s">
        <v>15</v>
      </c>
      <c r="I1019" t="str">
        <f t="shared" si="60"/>
        <v>2024-06</v>
      </c>
      <c r="J1019" s="4">
        <f t="shared" si="61"/>
        <v>83.401578947368421</v>
      </c>
      <c r="K1019" t="str" cm="1">
        <f t="array" ref="K1019">_xlfn.IFS(G1019&lt;=5, "Small", G1019&lt;=15, "Medium", G1019&gt;15, "Large")</f>
        <v>Large</v>
      </c>
      <c r="L1019" t="str">
        <f t="shared" si="62"/>
        <v>Standard</v>
      </c>
      <c r="M1019" t="str">
        <f t="shared" si="63"/>
        <v>Weekday</v>
      </c>
    </row>
    <row r="1020" spans="1:13" x14ac:dyDescent="0.35">
      <c r="A1020" t="s">
        <v>1065</v>
      </c>
      <c r="B1020" s="1">
        <v>45353</v>
      </c>
      <c r="C1020" t="s">
        <v>74</v>
      </c>
      <c r="D1020" t="s">
        <v>31</v>
      </c>
      <c r="E1020" t="s">
        <v>27</v>
      </c>
      <c r="F1020" s="4">
        <v>22226.59</v>
      </c>
      <c r="G1020" s="5">
        <v>4</v>
      </c>
      <c r="H1020" t="s">
        <v>15</v>
      </c>
      <c r="I1020" t="str">
        <f t="shared" si="60"/>
        <v>2024-03</v>
      </c>
      <c r="J1020" s="4">
        <f t="shared" si="61"/>
        <v>5556.6475</v>
      </c>
      <c r="K1020" t="str" cm="1">
        <f t="array" ref="K1020">_xlfn.IFS(G1020&lt;=5, "Small", G1020&lt;=15, "Medium", G1020&gt;15, "Large")</f>
        <v>Small</v>
      </c>
      <c r="L1020" t="str">
        <f t="shared" si="62"/>
        <v>Standard</v>
      </c>
      <c r="M1020" t="str">
        <f t="shared" si="63"/>
        <v>Weekend</v>
      </c>
    </row>
    <row r="1021" spans="1:13" x14ac:dyDescent="0.35">
      <c r="A1021" t="s">
        <v>1066</v>
      </c>
      <c r="B1021" s="1">
        <v>45026</v>
      </c>
      <c r="C1021" t="s">
        <v>62</v>
      </c>
      <c r="D1021" t="s">
        <v>10</v>
      </c>
      <c r="E1021" t="s">
        <v>18</v>
      </c>
      <c r="F1021" s="4">
        <v>1056.75</v>
      </c>
      <c r="G1021" s="5">
        <v>3</v>
      </c>
      <c r="H1021" t="s">
        <v>15</v>
      </c>
      <c r="I1021" t="str">
        <f t="shared" si="60"/>
        <v>2023-04</v>
      </c>
      <c r="J1021" s="4">
        <f t="shared" si="61"/>
        <v>352.25</v>
      </c>
      <c r="K1021" t="str" cm="1">
        <f t="array" ref="K1021">_xlfn.IFS(G1021&lt;=5, "Small", G1021&lt;=15, "Medium", G1021&gt;15, "Large")</f>
        <v>Small</v>
      </c>
      <c r="L1021" t="str">
        <f t="shared" si="62"/>
        <v>Standard</v>
      </c>
      <c r="M1021" t="str">
        <f t="shared" si="63"/>
        <v>Weekday</v>
      </c>
    </row>
    <row r="1022" spans="1:13" x14ac:dyDescent="0.35">
      <c r="A1022" t="s">
        <v>1067</v>
      </c>
      <c r="B1022" s="1">
        <v>45130</v>
      </c>
      <c r="C1022" t="s">
        <v>37</v>
      </c>
      <c r="D1022" t="s">
        <v>21</v>
      </c>
      <c r="E1022" t="s">
        <v>18</v>
      </c>
      <c r="F1022" s="4">
        <v>0</v>
      </c>
      <c r="G1022" s="5">
        <v>23</v>
      </c>
      <c r="H1022" t="s">
        <v>12</v>
      </c>
      <c r="I1022" t="str">
        <f t="shared" si="60"/>
        <v>2023-07</v>
      </c>
      <c r="J1022" s="4">
        <f t="shared" si="61"/>
        <v>0</v>
      </c>
      <c r="K1022" t="str" cm="1">
        <f t="array" ref="K1022">_xlfn.IFS(G1022&lt;=5, "Small", G1022&lt;=15, "Medium", G1022&gt;15, "Large")</f>
        <v>Large</v>
      </c>
      <c r="L1022" t="str">
        <f t="shared" si="62"/>
        <v>Standard</v>
      </c>
      <c r="M1022" t="str">
        <f t="shared" si="63"/>
        <v>Weekend</v>
      </c>
    </row>
    <row r="1023" spans="1:13" x14ac:dyDescent="0.35">
      <c r="A1023" t="s">
        <v>1068</v>
      </c>
      <c r="B1023" s="1">
        <v>45469</v>
      </c>
      <c r="C1023" t="s">
        <v>30</v>
      </c>
      <c r="D1023" t="s">
        <v>31</v>
      </c>
      <c r="E1023" t="s">
        <v>18</v>
      </c>
      <c r="F1023" s="4">
        <v>0</v>
      </c>
      <c r="G1023" s="5">
        <v>15</v>
      </c>
      <c r="H1023" t="s">
        <v>12</v>
      </c>
      <c r="I1023" t="str">
        <f t="shared" si="60"/>
        <v>2024-06</v>
      </c>
      <c r="J1023" s="4">
        <f t="shared" si="61"/>
        <v>0</v>
      </c>
      <c r="K1023" t="str" cm="1">
        <f t="array" ref="K1023">_xlfn.IFS(G1023&lt;=5, "Small", G1023&lt;=15, "Medium", G1023&gt;15, "Large")</f>
        <v>Medium</v>
      </c>
      <c r="L1023" t="str">
        <f t="shared" si="62"/>
        <v>Standard</v>
      </c>
      <c r="M1023" t="str">
        <f t="shared" si="63"/>
        <v>Weekday</v>
      </c>
    </row>
    <row r="1024" spans="1:13" x14ac:dyDescent="0.35">
      <c r="A1024" t="s">
        <v>1069</v>
      </c>
      <c r="B1024" s="1">
        <v>45456</v>
      </c>
      <c r="C1024" t="s">
        <v>69</v>
      </c>
      <c r="D1024" t="s">
        <v>31</v>
      </c>
      <c r="E1024" t="s">
        <v>18</v>
      </c>
      <c r="F1024" s="4">
        <v>0</v>
      </c>
      <c r="G1024" s="5">
        <v>6</v>
      </c>
      <c r="H1024" t="s">
        <v>12</v>
      </c>
      <c r="I1024" t="str">
        <f t="shared" si="60"/>
        <v>2024-06</v>
      </c>
      <c r="J1024" s="4">
        <f t="shared" si="61"/>
        <v>0</v>
      </c>
      <c r="K1024" t="str" cm="1">
        <f t="array" ref="K1024">_xlfn.IFS(G1024&lt;=5, "Small", G1024&lt;=15, "Medium", G1024&gt;15, "Large")</f>
        <v>Medium</v>
      </c>
      <c r="L1024" t="str">
        <f t="shared" si="62"/>
        <v>Standard</v>
      </c>
      <c r="M1024" t="str">
        <f t="shared" si="63"/>
        <v>Weekday</v>
      </c>
    </row>
    <row r="1025" spans="1:13" x14ac:dyDescent="0.35">
      <c r="A1025" t="s">
        <v>1070</v>
      </c>
      <c r="B1025" s="1">
        <v>45219</v>
      </c>
      <c r="C1025" t="s">
        <v>72</v>
      </c>
      <c r="D1025" t="s">
        <v>26</v>
      </c>
      <c r="E1025" t="s">
        <v>27</v>
      </c>
      <c r="F1025" s="4">
        <v>29631.599999999999</v>
      </c>
      <c r="G1025" s="5">
        <v>2</v>
      </c>
      <c r="H1025" t="s">
        <v>15</v>
      </c>
      <c r="I1025" t="str">
        <f t="shared" si="60"/>
        <v>2023-10</v>
      </c>
      <c r="J1025" s="4">
        <f t="shared" si="61"/>
        <v>14815.8</v>
      </c>
      <c r="K1025" t="str" cm="1">
        <f t="array" ref="K1025">_xlfn.IFS(G1025&lt;=5, "Small", G1025&lt;=15, "Medium", G1025&gt;15, "Large")</f>
        <v>Small</v>
      </c>
      <c r="L1025" t="str">
        <f t="shared" si="62"/>
        <v>VIP</v>
      </c>
      <c r="M1025" t="str">
        <f t="shared" si="63"/>
        <v>Weekday</v>
      </c>
    </row>
    <row r="1026" spans="1:13" x14ac:dyDescent="0.35">
      <c r="A1026" t="s">
        <v>1071</v>
      </c>
      <c r="B1026" s="1">
        <v>45038</v>
      </c>
      <c r="C1026" t="s">
        <v>74</v>
      </c>
      <c r="D1026" t="s">
        <v>31</v>
      </c>
      <c r="E1026" t="s">
        <v>18</v>
      </c>
      <c r="F1026" s="4">
        <v>560.44000000000005</v>
      </c>
      <c r="G1026" s="5">
        <v>5</v>
      </c>
      <c r="H1026" t="s">
        <v>15</v>
      </c>
      <c r="I1026" t="str">
        <f t="shared" si="60"/>
        <v>2023-04</v>
      </c>
      <c r="J1026" s="4">
        <f t="shared" si="61"/>
        <v>112.08800000000001</v>
      </c>
      <c r="K1026" t="str" cm="1">
        <f t="array" ref="K1026">_xlfn.IFS(G1026&lt;=5, "Small", G1026&lt;=15, "Medium", G1026&gt;15, "Large")</f>
        <v>Small</v>
      </c>
      <c r="L1026" t="str">
        <f t="shared" si="62"/>
        <v>Standard</v>
      </c>
      <c r="M1026" t="str">
        <f t="shared" si="63"/>
        <v>Weekend</v>
      </c>
    </row>
    <row r="1027" spans="1:13" x14ac:dyDescent="0.35">
      <c r="A1027" t="s">
        <v>1072</v>
      </c>
      <c r="B1027" s="1">
        <v>45645</v>
      </c>
      <c r="C1027" t="s">
        <v>17</v>
      </c>
      <c r="D1027" t="s">
        <v>10</v>
      </c>
      <c r="E1027" t="s">
        <v>18</v>
      </c>
      <c r="F1027" s="4">
        <v>1904.91</v>
      </c>
      <c r="G1027" s="5">
        <v>5</v>
      </c>
      <c r="H1027" t="s">
        <v>15</v>
      </c>
      <c r="I1027" t="str">
        <f t="shared" ref="I1027:I1090" si="64">TEXT(B1027, "YYYY-MM")</f>
        <v>2024-12</v>
      </c>
      <c r="J1027" s="4">
        <f t="shared" ref="J1027:J1090" si="65">IFERROR(F1027/G1027, 0)</f>
        <v>380.98200000000003</v>
      </c>
      <c r="K1027" t="str" cm="1">
        <f t="array" ref="K1027">_xlfn.IFS(G1027&lt;=5, "Small", G1027&lt;=15, "Medium", G1027&gt;15, "Large")</f>
        <v>Small</v>
      </c>
      <c r="L1027" t="str">
        <f t="shared" ref="L1027:L1090" si="66">IF(F1027&gt;_xlfn.PERCENTILE.INC($F$2:$F$10000, 0.9), "VIP", "Standard")</f>
        <v>Standard</v>
      </c>
      <c r="M1027" t="str">
        <f t="shared" ref="M1027:M1090" si="67">IF(WEEKDAY(B1027, 2)&gt;5, "Weekend", "Weekday")</f>
        <v>Weekday</v>
      </c>
    </row>
    <row r="1028" spans="1:13" x14ac:dyDescent="0.35">
      <c r="A1028" t="s">
        <v>1073</v>
      </c>
      <c r="B1028" s="1">
        <v>45273</v>
      </c>
      <c r="C1028" t="s">
        <v>30</v>
      </c>
      <c r="D1028" t="s">
        <v>31</v>
      </c>
      <c r="E1028" t="s">
        <v>27</v>
      </c>
      <c r="F1028" s="4">
        <v>41756.89</v>
      </c>
      <c r="G1028" s="5">
        <v>5</v>
      </c>
      <c r="H1028" t="s">
        <v>15</v>
      </c>
      <c r="I1028" t="str">
        <f t="shared" si="64"/>
        <v>2023-12</v>
      </c>
      <c r="J1028" s="4">
        <f t="shared" si="65"/>
        <v>8351.3780000000006</v>
      </c>
      <c r="K1028" t="str" cm="1">
        <f t="array" ref="K1028">_xlfn.IFS(G1028&lt;=5, "Small", G1028&lt;=15, "Medium", G1028&gt;15, "Large")</f>
        <v>Small</v>
      </c>
      <c r="L1028" t="str">
        <f t="shared" si="66"/>
        <v>VIP</v>
      </c>
      <c r="M1028" t="str">
        <f t="shared" si="67"/>
        <v>Weekday</v>
      </c>
    </row>
    <row r="1029" spans="1:13" x14ac:dyDescent="0.35">
      <c r="A1029" t="s">
        <v>1074</v>
      </c>
      <c r="B1029" s="1">
        <v>45091</v>
      </c>
      <c r="C1029" t="s">
        <v>37</v>
      </c>
      <c r="D1029" t="s">
        <v>21</v>
      </c>
      <c r="E1029" t="s">
        <v>27</v>
      </c>
      <c r="F1029" s="4">
        <v>15737.42</v>
      </c>
      <c r="G1029" s="5">
        <v>5</v>
      </c>
      <c r="H1029" t="s">
        <v>15</v>
      </c>
      <c r="I1029" t="str">
        <f t="shared" si="64"/>
        <v>2023-06</v>
      </c>
      <c r="J1029" s="4">
        <f t="shared" si="65"/>
        <v>3147.4839999999999</v>
      </c>
      <c r="K1029" t="str" cm="1">
        <f t="array" ref="K1029">_xlfn.IFS(G1029&lt;=5, "Small", G1029&lt;=15, "Medium", G1029&gt;15, "Large")</f>
        <v>Small</v>
      </c>
      <c r="L1029" t="str">
        <f t="shared" si="66"/>
        <v>Standard</v>
      </c>
      <c r="M1029" t="str">
        <f t="shared" si="67"/>
        <v>Weekday</v>
      </c>
    </row>
    <row r="1030" spans="1:13" x14ac:dyDescent="0.35">
      <c r="A1030" t="s">
        <v>1075</v>
      </c>
      <c r="B1030" s="1">
        <v>45372</v>
      </c>
      <c r="C1030" t="s">
        <v>48</v>
      </c>
      <c r="D1030" t="s">
        <v>31</v>
      </c>
      <c r="E1030" t="s">
        <v>27</v>
      </c>
      <c r="F1030" s="4">
        <v>21789.32</v>
      </c>
      <c r="G1030" s="5">
        <v>2</v>
      </c>
      <c r="H1030" t="s">
        <v>15</v>
      </c>
      <c r="I1030" t="str">
        <f t="shared" si="64"/>
        <v>2024-03</v>
      </c>
      <c r="J1030" s="4">
        <f t="shared" si="65"/>
        <v>10894.66</v>
      </c>
      <c r="K1030" t="str" cm="1">
        <f t="array" ref="K1030">_xlfn.IFS(G1030&lt;=5, "Small", G1030&lt;=15, "Medium", G1030&gt;15, "Large")</f>
        <v>Small</v>
      </c>
      <c r="L1030" t="str">
        <f t="shared" si="66"/>
        <v>Standard</v>
      </c>
      <c r="M1030" t="str">
        <f t="shared" si="67"/>
        <v>Weekday</v>
      </c>
    </row>
    <row r="1031" spans="1:13" x14ac:dyDescent="0.35">
      <c r="A1031" t="s">
        <v>1076</v>
      </c>
      <c r="B1031" s="1">
        <v>45490</v>
      </c>
      <c r="C1031" t="s">
        <v>23</v>
      </c>
      <c r="D1031" t="s">
        <v>10</v>
      </c>
      <c r="E1031" t="s">
        <v>11</v>
      </c>
      <c r="F1031" s="4">
        <v>10309.200000000001</v>
      </c>
      <c r="G1031" s="5">
        <v>3</v>
      </c>
      <c r="H1031" t="s">
        <v>15</v>
      </c>
      <c r="I1031" t="str">
        <f t="shared" si="64"/>
        <v>2024-07</v>
      </c>
      <c r="J1031" s="4">
        <f t="shared" si="65"/>
        <v>3436.4</v>
      </c>
      <c r="K1031" t="str" cm="1">
        <f t="array" ref="K1031">_xlfn.IFS(G1031&lt;=5, "Small", G1031&lt;=15, "Medium", G1031&gt;15, "Large")</f>
        <v>Small</v>
      </c>
      <c r="L1031" t="str">
        <f t="shared" si="66"/>
        <v>Standard</v>
      </c>
      <c r="M1031" t="str">
        <f t="shared" si="67"/>
        <v>Weekday</v>
      </c>
    </row>
    <row r="1032" spans="1:13" x14ac:dyDescent="0.35">
      <c r="A1032" t="s">
        <v>1077</v>
      </c>
      <c r="B1032" s="1">
        <v>45633</v>
      </c>
      <c r="C1032" t="s">
        <v>55</v>
      </c>
      <c r="D1032" t="s">
        <v>10</v>
      </c>
      <c r="E1032" t="s">
        <v>18</v>
      </c>
      <c r="F1032" s="4">
        <v>1969.31</v>
      </c>
      <c r="G1032" s="5">
        <v>30</v>
      </c>
      <c r="H1032" t="s">
        <v>15</v>
      </c>
      <c r="I1032" t="str">
        <f t="shared" si="64"/>
        <v>2024-12</v>
      </c>
      <c r="J1032" s="4">
        <f t="shared" si="65"/>
        <v>65.643666666666661</v>
      </c>
      <c r="K1032" t="str" cm="1">
        <f t="array" ref="K1032">_xlfn.IFS(G1032&lt;=5, "Small", G1032&lt;=15, "Medium", G1032&gt;15, "Large")</f>
        <v>Large</v>
      </c>
      <c r="L1032" t="str">
        <f t="shared" si="66"/>
        <v>Standard</v>
      </c>
      <c r="M1032" t="str">
        <f t="shared" si="67"/>
        <v>Weekend</v>
      </c>
    </row>
    <row r="1033" spans="1:13" x14ac:dyDescent="0.35">
      <c r="A1033" t="s">
        <v>1078</v>
      </c>
      <c r="B1033" s="1">
        <v>45470</v>
      </c>
      <c r="C1033" t="s">
        <v>89</v>
      </c>
      <c r="D1033" t="s">
        <v>21</v>
      </c>
      <c r="E1033" t="s">
        <v>11</v>
      </c>
      <c r="F1033" s="4">
        <v>644.74</v>
      </c>
      <c r="G1033" s="5">
        <v>6</v>
      </c>
      <c r="H1033" t="s">
        <v>15</v>
      </c>
      <c r="I1033" t="str">
        <f t="shared" si="64"/>
        <v>2024-06</v>
      </c>
      <c r="J1033" s="4">
        <f t="shared" si="65"/>
        <v>107.45666666666666</v>
      </c>
      <c r="K1033" t="str" cm="1">
        <f t="array" ref="K1033">_xlfn.IFS(G1033&lt;=5, "Small", G1033&lt;=15, "Medium", G1033&gt;15, "Large")</f>
        <v>Medium</v>
      </c>
      <c r="L1033" t="str">
        <f t="shared" si="66"/>
        <v>Standard</v>
      </c>
      <c r="M1033" t="str">
        <f t="shared" si="67"/>
        <v>Weekday</v>
      </c>
    </row>
    <row r="1034" spans="1:13" x14ac:dyDescent="0.35">
      <c r="A1034" t="s">
        <v>1079</v>
      </c>
      <c r="B1034" s="1">
        <v>45024</v>
      </c>
      <c r="C1034" t="s">
        <v>166</v>
      </c>
      <c r="D1034" t="s">
        <v>26</v>
      </c>
      <c r="E1034" t="s">
        <v>11</v>
      </c>
      <c r="F1034" s="4">
        <v>6027.75</v>
      </c>
      <c r="G1034" s="5">
        <v>4</v>
      </c>
      <c r="H1034" t="s">
        <v>15</v>
      </c>
      <c r="I1034" t="str">
        <f t="shared" si="64"/>
        <v>2023-04</v>
      </c>
      <c r="J1034" s="4">
        <f t="shared" si="65"/>
        <v>1506.9375</v>
      </c>
      <c r="K1034" t="str" cm="1">
        <f t="array" ref="K1034">_xlfn.IFS(G1034&lt;=5, "Small", G1034&lt;=15, "Medium", G1034&gt;15, "Large")</f>
        <v>Small</v>
      </c>
      <c r="L1034" t="str">
        <f t="shared" si="66"/>
        <v>Standard</v>
      </c>
      <c r="M1034" t="str">
        <f t="shared" si="67"/>
        <v>Weekend</v>
      </c>
    </row>
    <row r="1035" spans="1:13" x14ac:dyDescent="0.35">
      <c r="A1035" t="s">
        <v>1080</v>
      </c>
      <c r="B1035" s="1">
        <v>45460</v>
      </c>
      <c r="C1035" t="s">
        <v>62</v>
      </c>
      <c r="D1035" t="s">
        <v>10</v>
      </c>
      <c r="E1035" t="s">
        <v>18</v>
      </c>
      <c r="F1035" s="4">
        <v>1917.95</v>
      </c>
      <c r="G1035" s="5">
        <v>5</v>
      </c>
      <c r="H1035" t="s">
        <v>15</v>
      </c>
      <c r="I1035" t="str">
        <f t="shared" si="64"/>
        <v>2024-06</v>
      </c>
      <c r="J1035" s="4">
        <f t="shared" si="65"/>
        <v>383.59000000000003</v>
      </c>
      <c r="K1035" t="str" cm="1">
        <f t="array" ref="K1035">_xlfn.IFS(G1035&lt;=5, "Small", G1035&lt;=15, "Medium", G1035&gt;15, "Large")</f>
        <v>Small</v>
      </c>
      <c r="L1035" t="str">
        <f t="shared" si="66"/>
        <v>Standard</v>
      </c>
      <c r="M1035" t="str">
        <f t="shared" si="67"/>
        <v>Weekday</v>
      </c>
    </row>
    <row r="1036" spans="1:13" x14ac:dyDescent="0.35">
      <c r="A1036" t="s">
        <v>1081</v>
      </c>
      <c r="B1036" s="1">
        <v>45157</v>
      </c>
      <c r="C1036" t="s">
        <v>50</v>
      </c>
      <c r="D1036" t="s">
        <v>26</v>
      </c>
      <c r="E1036" t="s">
        <v>27</v>
      </c>
      <c r="F1036" s="4">
        <v>36415.31</v>
      </c>
      <c r="G1036" s="5">
        <v>1</v>
      </c>
      <c r="H1036" t="s">
        <v>15</v>
      </c>
      <c r="I1036" t="str">
        <f t="shared" si="64"/>
        <v>2023-08</v>
      </c>
      <c r="J1036" s="4">
        <f t="shared" si="65"/>
        <v>36415.31</v>
      </c>
      <c r="K1036" t="str" cm="1">
        <f t="array" ref="K1036">_xlfn.IFS(G1036&lt;=5, "Small", G1036&lt;=15, "Medium", G1036&gt;15, "Large")</f>
        <v>Small</v>
      </c>
      <c r="L1036" t="str">
        <f t="shared" si="66"/>
        <v>VIP</v>
      </c>
      <c r="M1036" t="str">
        <f t="shared" si="67"/>
        <v>Weekend</v>
      </c>
    </row>
    <row r="1037" spans="1:13" x14ac:dyDescent="0.35">
      <c r="A1037" t="s">
        <v>1082</v>
      </c>
      <c r="B1037" s="1">
        <v>45248</v>
      </c>
      <c r="C1037" t="s">
        <v>91</v>
      </c>
      <c r="D1037" t="s">
        <v>26</v>
      </c>
      <c r="E1037" t="s">
        <v>11</v>
      </c>
      <c r="F1037" s="4">
        <v>9276.07</v>
      </c>
      <c r="G1037" s="5">
        <v>7</v>
      </c>
      <c r="H1037" t="s">
        <v>15</v>
      </c>
      <c r="I1037" t="str">
        <f t="shared" si="64"/>
        <v>2023-11</v>
      </c>
      <c r="J1037" s="4">
        <f t="shared" si="65"/>
        <v>1325.1528571428571</v>
      </c>
      <c r="K1037" t="str" cm="1">
        <f t="array" ref="K1037">_xlfn.IFS(G1037&lt;=5, "Small", G1037&lt;=15, "Medium", G1037&gt;15, "Large")</f>
        <v>Medium</v>
      </c>
      <c r="L1037" t="str">
        <f t="shared" si="66"/>
        <v>Standard</v>
      </c>
      <c r="M1037" t="str">
        <f t="shared" si="67"/>
        <v>Weekend</v>
      </c>
    </row>
    <row r="1038" spans="1:13" x14ac:dyDescent="0.35">
      <c r="A1038" t="s">
        <v>1083</v>
      </c>
      <c r="B1038" s="1">
        <v>45315</v>
      </c>
      <c r="C1038" t="s">
        <v>40</v>
      </c>
      <c r="D1038" t="s">
        <v>26</v>
      </c>
      <c r="E1038" t="s">
        <v>27</v>
      </c>
      <c r="F1038" s="4">
        <v>18814.95</v>
      </c>
      <c r="G1038" s="5">
        <v>3</v>
      </c>
      <c r="H1038" t="s">
        <v>15</v>
      </c>
      <c r="I1038" t="str">
        <f t="shared" si="64"/>
        <v>2024-01</v>
      </c>
      <c r="J1038" s="4">
        <f t="shared" si="65"/>
        <v>6271.6500000000005</v>
      </c>
      <c r="K1038" t="str" cm="1">
        <f t="array" ref="K1038">_xlfn.IFS(G1038&lt;=5, "Small", G1038&lt;=15, "Medium", G1038&gt;15, "Large")</f>
        <v>Small</v>
      </c>
      <c r="L1038" t="str">
        <f t="shared" si="66"/>
        <v>Standard</v>
      </c>
      <c r="M1038" t="str">
        <f t="shared" si="67"/>
        <v>Weekday</v>
      </c>
    </row>
    <row r="1039" spans="1:13" x14ac:dyDescent="0.35">
      <c r="A1039" t="s">
        <v>1084</v>
      </c>
      <c r="B1039" s="1">
        <v>45410</v>
      </c>
      <c r="C1039" t="s">
        <v>30</v>
      </c>
      <c r="D1039" t="s">
        <v>31</v>
      </c>
      <c r="E1039" t="s">
        <v>27</v>
      </c>
      <c r="F1039" s="4">
        <v>1029.02</v>
      </c>
      <c r="G1039" s="5">
        <v>5</v>
      </c>
      <c r="H1039" t="s">
        <v>15</v>
      </c>
      <c r="I1039" t="str">
        <f t="shared" si="64"/>
        <v>2024-04</v>
      </c>
      <c r="J1039" s="4">
        <f t="shared" si="65"/>
        <v>205.804</v>
      </c>
      <c r="K1039" t="str" cm="1">
        <f t="array" ref="K1039">_xlfn.IFS(G1039&lt;=5, "Small", G1039&lt;=15, "Medium", G1039&gt;15, "Large")</f>
        <v>Small</v>
      </c>
      <c r="L1039" t="str">
        <f t="shared" si="66"/>
        <v>Standard</v>
      </c>
      <c r="M1039" t="str">
        <f t="shared" si="67"/>
        <v>Weekend</v>
      </c>
    </row>
    <row r="1040" spans="1:13" x14ac:dyDescent="0.35">
      <c r="A1040" t="s">
        <v>1085</v>
      </c>
      <c r="B1040" s="1">
        <v>45264</v>
      </c>
      <c r="C1040" t="s">
        <v>30</v>
      </c>
      <c r="D1040" t="s">
        <v>31</v>
      </c>
      <c r="E1040" t="s">
        <v>11</v>
      </c>
      <c r="F1040" s="4">
        <v>5329.4</v>
      </c>
      <c r="G1040" s="5">
        <v>3</v>
      </c>
      <c r="H1040" t="s">
        <v>15</v>
      </c>
      <c r="I1040" t="str">
        <f t="shared" si="64"/>
        <v>2023-12</v>
      </c>
      <c r="J1040" s="4">
        <f t="shared" si="65"/>
        <v>1776.4666666666665</v>
      </c>
      <c r="K1040" t="str" cm="1">
        <f t="array" ref="K1040">_xlfn.IFS(G1040&lt;=5, "Small", G1040&lt;=15, "Medium", G1040&gt;15, "Large")</f>
        <v>Small</v>
      </c>
      <c r="L1040" t="str">
        <f t="shared" si="66"/>
        <v>Standard</v>
      </c>
      <c r="M1040" t="str">
        <f t="shared" si="67"/>
        <v>Weekday</v>
      </c>
    </row>
    <row r="1041" spans="1:13" x14ac:dyDescent="0.35">
      <c r="A1041" t="s">
        <v>1086</v>
      </c>
      <c r="B1041" s="1">
        <v>45349</v>
      </c>
      <c r="C1041" t="s">
        <v>9</v>
      </c>
      <c r="D1041" t="s">
        <v>10</v>
      </c>
      <c r="E1041" t="s">
        <v>27</v>
      </c>
      <c r="F1041" s="4">
        <v>37238.519999999997</v>
      </c>
      <c r="G1041" s="5">
        <v>3</v>
      </c>
      <c r="H1041" t="s">
        <v>15</v>
      </c>
      <c r="I1041" t="str">
        <f t="shared" si="64"/>
        <v>2024-02</v>
      </c>
      <c r="J1041" s="4">
        <f t="shared" si="65"/>
        <v>12412.839999999998</v>
      </c>
      <c r="K1041" t="str" cm="1">
        <f t="array" ref="K1041">_xlfn.IFS(G1041&lt;=5, "Small", G1041&lt;=15, "Medium", G1041&gt;15, "Large")</f>
        <v>Small</v>
      </c>
      <c r="L1041" t="str">
        <f t="shared" si="66"/>
        <v>VIP</v>
      </c>
      <c r="M1041" t="str">
        <f t="shared" si="67"/>
        <v>Weekday</v>
      </c>
    </row>
    <row r="1042" spans="1:13" x14ac:dyDescent="0.35">
      <c r="A1042" t="s">
        <v>1087</v>
      </c>
      <c r="B1042" s="1">
        <v>45624</v>
      </c>
      <c r="C1042" t="s">
        <v>115</v>
      </c>
      <c r="D1042" t="s">
        <v>10</v>
      </c>
      <c r="E1042" t="s">
        <v>18</v>
      </c>
      <c r="F1042" s="4">
        <v>2045.28</v>
      </c>
      <c r="G1042" s="5">
        <v>22</v>
      </c>
      <c r="H1042" t="s">
        <v>15</v>
      </c>
      <c r="I1042" t="str">
        <f t="shared" si="64"/>
        <v>2024-11</v>
      </c>
      <c r="J1042" s="4">
        <f t="shared" si="65"/>
        <v>92.967272727272729</v>
      </c>
      <c r="K1042" t="str" cm="1">
        <f t="array" ref="K1042">_xlfn.IFS(G1042&lt;=5, "Small", G1042&lt;=15, "Medium", G1042&gt;15, "Large")</f>
        <v>Large</v>
      </c>
      <c r="L1042" t="str">
        <f t="shared" si="66"/>
        <v>Standard</v>
      </c>
      <c r="M1042" t="str">
        <f t="shared" si="67"/>
        <v>Weekday</v>
      </c>
    </row>
    <row r="1043" spans="1:13" x14ac:dyDescent="0.35">
      <c r="A1043" t="s">
        <v>1088</v>
      </c>
      <c r="B1043" s="1">
        <v>45489</v>
      </c>
      <c r="C1043" t="s">
        <v>14</v>
      </c>
      <c r="D1043" t="s">
        <v>10</v>
      </c>
      <c r="E1043" t="s">
        <v>27</v>
      </c>
      <c r="F1043" s="4">
        <v>19639.8</v>
      </c>
      <c r="G1043" s="5">
        <v>4</v>
      </c>
      <c r="H1043" t="s">
        <v>15</v>
      </c>
      <c r="I1043" t="str">
        <f t="shared" si="64"/>
        <v>2024-07</v>
      </c>
      <c r="J1043" s="4">
        <f t="shared" si="65"/>
        <v>4909.95</v>
      </c>
      <c r="K1043" t="str" cm="1">
        <f t="array" ref="K1043">_xlfn.IFS(G1043&lt;=5, "Small", G1043&lt;=15, "Medium", G1043&gt;15, "Large")</f>
        <v>Small</v>
      </c>
      <c r="L1043" t="str">
        <f t="shared" si="66"/>
        <v>Standard</v>
      </c>
      <c r="M1043" t="str">
        <f t="shared" si="67"/>
        <v>Weekday</v>
      </c>
    </row>
    <row r="1044" spans="1:13" x14ac:dyDescent="0.35">
      <c r="A1044" t="s">
        <v>1089</v>
      </c>
      <c r="B1044" s="1">
        <v>44933</v>
      </c>
      <c r="C1044" t="s">
        <v>45</v>
      </c>
      <c r="D1044" t="s">
        <v>21</v>
      </c>
      <c r="E1044" t="s">
        <v>11</v>
      </c>
      <c r="F1044" s="4">
        <v>3231.22</v>
      </c>
      <c r="G1044" s="5">
        <v>2</v>
      </c>
      <c r="H1044" t="s">
        <v>15</v>
      </c>
      <c r="I1044" t="str">
        <f t="shared" si="64"/>
        <v>2023-01</v>
      </c>
      <c r="J1044" s="4">
        <f t="shared" si="65"/>
        <v>1615.61</v>
      </c>
      <c r="K1044" t="str" cm="1">
        <f t="array" ref="K1044">_xlfn.IFS(G1044&lt;=5, "Small", G1044&lt;=15, "Medium", G1044&gt;15, "Large")</f>
        <v>Small</v>
      </c>
      <c r="L1044" t="str">
        <f t="shared" si="66"/>
        <v>Standard</v>
      </c>
      <c r="M1044" t="str">
        <f t="shared" si="67"/>
        <v>Weekend</v>
      </c>
    </row>
    <row r="1045" spans="1:13" x14ac:dyDescent="0.35">
      <c r="A1045" t="s">
        <v>1090</v>
      </c>
      <c r="B1045" s="1">
        <v>45460</v>
      </c>
      <c r="C1045" t="s">
        <v>160</v>
      </c>
      <c r="D1045" t="s">
        <v>26</v>
      </c>
      <c r="E1045" t="s">
        <v>18</v>
      </c>
      <c r="F1045" s="4">
        <v>834.63</v>
      </c>
      <c r="G1045" s="5">
        <v>8</v>
      </c>
      <c r="H1045" t="s">
        <v>15</v>
      </c>
      <c r="I1045" t="str">
        <f t="shared" si="64"/>
        <v>2024-06</v>
      </c>
      <c r="J1045" s="4">
        <f t="shared" si="65"/>
        <v>104.32875</v>
      </c>
      <c r="K1045" t="str" cm="1">
        <f t="array" ref="K1045">_xlfn.IFS(G1045&lt;=5, "Small", G1045&lt;=15, "Medium", G1045&gt;15, "Large")</f>
        <v>Medium</v>
      </c>
      <c r="L1045" t="str">
        <f t="shared" si="66"/>
        <v>Standard</v>
      </c>
      <c r="M1045" t="str">
        <f t="shared" si="67"/>
        <v>Weekday</v>
      </c>
    </row>
    <row r="1046" spans="1:13" x14ac:dyDescent="0.35">
      <c r="A1046" t="s">
        <v>1091</v>
      </c>
      <c r="B1046" s="1">
        <v>45324</v>
      </c>
      <c r="C1046" t="s">
        <v>17</v>
      </c>
      <c r="D1046" t="s">
        <v>10</v>
      </c>
      <c r="E1046" t="s">
        <v>18</v>
      </c>
      <c r="F1046" s="4">
        <v>581.76</v>
      </c>
      <c r="G1046" s="5">
        <v>10</v>
      </c>
      <c r="H1046" t="s">
        <v>15</v>
      </c>
      <c r="I1046" t="str">
        <f t="shared" si="64"/>
        <v>2024-02</v>
      </c>
      <c r="J1046" s="4">
        <f t="shared" si="65"/>
        <v>58.176000000000002</v>
      </c>
      <c r="K1046" t="str" cm="1">
        <f t="array" ref="K1046">_xlfn.IFS(G1046&lt;=5, "Small", G1046&lt;=15, "Medium", G1046&gt;15, "Large")</f>
        <v>Medium</v>
      </c>
      <c r="L1046" t="str">
        <f t="shared" si="66"/>
        <v>Standard</v>
      </c>
      <c r="M1046" t="str">
        <f t="shared" si="67"/>
        <v>Weekday</v>
      </c>
    </row>
    <row r="1047" spans="1:13" x14ac:dyDescent="0.35">
      <c r="A1047" t="s">
        <v>1092</v>
      </c>
      <c r="B1047" s="1">
        <v>45606</v>
      </c>
      <c r="C1047" t="s">
        <v>23</v>
      </c>
      <c r="D1047" t="s">
        <v>21</v>
      </c>
      <c r="E1047" t="s">
        <v>18</v>
      </c>
      <c r="F1047" s="4">
        <v>3127.61</v>
      </c>
      <c r="G1047" s="5">
        <v>20</v>
      </c>
      <c r="H1047" t="s">
        <v>15</v>
      </c>
      <c r="I1047" t="str">
        <f t="shared" si="64"/>
        <v>2024-11</v>
      </c>
      <c r="J1047" s="4">
        <f t="shared" si="65"/>
        <v>156.38050000000001</v>
      </c>
      <c r="K1047" t="str" cm="1">
        <f t="array" ref="K1047">_xlfn.IFS(G1047&lt;=5, "Small", G1047&lt;=15, "Medium", G1047&gt;15, "Large")</f>
        <v>Large</v>
      </c>
      <c r="L1047" t="str">
        <f t="shared" si="66"/>
        <v>Standard</v>
      </c>
      <c r="M1047" t="str">
        <f t="shared" si="67"/>
        <v>Weekend</v>
      </c>
    </row>
    <row r="1048" spans="1:13" x14ac:dyDescent="0.35">
      <c r="A1048" t="s">
        <v>1093</v>
      </c>
      <c r="B1048" s="1">
        <v>45485</v>
      </c>
      <c r="C1048" t="s">
        <v>53</v>
      </c>
      <c r="D1048" t="s">
        <v>31</v>
      </c>
      <c r="E1048" t="s">
        <v>11</v>
      </c>
      <c r="F1048" s="4">
        <v>8848.1200000000008</v>
      </c>
      <c r="G1048" s="5">
        <v>7</v>
      </c>
      <c r="H1048" t="s">
        <v>15</v>
      </c>
      <c r="I1048" t="str">
        <f t="shared" si="64"/>
        <v>2024-07</v>
      </c>
      <c r="J1048" s="4">
        <f t="shared" si="65"/>
        <v>1264.017142857143</v>
      </c>
      <c r="K1048" t="str" cm="1">
        <f t="array" ref="K1048">_xlfn.IFS(G1048&lt;=5, "Small", G1048&lt;=15, "Medium", G1048&gt;15, "Large")</f>
        <v>Medium</v>
      </c>
      <c r="L1048" t="str">
        <f t="shared" si="66"/>
        <v>Standard</v>
      </c>
      <c r="M1048" t="str">
        <f t="shared" si="67"/>
        <v>Weekday</v>
      </c>
    </row>
    <row r="1049" spans="1:13" x14ac:dyDescent="0.35">
      <c r="A1049" t="s">
        <v>1094</v>
      </c>
      <c r="B1049" s="1">
        <v>45546</v>
      </c>
      <c r="C1049" t="s">
        <v>126</v>
      </c>
      <c r="D1049" t="s">
        <v>21</v>
      </c>
      <c r="E1049" t="s">
        <v>18</v>
      </c>
      <c r="F1049" s="4">
        <v>2002.94</v>
      </c>
      <c r="G1049" s="5">
        <v>6</v>
      </c>
      <c r="H1049" t="s">
        <v>15</v>
      </c>
      <c r="I1049" t="str">
        <f t="shared" si="64"/>
        <v>2024-09</v>
      </c>
      <c r="J1049" s="4">
        <f t="shared" si="65"/>
        <v>333.82333333333332</v>
      </c>
      <c r="K1049" t="str" cm="1">
        <f t="array" ref="K1049">_xlfn.IFS(G1049&lt;=5, "Small", G1049&lt;=15, "Medium", G1049&gt;15, "Large")</f>
        <v>Medium</v>
      </c>
      <c r="L1049" t="str">
        <f t="shared" si="66"/>
        <v>Standard</v>
      </c>
      <c r="M1049" t="str">
        <f t="shared" si="67"/>
        <v>Weekday</v>
      </c>
    </row>
    <row r="1050" spans="1:13" x14ac:dyDescent="0.35">
      <c r="A1050" t="s">
        <v>1095</v>
      </c>
      <c r="B1050" s="1">
        <v>45220</v>
      </c>
      <c r="C1050" t="s">
        <v>62</v>
      </c>
      <c r="D1050" t="s">
        <v>10</v>
      </c>
      <c r="E1050" t="s">
        <v>18</v>
      </c>
      <c r="F1050" s="4">
        <v>2375.41</v>
      </c>
      <c r="G1050" s="5">
        <v>26</v>
      </c>
      <c r="H1050" t="s">
        <v>15</v>
      </c>
      <c r="I1050" t="str">
        <f t="shared" si="64"/>
        <v>2023-10</v>
      </c>
      <c r="J1050" s="4">
        <f t="shared" si="65"/>
        <v>91.361923076923077</v>
      </c>
      <c r="K1050" t="str" cm="1">
        <f t="array" ref="K1050">_xlfn.IFS(G1050&lt;=5, "Small", G1050&lt;=15, "Medium", G1050&gt;15, "Large")</f>
        <v>Large</v>
      </c>
      <c r="L1050" t="str">
        <f t="shared" si="66"/>
        <v>Standard</v>
      </c>
      <c r="M1050" t="str">
        <f t="shared" si="67"/>
        <v>Weekend</v>
      </c>
    </row>
    <row r="1051" spans="1:13" x14ac:dyDescent="0.35">
      <c r="A1051" t="s">
        <v>1096</v>
      </c>
      <c r="B1051" s="1">
        <v>44979</v>
      </c>
      <c r="C1051" t="s">
        <v>82</v>
      </c>
      <c r="D1051" t="s">
        <v>10</v>
      </c>
      <c r="E1051" t="s">
        <v>18</v>
      </c>
      <c r="F1051" s="4">
        <v>0</v>
      </c>
      <c r="G1051" s="5">
        <v>20</v>
      </c>
      <c r="H1051" t="s">
        <v>12</v>
      </c>
      <c r="I1051" t="str">
        <f t="shared" si="64"/>
        <v>2023-02</v>
      </c>
      <c r="J1051" s="4">
        <f t="shared" si="65"/>
        <v>0</v>
      </c>
      <c r="K1051" t="str" cm="1">
        <f t="array" ref="K1051">_xlfn.IFS(G1051&lt;=5, "Small", G1051&lt;=15, "Medium", G1051&gt;15, "Large")</f>
        <v>Large</v>
      </c>
      <c r="L1051" t="str">
        <f t="shared" si="66"/>
        <v>Standard</v>
      </c>
      <c r="M1051" t="str">
        <f t="shared" si="67"/>
        <v>Weekday</v>
      </c>
    </row>
    <row r="1052" spans="1:13" x14ac:dyDescent="0.35">
      <c r="A1052" t="s">
        <v>1097</v>
      </c>
      <c r="B1052" s="1">
        <v>45656</v>
      </c>
      <c r="C1052" t="s">
        <v>84</v>
      </c>
      <c r="D1052" t="s">
        <v>26</v>
      </c>
      <c r="E1052" t="s">
        <v>11</v>
      </c>
      <c r="F1052" s="4">
        <v>8998.59</v>
      </c>
      <c r="G1052" s="5">
        <v>3</v>
      </c>
      <c r="H1052" t="s">
        <v>15</v>
      </c>
      <c r="I1052" t="str">
        <f t="shared" si="64"/>
        <v>2024-12</v>
      </c>
      <c r="J1052" s="4">
        <f t="shared" si="65"/>
        <v>2999.53</v>
      </c>
      <c r="K1052" t="str" cm="1">
        <f t="array" ref="K1052">_xlfn.IFS(G1052&lt;=5, "Small", G1052&lt;=15, "Medium", G1052&gt;15, "Large")</f>
        <v>Small</v>
      </c>
      <c r="L1052" t="str">
        <f t="shared" si="66"/>
        <v>Standard</v>
      </c>
      <c r="M1052" t="str">
        <f t="shared" si="67"/>
        <v>Weekday</v>
      </c>
    </row>
    <row r="1053" spans="1:13" x14ac:dyDescent="0.35">
      <c r="A1053" t="s">
        <v>1098</v>
      </c>
      <c r="B1053" s="1">
        <v>45413</v>
      </c>
      <c r="C1053" t="s">
        <v>162</v>
      </c>
      <c r="D1053" t="s">
        <v>26</v>
      </c>
      <c r="E1053" t="s">
        <v>18</v>
      </c>
      <c r="F1053" s="4">
        <v>3059.89</v>
      </c>
      <c r="G1053" s="5">
        <v>14</v>
      </c>
      <c r="H1053" t="s">
        <v>15</v>
      </c>
      <c r="I1053" t="str">
        <f t="shared" si="64"/>
        <v>2024-05</v>
      </c>
      <c r="J1053" s="4">
        <f t="shared" si="65"/>
        <v>218.56357142857141</v>
      </c>
      <c r="K1053" t="str" cm="1">
        <f t="array" ref="K1053">_xlfn.IFS(G1053&lt;=5, "Small", G1053&lt;=15, "Medium", G1053&gt;15, "Large")</f>
        <v>Medium</v>
      </c>
      <c r="L1053" t="str">
        <f t="shared" si="66"/>
        <v>Standard</v>
      </c>
      <c r="M1053" t="str">
        <f t="shared" si="67"/>
        <v>Weekday</v>
      </c>
    </row>
    <row r="1054" spans="1:13" x14ac:dyDescent="0.35">
      <c r="A1054" t="s">
        <v>1099</v>
      </c>
      <c r="B1054" s="1">
        <v>45183</v>
      </c>
      <c r="C1054" t="s">
        <v>64</v>
      </c>
      <c r="D1054" t="s">
        <v>10</v>
      </c>
      <c r="E1054" t="s">
        <v>27</v>
      </c>
      <c r="F1054" s="4">
        <v>44972.31</v>
      </c>
      <c r="G1054" s="5">
        <v>4</v>
      </c>
      <c r="H1054" t="s">
        <v>15</v>
      </c>
      <c r="I1054" t="str">
        <f t="shared" si="64"/>
        <v>2023-09</v>
      </c>
      <c r="J1054" s="4">
        <f t="shared" si="65"/>
        <v>11243.077499999999</v>
      </c>
      <c r="K1054" t="str" cm="1">
        <f t="array" ref="K1054">_xlfn.IFS(G1054&lt;=5, "Small", G1054&lt;=15, "Medium", G1054&gt;15, "Large")</f>
        <v>Small</v>
      </c>
      <c r="L1054" t="str">
        <f t="shared" si="66"/>
        <v>VIP</v>
      </c>
      <c r="M1054" t="str">
        <f t="shared" si="67"/>
        <v>Weekday</v>
      </c>
    </row>
    <row r="1055" spans="1:13" x14ac:dyDescent="0.35">
      <c r="A1055" t="s">
        <v>1100</v>
      </c>
      <c r="B1055" s="1">
        <v>45213</v>
      </c>
      <c r="C1055" t="s">
        <v>97</v>
      </c>
      <c r="D1055" t="s">
        <v>21</v>
      </c>
      <c r="E1055" t="s">
        <v>27</v>
      </c>
      <c r="F1055" s="4">
        <v>27943.51</v>
      </c>
      <c r="G1055" s="5">
        <v>5</v>
      </c>
      <c r="H1055" t="s">
        <v>15</v>
      </c>
      <c r="I1055" t="str">
        <f t="shared" si="64"/>
        <v>2023-10</v>
      </c>
      <c r="J1055" s="4">
        <f t="shared" si="65"/>
        <v>5588.7019999999993</v>
      </c>
      <c r="K1055" t="str" cm="1">
        <f t="array" ref="K1055">_xlfn.IFS(G1055&lt;=5, "Small", G1055&lt;=15, "Medium", G1055&gt;15, "Large")</f>
        <v>Small</v>
      </c>
      <c r="L1055" t="str">
        <f t="shared" si="66"/>
        <v>VIP</v>
      </c>
      <c r="M1055" t="str">
        <f t="shared" si="67"/>
        <v>Weekend</v>
      </c>
    </row>
    <row r="1056" spans="1:13" x14ac:dyDescent="0.35">
      <c r="A1056" t="s">
        <v>1101</v>
      </c>
      <c r="B1056" s="1">
        <v>45287</v>
      </c>
      <c r="C1056" t="s">
        <v>111</v>
      </c>
      <c r="D1056" t="s">
        <v>31</v>
      </c>
      <c r="E1056" t="s">
        <v>18</v>
      </c>
      <c r="F1056" s="4">
        <v>0</v>
      </c>
      <c r="G1056" s="5">
        <v>25</v>
      </c>
      <c r="H1056" t="s">
        <v>28</v>
      </c>
      <c r="I1056" t="str">
        <f t="shared" si="64"/>
        <v>2023-12</v>
      </c>
      <c r="J1056" s="4">
        <f t="shared" si="65"/>
        <v>0</v>
      </c>
      <c r="K1056" t="str" cm="1">
        <f t="array" ref="K1056">_xlfn.IFS(G1056&lt;=5, "Small", G1056&lt;=15, "Medium", G1056&gt;15, "Large")</f>
        <v>Large</v>
      </c>
      <c r="L1056" t="str">
        <f t="shared" si="66"/>
        <v>Standard</v>
      </c>
      <c r="M1056" t="str">
        <f t="shared" si="67"/>
        <v>Weekday</v>
      </c>
    </row>
    <row r="1057" spans="1:13" x14ac:dyDescent="0.35">
      <c r="A1057" t="s">
        <v>1102</v>
      </c>
      <c r="B1057" s="1">
        <v>45280</v>
      </c>
      <c r="C1057" t="s">
        <v>17</v>
      </c>
      <c r="D1057" t="s">
        <v>10</v>
      </c>
      <c r="E1057" t="s">
        <v>11</v>
      </c>
      <c r="F1057" s="4">
        <v>9415.15</v>
      </c>
      <c r="G1057" s="5">
        <v>2</v>
      </c>
      <c r="H1057" t="s">
        <v>15</v>
      </c>
      <c r="I1057" t="str">
        <f t="shared" si="64"/>
        <v>2023-12</v>
      </c>
      <c r="J1057" s="4">
        <f t="shared" si="65"/>
        <v>4707.5749999999998</v>
      </c>
      <c r="K1057" t="str" cm="1">
        <f t="array" ref="K1057">_xlfn.IFS(G1057&lt;=5, "Small", G1057&lt;=15, "Medium", G1057&gt;15, "Large")</f>
        <v>Small</v>
      </c>
      <c r="L1057" t="str">
        <f t="shared" si="66"/>
        <v>Standard</v>
      </c>
      <c r="M1057" t="str">
        <f t="shared" si="67"/>
        <v>Weekday</v>
      </c>
    </row>
    <row r="1058" spans="1:13" x14ac:dyDescent="0.35">
      <c r="A1058" t="s">
        <v>1103</v>
      </c>
      <c r="B1058" s="1">
        <v>45269</v>
      </c>
      <c r="C1058" t="s">
        <v>253</v>
      </c>
      <c r="D1058" t="s">
        <v>21</v>
      </c>
      <c r="E1058" t="s">
        <v>18</v>
      </c>
      <c r="F1058" s="4">
        <v>1973.35</v>
      </c>
      <c r="G1058" s="5">
        <v>26</v>
      </c>
      <c r="H1058" t="s">
        <v>15</v>
      </c>
      <c r="I1058" t="str">
        <f t="shared" si="64"/>
        <v>2023-12</v>
      </c>
      <c r="J1058" s="4">
        <f t="shared" si="65"/>
        <v>75.898076923076914</v>
      </c>
      <c r="K1058" t="str" cm="1">
        <f t="array" ref="K1058">_xlfn.IFS(G1058&lt;=5, "Small", G1058&lt;=15, "Medium", G1058&gt;15, "Large")</f>
        <v>Large</v>
      </c>
      <c r="L1058" t="str">
        <f t="shared" si="66"/>
        <v>Standard</v>
      </c>
      <c r="M1058" t="str">
        <f t="shared" si="67"/>
        <v>Weekend</v>
      </c>
    </row>
    <row r="1059" spans="1:13" x14ac:dyDescent="0.35">
      <c r="A1059" t="s">
        <v>1104</v>
      </c>
      <c r="B1059" s="1">
        <v>45247</v>
      </c>
      <c r="C1059" t="s">
        <v>9</v>
      </c>
      <c r="D1059" t="s">
        <v>10</v>
      </c>
      <c r="E1059" t="s">
        <v>18</v>
      </c>
      <c r="F1059" s="4">
        <v>0</v>
      </c>
      <c r="G1059" s="5">
        <v>24</v>
      </c>
      <c r="H1059" t="s">
        <v>12</v>
      </c>
      <c r="I1059" t="str">
        <f t="shared" si="64"/>
        <v>2023-11</v>
      </c>
      <c r="J1059" s="4">
        <f t="shared" si="65"/>
        <v>0</v>
      </c>
      <c r="K1059" t="str" cm="1">
        <f t="array" ref="K1059">_xlfn.IFS(G1059&lt;=5, "Small", G1059&lt;=15, "Medium", G1059&gt;15, "Large")</f>
        <v>Large</v>
      </c>
      <c r="L1059" t="str">
        <f t="shared" si="66"/>
        <v>Standard</v>
      </c>
      <c r="M1059" t="str">
        <f t="shared" si="67"/>
        <v>Weekday</v>
      </c>
    </row>
    <row r="1060" spans="1:13" x14ac:dyDescent="0.35">
      <c r="A1060" t="s">
        <v>1105</v>
      </c>
      <c r="B1060" s="1">
        <v>45194</v>
      </c>
      <c r="C1060" t="s">
        <v>166</v>
      </c>
      <c r="D1060" t="s">
        <v>26</v>
      </c>
      <c r="E1060" t="s">
        <v>11</v>
      </c>
      <c r="F1060" s="4">
        <v>977.15</v>
      </c>
      <c r="G1060" s="5">
        <v>7</v>
      </c>
      <c r="H1060" t="s">
        <v>15</v>
      </c>
      <c r="I1060" t="str">
        <f t="shared" si="64"/>
        <v>2023-09</v>
      </c>
      <c r="J1060" s="4">
        <f t="shared" si="65"/>
        <v>139.59285714285713</v>
      </c>
      <c r="K1060" t="str" cm="1">
        <f t="array" ref="K1060">_xlfn.IFS(G1060&lt;=5, "Small", G1060&lt;=15, "Medium", G1060&gt;15, "Large")</f>
        <v>Medium</v>
      </c>
      <c r="L1060" t="str">
        <f t="shared" si="66"/>
        <v>Standard</v>
      </c>
      <c r="M1060" t="str">
        <f t="shared" si="67"/>
        <v>Weekday</v>
      </c>
    </row>
    <row r="1061" spans="1:13" x14ac:dyDescent="0.35">
      <c r="A1061" t="s">
        <v>1106</v>
      </c>
      <c r="B1061" s="1">
        <v>45434</v>
      </c>
      <c r="C1061" t="s">
        <v>166</v>
      </c>
      <c r="D1061" t="s">
        <v>26</v>
      </c>
      <c r="E1061" t="s">
        <v>11</v>
      </c>
      <c r="F1061" s="4">
        <v>15818.35</v>
      </c>
      <c r="G1061" s="5">
        <v>1</v>
      </c>
      <c r="H1061" t="s">
        <v>15</v>
      </c>
      <c r="I1061" t="str">
        <f t="shared" si="64"/>
        <v>2024-05</v>
      </c>
      <c r="J1061" s="4">
        <f t="shared" si="65"/>
        <v>15818.35</v>
      </c>
      <c r="K1061" t="str" cm="1">
        <f t="array" ref="K1061">_xlfn.IFS(G1061&lt;=5, "Small", G1061&lt;=15, "Medium", G1061&gt;15, "Large")</f>
        <v>Small</v>
      </c>
      <c r="L1061" t="str">
        <f t="shared" si="66"/>
        <v>Standard</v>
      </c>
      <c r="M1061" t="str">
        <f t="shared" si="67"/>
        <v>Weekday</v>
      </c>
    </row>
    <row r="1062" spans="1:13" x14ac:dyDescent="0.35">
      <c r="A1062" t="s">
        <v>1107</v>
      </c>
      <c r="B1062" s="1">
        <v>45223</v>
      </c>
      <c r="C1062" t="s">
        <v>60</v>
      </c>
      <c r="D1062" t="s">
        <v>21</v>
      </c>
      <c r="E1062" t="s">
        <v>27</v>
      </c>
      <c r="F1062" s="4">
        <v>43564.07</v>
      </c>
      <c r="G1062" s="5">
        <v>2</v>
      </c>
      <c r="H1062" t="s">
        <v>15</v>
      </c>
      <c r="I1062" t="str">
        <f t="shared" si="64"/>
        <v>2023-10</v>
      </c>
      <c r="J1062" s="4">
        <f t="shared" si="65"/>
        <v>21782.035</v>
      </c>
      <c r="K1062" t="str" cm="1">
        <f t="array" ref="K1062">_xlfn.IFS(G1062&lt;=5, "Small", G1062&lt;=15, "Medium", G1062&gt;15, "Large")</f>
        <v>Small</v>
      </c>
      <c r="L1062" t="str">
        <f t="shared" si="66"/>
        <v>VIP</v>
      </c>
      <c r="M1062" t="str">
        <f t="shared" si="67"/>
        <v>Weekday</v>
      </c>
    </row>
    <row r="1063" spans="1:13" x14ac:dyDescent="0.35">
      <c r="A1063" t="s">
        <v>1108</v>
      </c>
      <c r="B1063" s="1">
        <v>45097</v>
      </c>
      <c r="C1063" t="s">
        <v>50</v>
      </c>
      <c r="D1063" t="s">
        <v>26</v>
      </c>
      <c r="E1063" t="s">
        <v>27</v>
      </c>
      <c r="F1063" s="4">
        <v>15137.36</v>
      </c>
      <c r="G1063" s="5">
        <v>1</v>
      </c>
      <c r="H1063" t="s">
        <v>15</v>
      </c>
      <c r="I1063" t="str">
        <f t="shared" si="64"/>
        <v>2023-06</v>
      </c>
      <c r="J1063" s="4">
        <f t="shared" si="65"/>
        <v>15137.36</v>
      </c>
      <c r="K1063" t="str" cm="1">
        <f t="array" ref="K1063">_xlfn.IFS(G1063&lt;=5, "Small", G1063&lt;=15, "Medium", G1063&gt;15, "Large")</f>
        <v>Small</v>
      </c>
      <c r="L1063" t="str">
        <f t="shared" si="66"/>
        <v>Standard</v>
      </c>
      <c r="M1063" t="str">
        <f t="shared" si="67"/>
        <v>Weekday</v>
      </c>
    </row>
    <row r="1064" spans="1:13" x14ac:dyDescent="0.35">
      <c r="A1064" t="s">
        <v>1109</v>
      </c>
      <c r="B1064" s="1">
        <v>45641</v>
      </c>
      <c r="C1064" t="s">
        <v>40</v>
      </c>
      <c r="D1064" t="s">
        <v>31</v>
      </c>
      <c r="E1064" t="s">
        <v>18</v>
      </c>
      <c r="F1064" s="4">
        <v>713.09</v>
      </c>
      <c r="G1064" s="5">
        <v>12</v>
      </c>
      <c r="H1064" t="s">
        <v>15</v>
      </c>
      <c r="I1064" t="str">
        <f t="shared" si="64"/>
        <v>2024-12</v>
      </c>
      <c r="J1064" s="4">
        <f t="shared" si="65"/>
        <v>59.424166666666672</v>
      </c>
      <c r="K1064" t="str" cm="1">
        <f t="array" ref="K1064">_xlfn.IFS(G1064&lt;=5, "Small", G1064&lt;=15, "Medium", G1064&gt;15, "Large")</f>
        <v>Medium</v>
      </c>
      <c r="L1064" t="str">
        <f t="shared" si="66"/>
        <v>Standard</v>
      </c>
      <c r="M1064" t="str">
        <f t="shared" si="67"/>
        <v>Weekend</v>
      </c>
    </row>
    <row r="1065" spans="1:13" x14ac:dyDescent="0.35">
      <c r="A1065" t="s">
        <v>1110</v>
      </c>
      <c r="B1065" s="1">
        <v>45230</v>
      </c>
      <c r="C1065" t="s">
        <v>111</v>
      </c>
      <c r="D1065" t="s">
        <v>31</v>
      </c>
      <c r="E1065" t="s">
        <v>11</v>
      </c>
      <c r="F1065" s="4">
        <v>550.42999999999995</v>
      </c>
      <c r="G1065" s="5">
        <v>3</v>
      </c>
      <c r="H1065" t="s">
        <v>15</v>
      </c>
      <c r="I1065" t="str">
        <f t="shared" si="64"/>
        <v>2023-10</v>
      </c>
      <c r="J1065" s="4">
        <f t="shared" si="65"/>
        <v>183.47666666666666</v>
      </c>
      <c r="K1065" t="str" cm="1">
        <f t="array" ref="K1065">_xlfn.IFS(G1065&lt;=5, "Small", G1065&lt;=15, "Medium", G1065&gt;15, "Large")</f>
        <v>Small</v>
      </c>
      <c r="L1065" t="str">
        <f t="shared" si="66"/>
        <v>Standard</v>
      </c>
      <c r="M1065" t="str">
        <f t="shared" si="67"/>
        <v>Weekday</v>
      </c>
    </row>
    <row r="1066" spans="1:13" x14ac:dyDescent="0.35">
      <c r="A1066" t="s">
        <v>1111</v>
      </c>
      <c r="B1066" s="1">
        <v>45477</v>
      </c>
      <c r="C1066" t="s">
        <v>115</v>
      </c>
      <c r="D1066" t="s">
        <v>10</v>
      </c>
      <c r="E1066" t="s">
        <v>27</v>
      </c>
      <c r="F1066" s="4">
        <v>12172.29</v>
      </c>
      <c r="G1066" s="5">
        <v>4</v>
      </c>
      <c r="H1066" t="s">
        <v>15</v>
      </c>
      <c r="I1066" t="str">
        <f t="shared" si="64"/>
        <v>2024-07</v>
      </c>
      <c r="J1066" s="4">
        <f t="shared" si="65"/>
        <v>3043.0725000000002</v>
      </c>
      <c r="K1066" t="str" cm="1">
        <f t="array" ref="K1066">_xlfn.IFS(G1066&lt;=5, "Small", G1066&lt;=15, "Medium", G1066&gt;15, "Large")</f>
        <v>Small</v>
      </c>
      <c r="L1066" t="str">
        <f t="shared" si="66"/>
        <v>Standard</v>
      </c>
      <c r="M1066" t="str">
        <f t="shared" si="67"/>
        <v>Weekday</v>
      </c>
    </row>
    <row r="1067" spans="1:13" x14ac:dyDescent="0.35">
      <c r="A1067" t="s">
        <v>1112</v>
      </c>
      <c r="B1067" s="1">
        <v>45383</v>
      </c>
      <c r="C1067" t="s">
        <v>53</v>
      </c>
      <c r="D1067" t="s">
        <v>31</v>
      </c>
      <c r="E1067" t="s">
        <v>27</v>
      </c>
      <c r="F1067" s="4">
        <v>40515.550000000003</v>
      </c>
      <c r="G1067" s="5">
        <v>2</v>
      </c>
      <c r="H1067" t="s">
        <v>15</v>
      </c>
      <c r="I1067" t="str">
        <f t="shared" si="64"/>
        <v>2024-04</v>
      </c>
      <c r="J1067" s="4">
        <f t="shared" si="65"/>
        <v>20257.775000000001</v>
      </c>
      <c r="K1067" t="str" cm="1">
        <f t="array" ref="K1067">_xlfn.IFS(G1067&lt;=5, "Small", G1067&lt;=15, "Medium", G1067&gt;15, "Large")</f>
        <v>Small</v>
      </c>
      <c r="L1067" t="str">
        <f t="shared" si="66"/>
        <v>VIP</v>
      </c>
      <c r="M1067" t="str">
        <f t="shared" si="67"/>
        <v>Weekday</v>
      </c>
    </row>
    <row r="1068" spans="1:13" x14ac:dyDescent="0.35">
      <c r="A1068" t="s">
        <v>1113</v>
      </c>
      <c r="B1068" s="1">
        <v>45305</v>
      </c>
      <c r="C1068" t="s">
        <v>82</v>
      </c>
      <c r="D1068" t="s">
        <v>10</v>
      </c>
      <c r="E1068" t="s">
        <v>11</v>
      </c>
      <c r="F1068" s="4">
        <v>2555.79</v>
      </c>
      <c r="G1068" s="5">
        <v>5</v>
      </c>
      <c r="H1068" t="s">
        <v>15</v>
      </c>
      <c r="I1068" t="str">
        <f t="shared" si="64"/>
        <v>2024-01</v>
      </c>
      <c r="J1068" s="4">
        <f t="shared" si="65"/>
        <v>511.15800000000002</v>
      </c>
      <c r="K1068" t="str" cm="1">
        <f t="array" ref="K1068">_xlfn.IFS(G1068&lt;=5, "Small", G1068&lt;=15, "Medium", G1068&gt;15, "Large")</f>
        <v>Small</v>
      </c>
      <c r="L1068" t="str">
        <f t="shared" si="66"/>
        <v>Standard</v>
      </c>
      <c r="M1068" t="str">
        <f t="shared" si="67"/>
        <v>Weekend</v>
      </c>
    </row>
    <row r="1069" spans="1:13" x14ac:dyDescent="0.35">
      <c r="A1069" t="s">
        <v>1114</v>
      </c>
      <c r="B1069" s="1">
        <v>45084</v>
      </c>
      <c r="C1069" t="s">
        <v>84</v>
      </c>
      <c r="D1069" t="s">
        <v>26</v>
      </c>
      <c r="E1069" t="s">
        <v>27</v>
      </c>
      <c r="F1069" s="4">
        <v>6235.87</v>
      </c>
      <c r="G1069" s="5">
        <v>2</v>
      </c>
      <c r="H1069" t="s">
        <v>15</v>
      </c>
      <c r="I1069" t="str">
        <f t="shared" si="64"/>
        <v>2023-06</v>
      </c>
      <c r="J1069" s="4">
        <f t="shared" si="65"/>
        <v>3117.9349999999999</v>
      </c>
      <c r="K1069" t="str" cm="1">
        <f t="array" ref="K1069">_xlfn.IFS(G1069&lt;=5, "Small", G1069&lt;=15, "Medium", G1069&gt;15, "Large")</f>
        <v>Small</v>
      </c>
      <c r="L1069" t="str">
        <f t="shared" si="66"/>
        <v>Standard</v>
      </c>
      <c r="M1069" t="str">
        <f t="shared" si="67"/>
        <v>Weekday</v>
      </c>
    </row>
    <row r="1070" spans="1:13" x14ac:dyDescent="0.35">
      <c r="A1070" t="s">
        <v>1115</v>
      </c>
      <c r="B1070" s="1">
        <v>45013</v>
      </c>
      <c r="C1070" t="s">
        <v>78</v>
      </c>
      <c r="D1070" t="s">
        <v>31</v>
      </c>
      <c r="E1070" t="s">
        <v>11</v>
      </c>
      <c r="F1070" s="4">
        <v>13134.25</v>
      </c>
      <c r="G1070" s="5">
        <v>3</v>
      </c>
      <c r="H1070" t="s">
        <v>15</v>
      </c>
      <c r="I1070" t="str">
        <f t="shared" si="64"/>
        <v>2023-03</v>
      </c>
      <c r="J1070" s="4">
        <f t="shared" si="65"/>
        <v>4378.083333333333</v>
      </c>
      <c r="K1070" t="str" cm="1">
        <f t="array" ref="K1070">_xlfn.IFS(G1070&lt;=5, "Small", G1070&lt;=15, "Medium", G1070&gt;15, "Large")</f>
        <v>Small</v>
      </c>
      <c r="L1070" t="str">
        <f t="shared" si="66"/>
        <v>Standard</v>
      </c>
      <c r="M1070" t="str">
        <f t="shared" si="67"/>
        <v>Weekday</v>
      </c>
    </row>
    <row r="1071" spans="1:13" x14ac:dyDescent="0.35">
      <c r="A1071" t="s">
        <v>1116</v>
      </c>
      <c r="B1071" s="1">
        <v>45516</v>
      </c>
      <c r="C1071" t="s">
        <v>78</v>
      </c>
      <c r="D1071" t="s">
        <v>31</v>
      </c>
      <c r="E1071" t="s">
        <v>11</v>
      </c>
      <c r="F1071" s="4">
        <v>11739.49</v>
      </c>
      <c r="G1071" s="5">
        <v>8</v>
      </c>
      <c r="H1071" t="s">
        <v>15</v>
      </c>
      <c r="I1071" t="str">
        <f t="shared" si="64"/>
        <v>2024-08</v>
      </c>
      <c r="J1071" s="4">
        <f t="shared" si="65"/>
        <v>1467.43625</v>
      </c>
      <c r="K1071" t="str" cm="1">
        <f t="array" ref="K1071">_xlfn.IFS(G1071&lt;=5, "Small", G1071&lt;=15, "Medium", G1071&gt;15, "Large")</f>
        <v>Medium</v>
      </c>
      <c r="L1071" t="str">
        <f t="shared" si="66"/>
        <v>Standard</v>
      </c>
      <c r="M1071" t="str">
        <f t="shared" si="67"/>
        <v>Weekday</v>
      </c>
    </row>
    <row r="1072" spans="1:13" x14ac:dyDescent="0.35">
      <c r="A1072" t="s">
        <v>1117</v>
      </c>
      <c r="B1072" s="1">
        <v>45556</v>
      </c>
      <c r="C1072" t="s">
        <v>48</v>
      </c>
      <c r="D1072" t="s">
        <v>31</v>
      </c>
      <c r="E1072" t="s">
        <v>18</v>
      </c>
      <c r="F1072" s="4">
        <v>631.79</v>
      </c>
      <c r="G1072" s="5">
        <v>19</v>
      </c>
      <c r="H1072" t="s">
        <v>15</v>
      </c>
      <c r="I1072" t="str">
        <f t="shared" si="64"/>
        <v>2024-09</v>
      </c>
      <c r="J1072" s="4">
        <f t="shared" si="65"/>
        <v>33.252105263157894</v>
      </c>
      <c r="K1072" t="str" cm="1">
        <f t="array" ref="K1072">_xlfn.IFS(G1072&lt;=5, "Small", G1072&lt;=15, "Medium", G1072&gt;15, "Large")</f>
        <v>Large</v>
      </c>
      <c r="L1072" t="str">
        <f t="shared" si="66"/>
        <v>Standard</v>
      </c>
      <c r="M1072" t="str">
        <f t="shared" si="67"/>
        <v>Weekend</v>
      </c>
    </row>
    <row r="1073" spans="1:13" x14ac:dyDescent="0.35">
      <c r="A1073" t="s">
        <v>1118</v>
      </c>
      <c r="B1073" s="1">
        <v>45231</v>
      </c>
      <c r="C1073" t="s">
        <v>175</v>
      </c>
      <c r="D1073" t="s">
        <v>21</v>
      </c>
      <c r="E1073" t="s">
        <v>11</v>
      </c>
      <c r="F1073" s="4">
        <v>13705.17</v>
      </c>
      <c r="G1073" s="5">
        <v>8</v>
      </c>
      <c r="H1073" t="s">
        <v>15</v>
      </c>
      <c r="I1073" t="str">
        <f t="shared" si="64"/>
        <v>2023-11</v>
      </c>
      <c r="J1073" s="4">
        <f t="shared" si="65"/>
        <v>1713.14625</v>
      </c>
      <c r="K1073" t="str" cm="1">
        <f t="array" ref="K1073">_xlfn.IFS(G1073&lt;=5, "Small", G1073&lt;=15, "Medium", G1073&gt;15, "Large")</f>
        <v>Medium</v>
      </c>
      <c r="L1073" t="str">
        <f t="shared" si="66"/>
        <v>Standard</v>
      </c>
      <c r="M1073" t="str">
        <f t="shared" si="67"/>
        <v>Weekday</v>
      </c>
    </row>
    <row r="1074" spans="1:13" x14ac:dyDescent="0.35">
      <c r="A1074" t="s">
        <v>1119</v>
      </c>
      <c r="B1074" s="1">
        <v>45499</v>
      </c>
      <c r="C1074" t="s">
        <v>78</v>
      </c>
      <c r="D1074" t="s">
        <v>31</v>
      </c>
      <c r="E1074" t="s">
        <v>11</v>
      </c>
      <c r="F1074" s="4">
        <v>3306.64</v>
      </c>
      <c r="G1074" s="5">
        <v>8</v>
      </c>
      <c r="H1074" t="s">
        <v>15</v>
      </c>
      <c r="I1074" t="str">
        <f t="shared" si="64"/>
        <v>2024-07</v>
      </c>
      <c r="J1074" s="4">
        <f t="shared" si="65"/>
        <v>413.33</v>
      </c>
      <c r="K1074" t="str" cm="1">
        <f t="array" ref="K1074">_xlfn.IFS(G1074&lt;=5, "Small", G1074&lt;=15, "Medium", G1074&gt;15, "Large")</f>
        <v>Medium</v>
      </c>
      <c r="L1074" t="str">
        <f t="shared" si="66"/>
        <v>Standard</v>
      </c>
      <c r="M1074" t="str">
        <f t="shared" si="67"/>
        <v>Weekday</v>
      </c>
    </row>
    <row r="1075" spans="1:13" x14ac:dyDescent="0.35">
      <c r="A1075" t="s">
        <v>1120</v>
      </c>
      <c r="B1075" s="1">
        <v>45450</v>
      </c>
      <c r="C1075" t="s">
        <v>91</v>
      </c>
      <c r="D1075" t="s">
        <v>26</v>
      </c>
      <c r="E1075" t="s">
        <v>11</v>
      </c>
      <c r="F1075" s="4">
        <v>14019.5</v>
      </c>
      <c r="G1075" s="5">
        <v>6</v>
      </c>
      <c r="H1075" t="s">
        <v>15</v>
      </c>
      <c r="I1075" t="str">
        <f t="shared" si="64"/>
        <v>2024-06</v>
      </c>
      <c r="J1075" s="4">
        <f t="shared" si="65"/>
        <v>2336.5833333333335</v>
      </c>
      <c r="K1075" t="str" cm="1">
        <f t="array" ref="K1075">_xlfn.IFS(G1075&lt;=5, "Small", G1075&lt;=15, "Medium", G1075&gt;15, "Large")</f>
        <v>Medium</v>
      </c>
      <c r="L1075" t="str">
        <f t="shared" si="66"/>
        <v>Standard</v>
      </c>
      <c r="M1075" t="str">
        <f t="shared" si="67"/>
        <v>Weekday</v>
      </c>
    </row>
    <row r="1076" spans="1:13" x14ac:dyDescent="0.35">
      <c r="A1076" t="s">
        <v>1121</v>
      </c>
      <c r="B1076" s="1">
        <v>44939</v>
      </c>
      <c r="C1076" t="s">
        <v>72</v>
      </c>
      <c r="D1076" t="s">
        <v>26</v>
      </c>
      <c r="E1076" t="s">
        <v>27</v>
      </c>
      <c r="F1076" s="4">
        <v>6577.61</v>
      </c>
      <c r="G1076" s="5">
        <v>4</v>
      </c>
      <c r="H1076" t="s">
        <v>15</v>
      </c>
      <c r="I1076" t="str">
        <f t="shared" si="64"/>
        <v>2023-01</v>
      </c>
      <c r="J1076" s="4">
        <f t="shared" si="65"/>
        <v>1644.4024999999999</v>
      </c>
      <c r="K1076" t="str" cm="1">
        <f t="array" ref="K1076">_xlfn.IFS(G1076&lt;=5, "Small", G1076&lt;=15, "Medium", G1076&gt;15, "Large")</f>
        <v>Small</v>
      </c>
      <c r="L1076" t="str">
        <f t="shared" si="66"/>
        <v>Standard</v>
      </c>
      <c r="M1076" t="str">
        <f t="shared" si="67"/>
        <v>Weekday</v>
      </c>
    </row>
    <row r="1077" spans="1:13" x14ac:dyDescent="0.35">
      <c r="A1077" t="s">
        <v>1122</v>
      </c>
      <c r="B1077" s="1">
        <v>45042</v>
      </c>
      <c r="C1077" t="s">
        <v>166</v>
      </c>
      <c r="D1077" t="s">
        <v>26</v>
      </c>
      <c r="E1077" t="s">
        <v>18</v>
      </c>
      <c r="F1077" s="4">
        <v>1935.1</v>
      </c>
      <c r="G1077" s="5">
        <v>13</v>
      </c>
      <c r="H1077" t="s">
        <v>15</v>
      </c>
      <c r="I1077" t="str">
        <f t="shared" si="64"/>
        <v>2023-04</v>
      </c>
      <c r="J1077" s="4">
        <f t="shared" si="65"/>
        <v>148.85384615384615</v>
      </c>
      <c r="K1077" t="str" cm="1">
        <f t="array" ref="K1077">_xlfn.IFS(G1077&lt;=5, "Small", G1077&lt;=15, "Medium", G1077&gt;15, "Large")</f>
        <v>Medium</v>
      </c>
      <c r="L1077" t="str">
        <f t="shared" si="66"/>
        <v>Standard</v>
      </c>
      <c r="M1077" t="str">
        <f t="shared" si="67"/>
        <v>Weekday</v>
      </c>
    </row>
    <row r="1078" spans="1:13" x14ac:dyDescent="0.35">
      <c r="A1078" t="s">
        <v>1123</v>
      </c>
      <c r="B1078" s="1">
        <v>45596</v>
      </c>
      <c r="C1078" t="s">
        <v>58</v>
      </c>
      <c r="D1078" t="s">
        <v>31</v>
      </c>
      <c r="E1078" t="s">
        <v>27</v>
      </c>
      <c r="F1078" s="4">
        <v>38245.019999999997</v>
      </c>
      <c r="G1078" s="5">
        <v>4</v>
      </c>
      <c r="H1078" t="s">
        <v>15</v>
      </c>
      <c r="I1078" t="str">
        <f t="shared" si="64"/>
        <v>2024-10</v>
      </c>
      <c r="J1078" s="4">
        <f t="shared" si="65"/>
        <v>9561.2549999999992</v>
      </c>
      <c r="K1078" t="str" cm="1">
        <f t="array" ref="K1078">_xlfn.IFS(G1078&lt;=5, "Small", G1078&lt;=15, "Medium", G1078&gt;15, "Large")</f>
        <v>Small</v>
      </c>
      <c r="L1078" t="str">
        <f t="shared" si="66"/>
        <v>VIP</v>
      </c>
      <c r="M1078" t="str">
        <f t="shared" si="67"/>
        <v>Weekday</v>
      </c>
    </row>
    <row r="1079" spans="1:13" x14ac:dyDescent="0.35">
      <c r="A1079" t="s">
        <v>1124</v>
      </c>
      <c r="B1079" s="1">
        <v>45514</v>
      </c>
      <c r="C1079" t="s">
        <v>9</v>
      </c>
      <c r="D1079" t="s">
        <v>10</v>
      </c>
      <c r="E1079" t="s">
        <v>11</v>
      </c>
      <c r="F1079" s="4">
        <v>0</v>
      </c>
      <c r="G1079" s="5">
        <v>1</v>
      </c>
      <c r="H1079" t="s">
        <v>28</v>
      </c>
      <c r="I1079" t="str">
        <f t="shared" si="64"/>
        <v>2024-08</v>
      </c>
      <c r="J1079" s="4">
        <f t="shared" si="65"/>
        <v>0</v>
      </c>
      <c r="K1079" t="str" cm="1">
        <f t="array" ref="K1079">_xlfn.IFS(G1079&lt;=5, "Small", G1079&lt;=15, "Medium", G1079&gt;15, "Large")</f>
        <v>Small</v>
      </c>
      <c r="L1079" t="str">
        <f t="shared" si="66"/>
        <v>Standard</v>
      </c>
      <c r="M1079" t="str">
        <f t="shared" si="67"/>
        <v>Weekend</v>
      </c>
    </row>
    <row r="1080" spans="1:13" x14ac:dyDescent="0.35">
      <c r="A1080" t="s">
        <v>1125</v>
      </c>
      <c r="B1080" s="1">
        <v>45312</v>
      </c>
      <c r="C1080" t="s">
        <v>35</v>
      </c>
      <c r="D1080" t="s">
        <v>31</v>
      </c>
      <c r="E1080" t="s">
        <v>27</v>
      </c>
      <c r="F1080" s="4">
        <v>37890.239999999998</v>
      </c>
      <c r="G1080" s="5">
        <v>1</v>
      </c>
      <c r="H1080" t="s">
        <v>15</v>
      </c>
      <c r="I1080" t="str">
        <f t="shared" si="64"/>
        <v>2024-01</v>
      </c>
      <c r="J1080" s="4">
        <f t="shared" si="65"/>
        <v>37890.239999999998</v>
      </c>
      <c r="K1080" t="str" cm="1">
        <f t="array" ref="K1080">_xlfn.IFS(G1080&lt;=5, "Small", G1080&lt;=15, "Medium", G1080&gt;15, "Large")</f>
        <v>Small</v>
      </c>
      <c r="L1080" t="str">
        <f t="shared" si="66"/>
        <v>VIP</v>
      </c>
      <c r="M1080" t="str">
        <f t="shared" si="67"/>
        <v>Weekend</v>
      </c>
    </row>
    <row r="1081" spans="1:13" x14ac:dyDescent="0.35">
      <c r="A1081" t="s">
        <v>1126</v>
      </c>
      <c r="B1081" s="1">
        <v>45328</v>
      </c>
      <c r="C1081" t="s">
        <v>72</v>
      </c>
      <c r="D1081" t="s">
        <v>26</v>
      </c>
      <c r="E1081" t="s">
        <v>27</v>
      </c>
      <c r="F1081" s="4">
        <v>28664.12</v>
      </c>
      <c r="G1081" s="5">
        <v>4</v>
      </c>
      <c r="H1081" t="s">
        <v>15</v>
      </c>
      <c r="I1081" t="str">
        <f t="shared" si="64"/>
        <v>2024-02</v>
      </c>
      <c r="J1081" s="4">
        <f t="shared" si="65"/>
        <v>7166.03</v>
      </c>
      <c r="K1081" t="str" cm="1">
        <f t="array" ref="K1081">_xlfn.IFS(G1081&lt;=5, "Small", G1081&lt;=15, "Medium", G1081&gt;15, "Large")</f>
        <v>Small</v>
      </c>
      <c r="L1081" t="str">
        <f t="shared" si="66"/>
        <v>VIP</v>
      </c>
      <c r="M1081" t="str">
        <f t="shared" si="67"/>
        <v>Weekday</v>
      </c>
    </row>
    <row r="1082" spans="1:13" x14ac:dyDescent="0.35">
      <c r="A1082" t="s">
        <v>1127</v>
      </c>
      <c r="B1082" s="1">
        <v>45457</v>
      </c>
      <c r="C1082" t="s">
        <v>64</v>
      </c>
      <c r="D1082" t="s">
        <v>10</v>
      </c>
      <c r="E1082" t="s">
        <v>27</v>
      </c>
      <c r="F1082" s="4">
        <v>1322.44</v>
      </c>
      <c r="G1082" s="5">
        <v>2</v>
      </c>
      <c r="H1082" t="s">
        <v>15</v>
      </c>
      <c r="I1082" t="str">
        <f t="shared" si="64"/>
        <v>2024-06</v>
      </c>
      <c r="J1082" s="4">
        <f t="shared" si="65"/>
        <v>661.22</v>
      </c>
      <c r="K1082" t="str" cm="1">
        <f t="array" ref="K1082">_xlfn.IFS(G1082&lt;=5, "Small", G1082&lt;=15, "Medium", G1082&gt;15, "Large")</f>
        <v>Small</v>
      </c>
      <c r="L1082" t="str">
        <f t="shared" si="66"/>
        <v>Standard</v>
      </c>
      <c r="M1082" t="str">
        <f t="shared" si="67"/>
        <v>Weekday</v>
      </c>
    </row>
    <row r="1083" spans="1:13" x14ac:dyDescent="0.35">
      <c r="A1083" t="s">
        <v>1128</v>
      </c>
      <c r="B1083" s="1">
        <v>45325</v>
      </c>
      <c r="C1083" t="s">
        <v>89</v>
      </c>
      <c r="D1083" t="s">
        <v>21</v>
      </c>
      <c r="E1083" t="s">
        <v>27</v>
      </c>
      <c r="F1083" s="4">
        <v>21647.75</v>
      </c>
      <c r="G1083" s="5">
        <v>5</v>
      </c>
      <c r="H1083" t="s">
        <v>15</v>
      </c>
      <c r="I1083" t="str">
        <f t="shared" si="64"/>
        <v>2024-02</v>
      </c>
      <c r="J1083" s="4">
        <f t="shared" si="65"/>
        <v>4329.55</v>
      </c>
      <c r="K1083" t="str" cm="1">
        <f t="array" ref="K1083">_xlfn.IFS(G1083&lt;=5, "Small", G1083&lt;=15, "Medium", G1083&gt;15, "Large")</f>
        <v>Small</v>
      </c>
      <c r="L1083" t="str">
        <f t="shared" si="66"/>
        <v>Standard</v>
      </c>
      <c r="M1083" t="str">
        <f t="shared" si="67"/>
        <v>Weekend</v>
      </c>
    </row>
    <row r="1084" spans="1:13" x14ac:dyDescent="0.35">
      <c r="A1084" t="s">
        <v>1129</v>
      </c>
      <c r="B1084" s="1">
        <v>45166</v>
      </c>
      <c r="C1084" t="s">
        <v>253</v>
      </c>
      <c r="D1084" t="s">
        <v>21</v>
      </c>
      <c r="E1084" t="s">
        <v>18</v>
      </c>
      <c r="F1084" s="4">
        <v>2084.77</v>
      </c>
      <c r="G1084" s="5">
        <v>26</v>
      </c>
      <c r="H1084" t="s">
        <v>15</v>
      </c>
      <c r="I1084" t="str">
        <f t="shared" si="64"/>
        <v>2023-08</v>
      </c>
      <c r="J1084" s="4">
        <f t="shared" si="65"/>
        <v>80.183461538461543</v>
      </c>
      <c r="K1084" t="str" cm="1">
        <f t="array" ref="K1084">_xlfn.IFS(G1084&lt;=5, "Small", G1084&lt;=15, "Medium", G1084&gt;15, "Large")</f>
        <v>Large</v>
      </c>
      <c r="L1084" t="str">
        <f t="shared" si="66"/>
        <v>Standard</v>
      </c>
      <c r="M1084" t="str">
        <f t="shared" si="67"/>
        <v>Weekday</v>
      </c>
    </row>
    <row r="1085" spans="1:13" x14ac:dyDescent="0.35">
      <c r="A1085" t="s">
        <v>1130</v>
      </c>
      <c r="B1085" s="1">
        <v>45406</v>
      </c>
      <c r="C1085" t="s">
        <v>126</v>
      </c>
      <c r="D1085" t="s">
        <v>21</v>
      </c>
      <c r="E1085" t="s">
        <v>18</v>
      </c>
      <c r="F1085" s="4">
        <v>1879.96</v>
      </c>
      <c r="G1085" s="5">
        <v>5</v>
      </c>
      <c r="H1085" t="s">
        <v>15</v>
      </c>
      <c r="I1085" t="str">
        <f t="shared" si="64"/>
        <v>2024-04</v>
      </c>
      <c r="J1085" s="4">
        <f t="shared" si="65"/>
        <v>375.99200000000002</v>
      </c>
      <c r="K1085" t="str" cm="1">
        <f t="array" ref="K1085">_xlfn.IFS(G1085&lt;=5, "Small", G1085&lt;=15, "Medium", G1085&gt;15, "Large")</f>
        <v>Small</v>
      </c>
      <c r="L1085" t="str">
        <f t="shared" si="66"/>
        <v>Standard</v>
      </c>
      <c r="M1085" t="str">
        <f t="shared" si="67"/>
        <v>Weekday</v>
      </c>
    </row>
    <row r="1086" spans="1:13" x14ac:dyDescent="0.35">
      <c r="A1086" t="s">
        <v>1131</v>
      </c>
      <c r="B1086" s="1">
        <v>45153</v>
      </c>
      <c r="C1086" t="s">
        <v>111</v>
      </c>
      <c r="D1086" t="s">
        <v>31</v>
      </c>
      <c r="E1086" t="s">
        <v>11</v>
      </c>
      <c r="F1086" s="4">
        <v>0</v>
      </c>
      <c r="G1086" s="5">
        <v>8</v>
      </c>
      <c r="H1086" t="s">
        <v>28</v>
      </c>
      <c r="I1086" t="str">
        <f t="shared" si="64"/>
        <v>2023-08</v>
      </c>
      <c r="J1086" s="4">
        <f t="shared" si="65"/>
        <v>0</v>
      </c>
      <c r="K1086" t="str" cm="1">
        <f t="array" ref="K1086">_xlfn.IFS(G1086&lt;=5, "Small", G1086&lt;=15, "Medium", G1086&gt;15, "Large")</f>
        <v>Medium</v>
      </c>
      <c r="L1086" t="str">
        <f t="shared" si="66"/>
        <v>Standard</v>
      </c>
      <c r="M1086" t="str">
        <f t="shared" si="67"/>
        <v>Weekday</v>
      </c>
    </row>
    <row r="1087" spans="1:13" x14ac:dyDescent="0.35">
      <c r="A1087" t="s">
        <v>1132</v>
      </c>
      <c r="B1087" s="1">
        <v>45204</v>
      </c>
      <c r="C1087" t="s">
        <v>35</v>
      </c>
      <c r="D1087" t="s">
        <v>31</v>
      </c>
      <c r="E1087" t="s">
        <v>27</v>
      </c>
      <c r="F1087" s="4">
        <v>8347.0400000000009</v>
      </c>
      <c r="G1087" s="5">
        <v>4</v>
      </c>
      <c r="H1087" t="s">
        <v>15</v>
      </c>
      <c r="I1087" t="str">
        <f t="shared" si="64"/>
        <v>2023-10</v>
      </c>
      <c r="J1087" s="4">
        <f t="shared" si="65"/>
        <v>2086.7600000000002</v>
      </c>
      <c r="K1087" t="str" cm="1">
        <f t="array" ref="K1087">_xlfn.IFS(G1087&lt;=5, "Small", G1087&lt;=15, "Medium", G1087&gt;15, "Large")</f>
        <v>Small</v>
      </c>
      <c r="L1087" t="str">
        <f t="shared" si="66"/>
        <v>Standard</v>
      </c>
      <c r="M1087" t="str">
        <f t="shared" si="67"/>
        <v>Weekday</v>
      </c>
    </row>
    <row r="1088" spans="1:13" x14ac:dyDescent="0.35">
      <c r="A1088" t="s">
        <v>1133</v>
      </c>
      <c r="B1088" s="1">
        <v>45361</v>
      </c>
      <c r="C1088" t="s">
        <v>14</v>
      </c>
      <c r="D1088" t="s">
        <v>10</v>
      </c>
      <c r="E1088" t="s">
        <v>11</v>
      </c>
      <c r="F1088" s="4">
        <v>6761.88</v>
      </c>
      <c r="G1088" s="5">
        <v>7</v>
      </c>
      <c r="H1088" t="s">
        <v>15</v>
      </c>
      <c r="I1088" t="str">
        <f t="shared" si="64"/>
        <v>2024-03</v>
      </c>
      <c r="J1088" s="4">
        <f t="shared" si="65"/>
        <v>965.98285714285714</v>
      </c>
      <c r="K1088" t="str" cm="1">
        <f t="array" ref="K1088">_xlfn.IFS(G1088&lt;=5, "Small", G1088&lt;=15, "Medium", G1088&gt;15, "Large")</f>
        <v>Medium</v>
      </c>
      <c r="L1088" t="str">
        <f t="shared" si="66"/>
        <v>Standard</v>
      </c>
      <c r="M1088" t="str">
        <f t="shared" si="67"/>
        <v>Weekend</v>
      </c>
    </row>
    <row r="1089" spans="1:13" x14ac:dyDescent="0.35">
      <c r="A1089" t="s">
        <v>1134</v>
      </c>
      <c r="B1089" s="1">
        <v>45490</v>
      </c>
      <c r="C1089" t="s">
        <v>30</v>
      </c>
      <c r="D1089" t="s">
        <v>21</v>
      </c>
      <c r="E1089" t="s">
        <v>27</v>
      </c>
      <c r="F1089" s="4">
        <v>41745.42</v>
      </c>
      <c r="G1089" s="5">
        <v>2</v>
      </c>
      <c r="H1089" t="s">
        <v>15</v>
      </c>
      <c r="I1089" t="str">
        <f t="shared" si="64"/>
        <v>2024-07</v>
      </c>
      <c r="J1089" s="4">
        <f t="shared" si="65"/>
        <v>20872.71</v>
      </c>
      <c r="K1089" t="str" cm="1">
        <f t="array" ref="K1089">_xlfn.IFS(G1089&lt;=5, "Small", G1089&lt;=15, "Medium", G1089&gt;15, "Large")</f>
        <v>Small</v>
      </c>
      <c r="L1089" t="str">
        <f t="shared" si="66"/>
        <v>VIP</v>
      </c>
      <c r="M1089" t="str">
        <f t="shared" si="67"/>
        <v>Weekday</v>
      </c>
    </row>
    <row r="1090" spans="1:13" x14ac:dyDescent="0.35">
      <c r="A1090" t="s">
        <v>1135</v>
      </c>
      <c r="B1090" s="1">
        <v>45164</v>
      </c>
      <c r="C1090" t="s">
        <v>17</v>
      </c>
      <c r="D1090" t="s">
        <v>10</v>
      </c>
      <c r="E1090" t="s">
        <v>27</v>
      </c>
      <c r="F1090" s="4">
        <v>29109.17</v>
      </c>
      <c r="G1090" s="5">
        <v>4</v>
      </c>
      <c r="H1090" t="s">
        <v>15</v>
      </c>
      <c r="I1090" t="str">
        <f t="shared" si="64"/>
        <v>2023-08</v>
      </c>
      <c r="J1090" s="4">
        <f t="shared" si="65"/>
        <v>7277.2924999999996</v>
      </c>
      <c r="K1090" t="str" cm="1">
        <f t="array" ref="K1090">_xlfn.IFS(G1090&lt;=5, "Small", G1090&lt;=15, "Medium", G1090&gt;15, "Large")</f>
        <v>Small</v>
      </c>
      <c r="L1090" t="str">
        <f t="shared" si="66"/>
        <v>VIP</v>
      </c>
      <c r="M1090" t="str">
        <f t="shared" si="67"/>
        <v>Weekend</v>
      </c>
    </row>
    <row r="1091" spans="1:13" x14ac:dyDescent="0.35">
      <c r="A1091" t="s">
        <v>1136</v>
      </c>
      <c r="B1091" s="1">
        <v>45021</v>
      </c>
      <c r="C1091" t="s">
        <v>23</v>
      </c>
      <c r="D1091" t="s">
        <v>21</v>
      </c>
      <c r="E1091" t="s">
        <v>11</v>
      </c>
      <c r="F1091" s="4">
        <v>0</v>
      </c>
      <c r="G1091" s="5">
        <v>1</v>
      </c>
      <c r="H1091" t="s">
        <v>28</v>
      </c>
      <c r="I1091" t="str">
        <f t="shared" ref="I1091:I1154" si="68">TEXT(B1091, "YYYY-MM")</f>
        <v>2023-04</v>
      </c>
      <c r="J1091" s="4">
        <f t="shared" ref="J1091:J1154" si="69">IFERROR(F1091/G1091, 0)</f>
        <v>0</v>
      </c>
      <c r="K1091" t="str" cm="1">
        <f t="array" ref="K1091">_xlfn.IFS(G1091&lt;=5, "Small", G1091&lt;=15, "Medium", G1091&gt;15, "Large")</f>
        <v>Small</v>
      </c>
      <c r="L1091" t="str">
        <f t="shared" ref="L1091:L1154" si="70">IF(F1091&gt;_xlfn.PERCENTILE.INC($F$2:$F$10000, 0.9), "VIP", "Standard")</f>
        <v>Standard</v>
      </c>
      <c r="M1091" t="str">
        <f t="shared" ref="M1091:M1154" si="71">IF(WEEKDAY(B1091, 2)&gt;5, "Weekend", "Weekday")</f>
        <v>Weekday</v>
      </c>
    </row>
    <row r="1092" spans="1:13" x14ac:dyDescent="0.35">
      <c r="A1092" t="s">
        <v>1137</v>
      </c>
      <c r="B1092" s="1">
        <v>45428</v>
      </c>
      <c r="C1092" t="s">
        <v>50</v>
      </c>
      <c r="D1092" t="s">
        <v>26</v>
      </c>
      <c r="E1092" t="s">
        <v>18</v>
      </c>
      <c r="F1092" s="4">
        <v>295.76</v>
      </c>
      <c r="G1092" s="5">
        <v>29</v>
      </c>
      <c r="H1092" t="s">
        <v>15</v>
      </c>
      <c r="I1092" t="str">
        <f t="shared" si="68"/>
        <v>2024-05</v>
      </c>
      <c r="J1092" s="4">
        <f t="shared" si="69"/>
        <v>10.198620689655172</v>
      </c>
      <c r="K1092" t="str" cm="1">
        <f t="array" ref="K1092">_xlfn.IFS(G1092&lt;=5, "Small", G1092&lt;=15, "Medium", G1092&gt;15, "Large")</f>
        <v>Large</v>
      </c>
      <c r="L1092" t="str">
        <f t="shared" si="70"/>
        <v>Standard</v>
      </c>
      <c r="M1092" t="str">
        <f t="shared" si="71"/>
        <v>Weekday</v>
      </c>
    </row>
    <row r="1093" spans="1:13" x14ac:dyDescent="0.35">
      <c r="A1093" t="s">
        <v>1138</v>
      </c>
      <c r="B1093" s="1">
        <v>45127</v>
      </c>
      <c r="C1093" t="s">
        <v>48</v>
      </c>
      <c r="D1093" t="s">
        <v>31</v>
      </c>
      <c r="E1093" t="s">
        <v>27</v>
      </c>
      <c r="F1093" s="4">
        <v>7455.03</v>
      </c>
      <c r="G1093" s="5">
        <v>4</v>
      </c>
      <c r="H1093" t="s">
        <v>15</v>
      </c>
      <c r="I1093" t="str">
        <f t="shared" si="68"/>
        <v>2023-07</v>
      </c>
      <c r="J1093" s="4">
        <f t="shared" si="69"/>
        <v>1863.7574999999999</v>
      </c>
      <c r="K1093" t="str" cm="1">
        <f t="array" ref="K1093">_xlfn.IFS(G1093&lt;=5, "Small", G1093&lt;=15, "Medium", G1093&gt;15, "Large")</f>
        <v>Small</v>
      </c>
      <c r="L1093" t="str">
        <f t="shared" si="70"/>
        <v>Standard</v>
      </c>
      <c r="M1093" t="str">
        <f t="shared" si="71"/>
        <v>Weekday</v>
      </c>
    </row>
    <row r="1094" spans="1:13" x14ac:dyDescent="0.35">
      <c r="A1094" t="s">
        <v>1139</v>
      </c>
      <c r="B1094" s="1">
        <v>45460</v>
      </c>
      <c r="C1094" t="s">
        <v>175</v>
      </c>
      <c r="D1094" t="s">
        <v>21</v>
      </c>
      <c r="E1094" t="s">
        <v>18</v>
      </c>
      <c r="F1094" s="4">
        <v>70.849999999999994</v>
      </c>
      <c r="G1094" s="5">
        <v>28</v>
      </c>
      <c r="H1094" t="s">
        <v>15</v>
      </c>
      <c r="I1094" t="str">
        <f t="shared" si="68"/>
        <v>2024-06</v>
      </c>
      <c r="J1094" s="4">
        <f t="shared" si="69"/>
        <v>2.5303571428571425</v>
      </c>
      <c r="K1094" t="str" cm="1">
        <f t="array" ref="K1094">_xlfn.IFS(G1094&lt;=5, "Small", G1094&lt;=15, "Medium", G1094&gt;15, "Large")</f>
        <v>Large</v>
      </c>
      <c r="L1094" t="str">
        <f t="shared" si="70"/>
        <v>Standard</v>
      </c>
      <c r="M1094" t="str">
        <f t="shared" si="71"/>
        <v>Weekday</v>
      </c>
    </row>
    <row r="1095" spans="1:13" x14ac:dyDescent="0.35">
      <c r="A1095" t="s">
        <v>1140</v>
      </c>
      <c r="B1095" s="1">
        <v>45277</v>
      </c>
      <c r="C1095" t="s">
        <v>253</v>
      </c>
      <c r="D1095" t="s">
        <v>21</v>
      </c>
      <c r="E1095" t="s">
        <v>18</v>
      </c>
      <c r="F1095" s="4">
        <v>1611.88</v>
      </c>
      <c r="G1095" s="5">
        <v>8</v>
      </c>
      <c r="H1095" t="s">
        <v>15</v>
      </c>
      <c r="I1095" t="str">
        <f t="shared" si="68"/>
        <v>2023-12</v>
      </c>
      <c r="J1095" s="4">
        <f t="shared" si="69"/>
        <v>201.48500000000001</v>
      </c>
      <c r="K1095" t="str" cm="1">
        <f t="array" ref="K1095">_xlfn.IFS(G1095&lt;=5, "Small", G1095&lt;=15, "Medium", G1095&gt;15, "Large")</f>
        <v>Medium</v>
      </c>
      <c r="L1095" t="str">
        <f t="shared" si="70"/>
        <v>Standard</v>
      </c>
      <c r="M1095" t="str">
        <f t="shared" si="71"/>
        <v>Weekend</v>
      </c>
    </row>
    <row r="1096" spans="1:13" x14ac:dyDescent="0.35">
      <c r="A1096" t="s">
        <v>1141</v>
      </c>
      <c r="B1096" s="1">
        <v>45444</v>
      </c>
      <c r="C1096" t="s">
        <v>20</v>
      </c>
      <c r="D1096" t="s">
        <v>21</v>
      </c>
      <c r="E1096" t="s">
        <v>18</v>
      </c>
      <c r="F1096" s="4">
        <v>798.64</v>
      </c>
      <c r="G1096" s="5">
        <v>7</v>
      </c>
      <c r="H1096" t="s">
        <v>15</v>
      </c>
      <c r="I1096" t="str">
        <f t="shared" si="68"/>
        <v>2024-06</v>
      </c>
      <c r="J1096" s="4">
        <f t="shared" si="69"/>
        <v>114.09142857142857</v>
      </c>
      <c r="K1096" t="str" cm="1">
        <f t="array" ref="K1096">_xlfn.IFS(G1096&lt;=5, "Small", G1096&lt;=15, "Medium", G1096&gt;15, "Large")</f>
        <v>Medium</v>
      </c>
      <c r="L1096" t="str">
        <f t="shared" si="70"/>
        <v>Standard</v>
      </c>
      <c r="M1096" t="str">
        <f t="shared" si="71"/>
        <v>Weekend</v>
      </c>
    </row>
    <row r="1097" spans="1:13" x14ac:dyDescent="0.35">
      <c r="A1097" t="s">
        <v>1142</v>
      </c>
      <c r="B1097" s="1">
        <v>45258</v>
      </c>
      <c r="C1097" t="s">
        <v>97</v>
      </c>
      <c r="D1097" t="s">
        <v>26</v>
      </c>
      <c r="E1097" t="s">
        <v>18</v>
      </c>
      <c r="F1097" s="4">
        <v>3143.33</v>
      </c>
      <c r="G1097" s="5">
        <v>29</v>
      </c>
      <c r="H1097" t="s">
        <v>15</v>
      </c>
      <c r="I1097" t="str">
        <f t="shared" si="68"/>
        <v>2023-11</v>
      </c>
      <c r="J1097" s="4">
        <f t="shared" si="69"/>
        <v>108.39068965517241</v>
      </c>
      <c r="K1097" t="str" cm="1">
        <f t="array" ref="K1097">_xlfn.IFS(G1097&lt;=5, "Small", G1097&lt;=15, "Medium", G1097&gt;15, "Large")</f>
        <v>Large</v>
      </c>
      <c r="L1097" t="str">
        <f t="shared" si="70"/>
        <v>Standard</v>
      </c>
      <c r="M1097" t="str">
        <f t="shared" si="71"/>
        <v>Weekday</v>
      </c>
    </row>
    <row r="1098" spans="1:13" x14ac:dyDescent="0.35">
      <c r="A1098" t="s">
        <v>1143</v>
      </c>
      <c r="B1098" s="1">
        <v>45352</v>
      </c>
      <c r="C1098" t="s">
        <v>25</v>
      </c>
      <c r="D1098" t="s">
        <v>26</v>
      </c>
      <c r="E1098" t="s">
        <v>27</v>
      </c>
      <c r="F1098" s="4">
        <v>25411.91</v>
      </c>
      <c r="G1098" s="5">
        <v>1</v>
      </c>
      <c r="H1098" t="s">
        <v>15</v>
      </c>
      <c r="I1098" t="str">
        <f t="shared" si="68"/>
        <v>2024-03</v>
      </c>
      <c r="J1098" s="4">
        <f t="shared" si="69"/>
        <v>25411.91</v>
      </c>
      <c r="K1098" t="str" cm="1">
        <f t="array" ref="K1098">_xlfn.IFS(G1098&lt;=5, "Small", G1098&lt;=15, "Medium", G1098&gt;15, "Large")</f>
        <v>Small</v>
      </c>
      <c r="L1098" t="str">
        <f t="shared" si="70"/>
        <v>Standard</v>
      </c>
      <c r="M1098" t="str">
        <f t="shared" si="71"/>
        <v>Weekday</v>
      </c>
    </row>
    <row r="1099" spans="1:13" x14ac:dyDescent="0.35">
      <c r="A1099" t="s">
        <v>1144</v>
      </c>
      <c r="B1099" s="1">
        <v>45081</v>
      </c>
      <c r="C1099" t="s">
        <v>162</v>
      </c>
      <c r="D1099" t="s">
        <v>26</v>
      </c>
      <c r="E1099" t="s">
        <v>18</v>
      </c>
      <c r="F1099" s="4">
        <v>2246.4499999999998</v>
      </c>
      <c r="G1099" s="5">
        <v>15</v>
      </c>
      <c r="H1099" t="s">
        <v>15</v>
      </c>
      <c r="I1099" t="str">
        <f t="shared" si="68"/>
        <v>2023-06</v>
      </c>
      <c r="J1099" s="4">
        <f t="shared" si="69"/>
        <v>149.76333333333332</v>
      </c>
      <c r="K1099" t="str" cm="1">
        <f t="array" ref="K1099">_xlfn.IFS(G1099&lt;=5, "Small", G1099&lt;=15, "Medium", G1099&gt;15, "Large")</f>
        <v>Medium</v>
      </c>
      <c r="L1099" t="str">
        <f t="shared" si="70"/>
        <v>Standard</v>
      </c>
      <c r="M1099" t="str">
        <f t="shared" si="71"/>
        <v>Weekend</v>
      </c>
    </row>
    <row r="1100" spans="1:13" x14ac:dyDescent="0.35">
      <c r="A1100" t="s">
        <v>1145</v>
      </c>
      <c r="B1100" s="1">
        <v>45202</v>
      </c>
      <c r="C1100" t="s">
        <v>91</v>
      </c>
      <c r="D1100" t="s">
        <v>26</v>
      </c>
      <c r="E1100" t="s">
        <v>27</v>
      </c>
      <c r="F1100" s="4">
        <v>15607.49</v>
      </c>
      <c r="G1100" s="5">
        <v>4</v>
      </c>
      <c r="H1100" t="s">
        <v>15</v>
      </c>
      <c r="I1100" t="str">
        <f t="shared" si="68"/>
        <v>2023-10</v>
      </c>
      <c r="J1100" s="4">
        <f t="shared" si="69"/>
        <v>3901.8724999999999</v>
      </c>
      <c r="K1100" t="str" cm="1">
        <f t="array" ref="K1100">_xlfn.IFS(G1100&lt;=5, "Small", G1100&lt;=15, "Medium", G1100&gt;15, "Large")</f>
        <v>Small</v>
      </c>
      <c r="L1100" t="str">
        <f t="shared" si="70"/>
        <v>Standard</v>
      </c>
      <c r="M1100" t="str">
        <f t="shared" si="71"/>
        <v>Weekday</v>
      </c>
    </row>
    <row r="1101" spans="1:13" x14ac:dyDescent="0.35">
      <c r="A1101" t="s">
        <v>1146</v>
      </c>
      <c r="B1101" s="1">
        <v>45367</v>
      </c>
      <c r="C1101" t="s">
        <v>91</v>
      </c>
      <c r="D1101" t="s">
        <v>26</v>
      </c>
      <c r="E1101" t="s">
        <v>11</v>
      </c>
      <c r="F1101" s="4">
        <v>15395.87</v>
      </c>
      <c r="G1101" s="5">
        <v>8</v>
      </c>
      <c r="H1101" t="s">
        <v>15</v>
      </c>
      <c r="I1101" t="str">
        <f t="shared" si="68"/>
        <v>2024-03</v>
      </c>
      <c r="J1101" s="4">
        <f t="shared" si="69"/>
        <v>1924.4837500000001</v>
      </c>
      <c r="K1101" t="str" cm="1">
        <f t="array" ref="K1101">_xlfn.IFS(G1101&lt;=5, "Small", G1101&lt;=15, "Medium", G1101&gt;15, "Large")</f>
        <v>Medium</v>
      </c>
      <c r="L1101" t="str">
        <f t="shared" si="70"/>
        <v>Standard</v>
      </c>
      <c r="M1101" t="str">
        <f t="shared" si="71"/>
        <v>Weekend</v>
      </c>
    </row>
    <row r="1102" spans="1:13" x14ac:dyDescent="0.35">
      <c r="A1102" t="s">
        <v>1147</v>
      </c>
      <c r="B1102" s="1">
        <v>45520</v>
      </c>
      <c r="C1102" t="s">
        <v>89</v>
      </c>
      <c r="D1102" t="s">
        <v>21</v>
      </c>
      <c r="E1102" t="s">
        <v>18</v>
      </c>
      <c r="F1102" s="4">
        <v>3463</v>
      </c>
      <c r="G1102" s="5">
        <v>5</v>
      </c>
      <c r="H1102" t="s">
        <v>15</v>
      </c>
      <c r="I1102" t="str">
        <f t="shared" si="68"/>
        <v>2024-08</v>
      </c>
      <c r="J1102" s="4">
        <f t="shared" si="69"/>
        <v>692.6</v>
      </c>
      <c r="K1102" t="str" cm="1">
        <f t="array" ref="K1102">_xlfn.IFS(G1102&lt;=5, "Small", G1102&lt;=15, "Medium", G1102&gt;15, "Large")</f>
        <v>Small</v>
      </c>
      <c r="L1102" t="str">
        <f t="shared" si="70"/>
        <v>Standard</v>
      </c>
      <c r="M1102" t="str">
        <f t="shared" si="71"/>
        <v>Weekday</v>
      </c>
    </row>
    <row r="1103" spans="1:13" x14ac:dyDescent="0.35">
      <c r="A1103" t="s">
        <v>1148</v>
      </c>
      <c r="B1103" s="1">
        <v>45278</v>
      </c>
      <c r="C1103" t="s">
        <v>111</v>
      </c>
      <c r="D1103" t="s">
        <v>31</v>
      </c>
      <c r="E1103" t="s">
        <v>18</v>
      </c>
      <c r="F1103" s="4">
        <v>590.91999999999996</v>
      </c>
      <c r="G1103" s="5">
        <v>26</v>
      </c>
      <c r="H1103" t="s">
        <v>15</v>
      </c>
      <c r="I1103" t="str">
        <f t="shared" si="68"/>
        <v>2023-12</v>
      </c>
      <c r="J1103" s="4">
        <f t="shared" si="69"/>
        <v>22.727692307692305</v>
      </c>
      <c r="K1103" t="str" cm="1">
        <f t="array" ref="K1103">_xlfn.IFS(G1103&lt;=5, "Small", G1103&lt;=15, "Medium", G1103&gt;15, "Large")</f>
        <v>Large</v>
      </c>
      <c r="L1103" t="str">
        <f t="shared" si="70"/>
        <v>Standard</v>
      </c>
      <c r="M1103" t="str">
        <f t="shared" si="71"/>
        <v>Weekday</v>
      </c>
    </row>
    <row r="1104" spans="1:13" x14ac:dyDescent="0.35">
      <c r="A1104" t="s">
        <v>1149</v>
      </c>
      <c r="B1104" s="1">
        <v>45436</v>
      </c>
      <c r="C1104" t="s">
        <v>111</v>
      </c>
      <c r="D1104" t="s">
        <v>31</v>
      </c>
      <c r="E1104" t="s">
        <v>27</v>
      </c>
      <c r="F1104" s="4">
        <v>2113.7800000000002</v>
      </c>
      <c r="G1104" s="5">
        <v>1</v>
      </c>
      <c r="H1104" t="s">
        <v>15</v>
      </c>
      <c r="I1104" t="str">
        <f t="shared" si="68"/>
        <v>2024-05</v>
      </c>
      <c r="J1104" s="4">
        <f t="shared" si="69"/>
        <v>2113.7800000000002</v>
      </c>
      <c r="K1104" t="str" cm="1">
        <f t="array" ref="K1104">_xlfn.IFS(G1104&lt;=5, "Small", G1104&lt;=15, "Medium", G1104&gt;15, "Large")</f>
        <v>Small</v>
      </c>
      <c r="L1104" t="str">
        <f t="shared" si="70"/>
        <v>Standard</v>
      </c>
      <c r="M1104" t="str">
        <f t="shared" si="71"/>
        <v>Weekday</v>
      </c>
    </row>
    <row r="1105" spans="1:13" x14ac:dyDescent="0.35">
      <c r="A1105" t="s">
        <v>1150</v>
      </c>
      <c r="B1105" s="1">
        <v>45433</v>
      </c>
      <c r="C1105" t="s">
        <v>82</v>
      </c>
      <c r="D1105" t="s">
        <v>10</v>
      </c>
      <c r="E1105" t="s">
        <v>18</v>
      </c>
      <c r="F1105" s="4">
        <v>2383.88</v>
      </c>
      <c r="G1105" s="5">
        <v>25</v>
      </c>
      <c r="H1105" t="s">
        <v>15</v>
      </c>
      <c r="I1105" t="str">
        <f t="shared" si="68"/>
        <v>2024-05</v>
      </c>
      <c r="J1105" s="4">
        <f t="shared" si="69"/>
        <v>95.355200000000011</v>
      </c>
      <c r="K1105" t="str" cm="1">
        <f t="array" ref="K1105">_xlfn.IFS(G1105&lt;=5, "Small", G1105&lt;=15, "Medium", G1105&gt;15, "Large")</f>
        <v>Large</v>
      </c>
      <c r="L1105" t="str">
        <f t="shared" si="70"/>
        <v>Standard</v>
      </c>
      <c r="M1105" t="str">
        <f t="shared" si="71"/>
        <v>Weekday</v>
      </c>
    </row>
    <row r="1106" spans="1:13" x14ac:dyDescent="0.35">
      <c r="A1106" t="s">
        <v>1151</v>
      </c>
      <c r="B1106" s="1">
        <v>45402</v>
      </c>
      <c r="C1106" t="s">
        <v>89</v>
      </c>
      <c r="D1106" t="s">
        <v>21</v>
      </c>
      <c r="E1106" t="s">
        <v>27</v>
      </c>
      <c r="F1106" s="4">
        <v>17811.66</v>
      </c>
      <c r="G1106" s="5">
        <v>3</v>
      </c>
      <c r="H1106" t="s">
        <v>15</v>
      </c>
      <c r="I1106" t="str">
        <f t="shared" si="68"/>
        <v>2024-04</v>
      </c>
      <c r="J1106" s="4">
        <f t="shared" si="69"/>
        <v>5937.22</v>
      </c>
      <c r="K1106" t="str" cm="1">
        <f t="array" ref="K1106">_xlfn.IFS(G1106&lt;=5, "Small", G1106&lt;=15, "Medium", G1106&gt;15, "Large")</f>
        <v>Small</v>
      </c>
      <c r="L1106" t="str">
        <f t="shared" si="70"/>
        <v>Standard</v>
      </c>
      <c r="M1106" t="str">
        <f t="shared" si="71"/>
        <v>Weekend</v>
      </c>
    </row>
    <row r="1107" spans="1:13" x14ac:dyDescent="0.35">
      <c r="A1107" t="s">
        <v>1152</v>
      </c>
      <c r="B1107" s="1">
        <v>45583</v>
      </c>
      <c r="C1107" t="s">
        <v>78</v>
      </c>
      <c r="D1107" t="s">
        <v>31</v>
      </c>
      <c r="E1107" t="s">
        <v>11</v>
      </c>
      <c r="F1107" s="4">
        <v>8387.14</v>
      </c>
      <c r="G1107" s="5">
        <v>1</v>
      </c>
      <c r="H1107" t="s">
        <v>15</v>
      </c>
      <c r="I1107" t="str">
        <f t="shared" si="68"/>
        <v>2024-10</v>
      </c>
      <c r="J1107" s="4">
        <f t="shared" si="69"/>
        <v>8387.14</v>
      </c>
      <c r="K1107" t="str" cm="1">
        <f t="array" ref="K1107">_xlfn.IFS(G1107&lt;=5, "Small", G1107&lt;=15, "Medium", G1107&gt;15, "Large")</f>
        <v>Small</v>
      </c>
      <c r="L1107" t="str">
        <f t="shared" si="70"/>
        <v>Standard</v>
      </c>
      <c r="M1107" t="str">
        <f t="shared" si="71"/>
        <v>Weekday</v>
      </c>
    </row>
    <row r="1108" spans="1:13" x14ac:dyDescent="0.35">
      <c r="A1108" t="s">
        <v>1153</v>
      </c>
      <c r="B1108" s="1">
        <v>45537</v>
      </c>
      <c r="C1108" t="s">
        <v>115</v>
      </c>
      <c r="D1108" t="s">
        <v>10</v>
      </c>
      <c r="E1108" t="s">
        <v>27</v>
      </c>
      <c r="F1108" s="4">
        <v>11793.52</v>
      </c>
      <c r="G1108" s="5">
        <v>4</v>
      </c>
      <c r="H1108" t="s">
        <v>15</v>
      </c>
      <c r="I1108" t="str">
        <f t="shared" si="68"/>
        <v>2024-09</v>
      </c>
      <c r="J1108" s="4">
        <f t="shared" si="69"/>
        <v>2948.38</v>
      </c>
      <c r="K1108" t="str" cm="1">
        <f t="array" ref="K1108">_xlfn.IFS(G1108&lt;=5, "Small", G1108&lt;=15, "Medium", G1108&gt;15, "Large")</f>
        <v>Small</v>
      </c>
      <c r="L1108" t="str">
        <f t="shared" si="70"/>
        <v>Standard</v>
      </c>
      <c r="M1108" t="str">
        <f t="shared" si="71"/>
        <v>Weekday</v>
      </c>
    </row>
    <row r="1109" spans="1:13" x14ac:dyDescent="0.35">
      <c r="A1109" t="s">
        <v>1154</v>
      </c>
      <c r="B1109" s="1">
        <v>45319</v>
      </c>
      <c r="C1109" t="s">
        <v>126</v>
      </c>
      <c r="D1109" t="s">
        <v>21</v>
      </c>
      <c r="E1109" t="s">
        <v>18</v>
      </c>
      <c r="F1109" s="4">
        <v>3102.05</v>
      </c>
      <c r="G1109" s="5">
        <v>17</v>
      </c>
      <c r="H1109" t="s">
        <v>15</v>
      </c>
      <c r="I1109" t="str">
        <f t="shared" si="68"/>
        <v>2024-01</v>
      </c>
      <c r="J1109" s="4">
        <f t="shared" si="69"/>
        <v>182.47352941176473</v>
      </c>
      <c r="K1109" t="str" cm="1">
        <f t="array" ref="K1109">_xlfn.IFS(G1109&lt;=5, "Small", G1109&lt;=15, "Medium", G1109&gt;15, "Large")</f>
        <v>Large</v>
      </c>
      <c r="L1109" t="str">
        <f t="shared" si="70"/>
        <v>Standard</v>
      </c>
      <c r="M1109" t="str">
        <f t="shared" si="71"/>
        <v>Weekend</v>
      </c>
    </row>
    <row r="1110" spans="1:13" x14ac:dyDescent="0.35">
      <c r="A1110" t="s">
        <v>1155</v>
      </c>
      <c r="B1110" s="1">
        <v>45102</v>
      </c>
      <c r="C1110" t="s">
        <v>160</v>
      </c>
      <c r="D1110" t="s">
        <v>26</v>
      </c>
      <c r="E1110" t="s">
        <v>18</v>
      </c>
      <c r="F1110" s="4">
        <v>1214.79</v>
      </c>
      <c r="G1110" s="5">
        <v>30</v>
      </c>
      <c r="H1110" t="s">
        <v>15</v>
      </c>
      <c r="I1110" t="str">
        <f t="shared" si="68"/>
        <v>2023-06</v>
      </c>
      <c r="J1110" s="4">
        <f t="shared" si="69"/>
        <v>40.493000000000002</v>
      </c>
      <c r="K1110" t="str" cm="1">
        <f t="array" ref="K1110">_xlfn.IFS(G1110&lt;=5, "Small", G1110&lt;=15, "Medium", G1110&gt;15, "Large")</f>
        <v>Large</v>
      </c>
      <c r="L1110" t="str">
        <f t="shared" si="70"/>
        <v>Standard</v>
      </c>
      <c r="M1110" t="str">
        <f t="shared" si="71"/>
        <v>Weekend</v>
      </c>
    </row>
    <row r="1111" spans="1:13" x14ac:dyDescent="0.35">
      <c r="A1111" t="s">
        <v>1156</v>
      </c>
      <c r="B1111" s="1">
        <v>44937</v>
      </c>
      <c r="C1111" t="s">
        <v>177</v>
      </c>
      <c r="D1111" t="s">
        <v>26</v>
      </c>
      <c r="E1111" t="s">
        <v>18</v>
      </c>
      <c r="F1111" s="4">
        <v>2410.36</v>
      </c>
      <c r="G1111" s="5">
        <v>25</v>
      </c>
      <c r="H1111" t="s">
        <v>15</v>
      </c>
      <c r="I1111" t="str">
        <f t="shared" si="68"/>
        <v>2023-01</v>
      </c>
      <c r="J1111" s="4">
        <f t="shared" si="69"/>
        <v>96.414400000000001</v>
      </c>
      <c r="K1111" t="str" cm="1">
        <f t="array" ref="K1111">_xlfn.IFS(G1111&lt;=5, "Small", G1111&lt;=15, "Medium", G1111&gt;15, "Large")</f>
        <v>Large</v>
      </c>
      <c r="L1111" t="str">
        <f t="shared" si="70"/>
        <v>Standard</v>
      </c>
      <c r="M1111" t="str">
        <f t="shared" si="71"/>
        <v>Weekday</v>
      </c>
    </row>
    <row r="1112" spans="1:13" x14ac:dyDescent="0.35">
      <c r="A1112" t="s">
        <v>1157</v>
      </c>
      <c r="B1112" s="1">
        <v>45115</v>
      </c>
      <c r="C1112" t="s">
        <v>175</v>
      </c>
      <c r="D1112" t="s">
        <v>21</v>
      </c>
      <c r="E1112" t="s">
        <v>27</v>
      </c>
      <c r="F1112" s="4">
        <v>32936.92</v>
      </c>
      <c r="G1112" s="5">
        <v>3</v>
      </c>
      <c r="H1112" t="s">
        <v>15</v>
      </c>
      <c r="I1112" t="str">
        <f t="shared" si="68"/>
        <v>2023-07</v>
      </c>
      <c r="J1112" s="4">
        <f t="shared" si="69"/>
        <v>10978.973333333333</v>
      </c>
      <c r="K1112" t="str" cm="1">
        <f t="array" ref="K1112">_xlfn.IFS(G1112&lt;=5, "Small", G1112&lt;=15, "Medium", G1112&gt;15, "Large")</f>
        <v>Small</v>
      </c>
      <c r="L1112" t="str">
        <f t="shared" si="70"/>
        <v>VIP</v>
      </c>
      <c r="M1112" t="str">
        <f t="shared" si="71"/>
        <v>Weekend</v>
      </c>
    </row>
    <row r="1113" spans="1:13" x14ac:dyDescent="0.35">
      <c r="A1113" t="s">
        <v>1158</v>
      </c>
      <c r="B1113" s="1">
        <v>45552</v>
      </c>
      <c r="C1113" t="s">
        <v>74</v>
      </c>
      <c r="D1113" t="s">
        <v>31</v>
      </c>
      <c r="E1113" t="s">
        <v>27</v>
      </c>
      <c r="F1113" s="4">
        <v>36946.769999999997</v>
      </c>
      <c r="G1113" s="5">
        <v>1</v>
      </c>
      <c r="H1113" t="s">
        <v>15</v>
      </c>
      <c r="I1113" t="str">
        <f t="shared" si="68"/>
        <v>2024-09</v>
      </c>
      <c r="J1113" s="4">
        <f t="shared" si="69"/>
        <v>36946.769999999997</v>
      </c>
      <c r="K1113" t="str" cm="1">
        <f t="array" ref="K1113">_xlfn.IFS(G1113&lt;=5, "Small", G1113&lt;=15, "Medium", G1113&gt;15, "Large")</f>
        <v>Small</v>
      </c>
      <c r="L1113" t="str">
        <f t="shared" si="70"/>
        <v>VIP</v>
      </c>
      <c r="M1113" t="str">
        <f t="shared" si="71"/>
        <v>Weekday</v>
      </c>
    </row>
    <row r="1114" spans="1:13" x14ac:dyDescent="0.35">
      <c r="A1114" t="s">
        <v>1159</v>
      </c>
      <c r="B1114" s="1">
        <v>45075</v>
      </c>
      <c r="C1114" t="s">
        <v>166</v>
      </c>
      <c r="D1114" t="s">
        <v>26</v>
      </c>
      <c r="E1114" t="s">
        <v>27</v>
      </c>
      <c r="F1114" s="4">
        <v>0</v>
      </c>
      <c r="G1114" s="5">
        <v>3</v>
      </c>
      <c r="H1114" t="s">
        <v>28</v>
      </c>
      <c r="I1114" t="str">
        <f t="shared" si="68"/>
        <v>2023-05</v>
      </c>
      <c r="J1114" s="4">
        <f t="shared" si="69"/>
        <v>0</v>
      </c>
      <c r="K1114" t="str" cm="1">
        <f t="array" ref="K1114">_xlfn.IFS(G1114&lt;=5, "Small", G1114&lt;=15, "Medium", G1114&gt;15, "Large")</f>
        <v>Small</v>
      </c>
      <c r="L1114" t="str">
        <f t="shared" si="70"/>
        <v>Standard</v>
      </c>
      <c r="M1114" t="str">
        <f t="shared" si="71"/>
        <v>Weekday</v>
      </c>
    </row>
    <row r="1115" spans="1:13" x14ac:dyDescent="0.35">
      <c r="A1115" t="s">
        <v>1160</v>
      </c>
      <c r="B1115" s="1">
        <v>45154</v>
      </c>
      <c r="C1115" t="s">
        <v>82</v>
      </c>
      <c r="D1115" t="s">
        <v>10</v>
      </c>
      <c r="E1115" t="s">
        <v>18</v>
      </c>
      <c r="F1115" s="4">
        <v>3148.97</v>
      </c>
      <c r="G1115" s="5">
        <v>14</v>
      </c>
      <c r="H1115" t="s">
        <v>15</v>
      </c>
      <c r="I1115" t="str">
        <f t="shared" si="68"/>
        <v>2023-08</v>
      </c>
      <c r="J1115" s="4">
        <f t="shared" si="69"/>
        <v>224.92642857142854</v>
      </c>
      <c r="K1115" t="str" cm="1">
        <f t="array" ref="K1115">_xlfn.IFS(G1115&lt;=5, "Small", G1115&lt;=15, "Medium", G1115&gt;15, "Large")</f>
        <v>Medium</v>
      </c>
      <c r="L1115" t="str">
        <f t="shared" si="70"/>
        <v>Standard</v>
      </c>
      <c r="M1115" t="str">
        <f t="shared" si="71"/>
        <v>Weekday</v>
      </c>
    </row>
    <row r="1116" spans="1:13" x14ac:dyDescent="0.35">
      <c r="A1116" t="s">
        <v>1161</v>
      </c>
      <c r="B1116" s="1">
        <v>45625</v>
      </c>
      <c r="C1116" t="s">
        <v>175</v>
      </c>
      <c r="D1116" t="s">
        <v>21</v>
      </c>
      <c r="E1116" t="s">
        <v>27</v>
      </c>
      <c r="F1116" s="4">
        <v>0</v>
      </c>
      <c r="G1116" s="5">
        <v>5</v>
      </c>
      <c r="H1116" t="s">
        <v>28</v>
      </c>
      <c r="I1116" t="str">
        <f t="shared" si="68"/>
        <v>2024-11</v>
      </c>
      <c r="J1116" s="4">
        <f t="shared" si="69"/>
        <v>0</v>
      </c>
      <c r="K1116" t="str" cm="1">
        <f t="array" ref="K1116">_xlfn.IFS(G1116&lt;=5, "Small", G1116&lt;=15, "Medium", G1116&gt;15, "Large")</f>
        <v>Small</v>
      </c>
      <c r="L1116" t="str">
        <f t="shared" si="70"/>
        <v>Standard</v>
      </c>
      <c r="M1116" t="str">
        <f t="shared" si="71"/>
        <v>Weekday</v>
      </c>
    </row>
    <row r="1117" spans="1:13" x14ac:dyDescent="0.35">
      <c r="A1117" t="s">
        <v>1162</v>
      </c>
      <c r="B1117" s="1">
        <v>44942</v>
      </c>
      <c r="C1117" t="s">
        <v>37</v>
      </c>
      <c r="D1117" t="s">
        <v>21</v>
      </c>
      <c r="E1117" t="s">
        <v>18</v>
      </c>
      <c r="F1117" s="4">
        <v>1031.5</v>
      </c>
      <c r="G1117" s="5">
        <v>27</v>
      </c>
      <c r="H1117" t="s">
        <v>15</v>
      </c>
      <c r="I1117" t="str">
        <f t="shared" si="68"/>
        <v>2023-01</v>
      </c>
      <c r="J1117" s="4">
        <f t="shared" si="69"/>
        <v>38.203703703703702</v>
      </c>
      <c r="K1117" t="str" cm="1">
        <f t="array" ref="K1117">_xlfn.IFS(G1117&lt;=5, "Small", G1117&lt;=15, "Medium", G1117&gt;15, "Large")</f>
        <v>Large</v>
      </c>
      <c r="L1117" t="str">
        <f t="shared" si="70"/>
        <v>Standard</v>
      </c>
      <c r="M1117" t="str">
        <f t="shared" si="71"/>
        <v>Weekday</v>
      </c>
    </row>
    <row r="1118" spans="1:13" x14ac:dyDescent="0.35">
      <c r="A1118" t="s">
        <v>1163</v>
      </c>
      <c r="B1118" s="1">
        <v>45313</v>
      </c>
      <c r="C1118" t="s">
        <v>69</v>
      </c>
      <c r="D1118" t="s">
        <v>31</v>
      </c>
      <c r="E1118" t="s">
        <v>11</v>
      </c>
      <c r="F1118" s="4">
        <v>0</v>
      </c>
      <c r="G1118" s="5">
        <v>8</v>
      </c>
      <c r="H1118" t="s">
        <v>28</v>
      </c>
      <c r="I1118" t="str">
        <f t="shared" si="68"/>
        <v>2024-01</v>
      </c>
      <c r="J1118" s="4">
        <f t="shared" si="69"/>
        <v>0</v>
      </c>
      <c r="K1118" t="str" cm="1">
        <f t="array" ref="K1118">_xlfn.IFS(G1118&lt;=5, "Small", G1118&lt;=15, "Medium", G1118&gt;15, "Large")</f>
        <v>Medium</v>
      </c>
      <c r="L1118" t="str">
        <f t="shared" si="70"/>
        <v>Standard</v>
      </c>
      <c r="M1118" t="str">
        <f t="shared" si="71"/>
        <v>Weekday</v>
      </c>
    </row>
    <row r="1119" spans="1:13" x14ac:dyDescent="0.35">
      <c r="A1119" t="s">
        <v>1164</v>
      </c>
      <c r="B1119" s="1">
        <v>45227</v>
      </c>
      <c r="C1119" t="s">
        <v>35</v>
      </c>
      <c r="D1119" t="s">
        <v>31</v>
      </c>
      <c r="E1119" t="s">
        <v>27</v>
      </c>
      <c r="F1119" s="4">
        <v>0</v>
      </c>
      <c r="G1119" s="5">
        <v>5</v>
      </c>
      <c r="H1119" t="s">
        <v>28</v>
      </c>
      <c r="I1119" t="str">
        <f t="shared" si="68"/>
        <v>2023-10</v>
      </c>
      <c r="J1119" s="4">
        <f t="shared" si="69"/>
        <v>0</v>
      </c>
      <c r="K1119" t="str" cm="1">
        <f t="array" ref="K1119">_xlfn.IFS(G1119&lt;=5, "Small", G1119&lt;=15, "Medium", G1119&gt;15, "Large")</f>
        <v>Small</v>
      </c>
      <c r="L1119" t="str">
        <f t="shared" si="70"/>
        <v>Standard</v>
      </c>
      <c r="M1119" t="str">
        <f t="shared" si="71"/>
        <v>Weekend</v>
      </c>
    </row>
    <row r="1120" spans="1:13" x14ac:dyDescent="0.35">
      <c r="A1120" t="s">
        <v>1165</v>
      </c>
      <c r="B1120" s="1">
        <v>45375</v>
      </c>
      <c r="C1120" t="s">
        <v>126</v>
      </c>
      <c r="D1120" t="s">
        <v>21</v>
      </c>
      <c r="E1120" t="s">
        <v>11</v>
      </c>
      <c r="F1120" s="4">
        <v>15195.66</v>
      </c>
      <c r="G1120" s="5">
        <v>3</v>
      </c>
      <c r="H1120" t="s">
        <v>15</v>
      </c>
      <c r="I1120" t="str">
        <f t="shared" si="68"/>
        <v>2024-03</v>
      </c>
      <c r="J1120" s="4">
        <f t="shared" si="69"/>
        <v>5065.22</v>
      </c>
      <c r="K1120" t="str" cm="1">
        <f t="array" ref="K1120">_xlfn.IFS(G1120&lt;=5, "Small", G1120&lt;=15, "Medium", G1120&gt;15, "Large")</f>
        <v>Small</v>
      </c>
      <c r="L1120" t="str">
        <f t="shared" si="70"/>
        <v>Standard</v>
      </c>
      <c r="M1120" t="str">
        <f t="shared" si="71"/>
        <v>Weekend</v>
      </c>
    </row>
    <row r="1121" spans="1:13" x14ac:dyDescent="0.35">
      <c r="A1121" t="s">
        <v>1166</v>
      </c>
      <c r="B1121" s="1">
        <v>45560</v>
      </c>
      <c r="C1121" t="s">
        <v>37</v>
      </c>
      <c r="D1121" t="s">
        <v>21</v>
      </c>
      <c r="E1121" t="s">
        <v>18</v>
      </c>
      <c r="F1121" s="4">
        <v>207.03</v>
      </c>
      <c r="G1121" s="5">
        <v>28</v>
      </c>
      <c r="H1121" t="s">
        <v>15</v>
      </c>
      <c r="I1121" t="str">
        <f t="shared" si="68"/>
        <v>2024-09</v>
      </c>
      <c r="J1121" s="4">
        <f t="shared" si="69"/>
        <v>7.3939285714285718</v>
      </c>
      <c r="K1121" t="str" cm="1">
        <f t="array" ref="K1121">_xlfn.IFS(G1121&lt;=5, "Small", G1121&lt;=15, "Medium", G1121&gt;15, "Large")</f>
        <v>Large</v>
      </c>
      <c r="L1121" t="str">
        <f t="shared" si="70"/>
        <v>Standard</v>
      </c>
      <c r="M1121" t="str">
        <f t="shared" si="71"/>
        <v>Weekday</v>
      </c>
    </row>
    <row r="1122" spans="1:13" x14ac:dyDescent="0.35">
      <c r="A1122" t="s">
        <v>1167</v>
      </c>
      <c r="B1122" s="1">
        <v>44971</v>
      </c>
      <c r="C1122" t="s">
        <v>42</v>
      </c>
      <c r="D1122" t="s">
        <v>10</v>
      </c>
      <c r="E1122" t="s">
        <v>18</v>
      </c>
      <c r="F1122" s="4">
        <v>3375.89</v>
      </c>
      <c r="G1122" s="5">
        <v>2</v>
      </c>
      <c r="H1122" t="s">
        <v>15</v>
      </c>
      <c r="I1122" t="str">
        <f t="shared" si="68"/>
        <v>2023-02</v>
      </c>
      <c r="J1122" s="4">
        <f t="shared" si="69"/>
        <v>1687.9449999999999</v>
      </c>
      <c r="K1122" t="str" cm="1">
        <f t="array" ref="K1122">_xlfn.IFS(G1122&lt;=5, "Small", G1122&lt;=15, "Medium", G1122&gt;15, "Large")</f>
        <v>Small</v>
      </c>
      <c r="L1122" t="str">
        <f t="shared" si="70"/>
        <v>Standard</v>
      </c>
      <c r="M1122" t="str">
        <f t="shared" si="71"/>
        <v>Weekday</v>
      </c>
    </row>
    <row r="1123" spans="1:13" x14ac:dyDescent="0.35">
      <c r="A1123" t="s">
        <v>1168</v>
      </c>
      <c r="B1123" s="1">
        <v>45197</v>
      </c>
      <c r="C1123" t="s">
        <v>84</v>
      </c>
      <c r="D1123" t="s">
        <v>26</v>
      </c>
      <c r="E1123" t="s">
        <v>11</v>
      </c>
      <c r="F1123" s="4">
        <v>1100.79</v>
      </c>
      <c r="G1123" s="5">
        <v>1</v>
      </c>
      <c r="H1123" t="s">
        <v>15</v>
      </c>
      <c r="I1123" t="str">
        <f t="shared" si="68"/>
        <v>2023-09</v>
      </c>
      <c r="J1123" s="4">
        <f t="shared" si="69"/>
        <v>1100.79</v>
      </c>
      <c r="K1123" t="str" cm="1">
        <f t="array" ref="K1123">_xlfn.IFS(G1123&lt;=5, "Small", G1123&lt;=15, "Medium", G1123&gt;15, "Large")</f>
        <v>Small</v>
      </c>
      <c r="L1123" t="str">
        <f t="shared" si="70"/>
        <v>Standard</v>
      </c>
      <c r="M1123" t="str">
        <f t="shared" si="71"/>
        <v>Weekday</v>
      </c>
    </row>
    <row r="1124" spans="1:13" x14ac:dyDescent="0.35">
      <c r="A1124" t="s">
        <v>1169</v>
      </c>
      <c r="B1124" s="1">
        <v>45080</v>
      </c>
      <c r="C1124" t="s">
        <v>42</v>
      </c>
      <c r="D1124" t="s">
        <v>10</v>
      </c>
      <c r="E1124" t="s">
        <v>27</v>
      </c>
      <c r="F1124" s="4">
        <v>36400</v>
      </c>
      <c r="G1124" s="5">
        <v>5</v>
      </c>
      <c r="H1124" t="s">
        <v>15</v>
      </c>
      <c r="I1124" t="str">
        <f t="shared" si="68"/>
        <v>2023-06</v>
      </c>
      <c r="J1124" s="4">
        <f t="shared" si="69"/>
        <v>7280</v>
      </c>
      <c r="K1124" t="str" cm="1">
        <f t="array" ref="K1124">_xlfn.IFS(G1124&lt;=5, "Small", G1124&lt;=15, "Medium", G1124&gt;15, "Large")</f>
        <v>Small</v>
      </c>
      <c r="L1124" t="str">
        <f t="shared" si="70"/>
        <v>VIP</v>
      </c>
      <c r="M1124" t="str">
        <f t="shared" si="71"/>
        <v>Weekend</v>
      </c>
    </row>
    <row r="1125" spans="1:13" x14ac:dyDescent="0.35">
      <c r="A1125" t="s">
        <v>1170</v>
      </c>
      <c r="B1125" s="1">
        <v>45266</v>
      </c>
      <c r="C1125" t="s">
        <v>33</v>
      </c>
      <c r="D1125" t="s">
        <v>26</v>
      </c>
      <c r="E1125" t="s">
        <v>27</v>
      </c>
      <c r="F1125" s="4">
        <v>7931.02</v>
      </c>
      <c r="G1125" s="5">
        <v>3</v>
      </c>
      <c r="H1125" t="s">
        <v>15</v>
      </c>
      <c r="I1125" t="str">
        <f t="shared" si="68"/>
        <v>2023-12</v>
      </c>
      <c r="J1125" s="4">
        <f t="shared" si="69"/>
        <v>2643.6733333333336</v>
      </c>
      <c r="K1125" t="str" cm="1">
        <f t="array" ref="K1125">_xlfn.IFS(G1125&lt;=5, "Small", G1125&lt;=15, "Medium", G1125&gt;15, "Large")</f>
        <v>Small</v>
      </c>
      <c r="L1125" t="str">
        <f t="shared" si="70"/>
        <v>Standard</v>
      </c>
      <c r="M1125" t="str">
        <f t="shared" si="71"/>
        <v>Weekday</v>
      </c>
    </row>
    <row r="1126" spans="1:13" x14ac:dyDescent="0.35">
      <c r="A1126" t="s">
        <v>1171</v>
      </c>
      <c r="B1126" s="1">
        <v>45298</v>
      </c>
      <c r="C1126" t="s">
        <v>50</v>
      </c>
      <c r="D1126" t="s">
        <v>26</v>
      </c>
      <c r="E1126" t="s">
        <v>27</v>
      </c>
      <c r="F1126" s="4">
        <v>15904.57</v>
      </c>
      <c r="G1126" s="5">
        <v>4</v>
      </c>
      <c r="H1126" t="s">
        <v>15</v>
      </c>
      <c r="I1126" t="str">
        <f t="shared" si="68"/>
        <v>2024-01</v>
      </c>
      <c r="J1126" s="4">
        <f t="shared" si="69"/>
        <v>3976.1424999999999</v>
      </c>
      <c r="K1126" t="str" cm="1">
        <f t="array" ref="K1126">_xlfn.IFS(G1126&lt;=5, "Small", G1126&lt;=15, "Medium", G1126&gt;15, "Large")</f>
        <v>Small</v>
      </c>
      <c r="L1126" t="str">
        <f t="shared" si="70"/>
        <v>Standard</v>
      </c>
      <c r="M1126" t="str">
        <f t="shared" si="71"/>
        <v>Weekend</v>
      </c>
    </row>
    <row r="1127" spans="1:13" x14ac:dyDescent="0.35">
      <c r="A1127" t="s">
        <v>564</v>
      </c>
      <c r="B1127" s="1">
        <v>45399</v>
      </c>
      <c r="C1127" t="s">
        <v>91</v>
      </c>
      <c r="D1127" t="s">
        <v>26</v>
      </c>
      <c r="E1127" t="s">
        <v>27</v>
      </c>
      <c r="F1127" s="4">
        <v>22828.2</v>
      </c>
      <c r="G1127" s="5">
        <v>3</v>
      </c>
      <c r="H1127" t="s">
        <v>15</v>
      </c>
      <c r="I1127" t="str">
        <f t="shared" si="68"/>
        <v>2024-04</v>
      </c>
      <c r="J1127" s="4">
        <f t="shared" si="69"/>
        <v>7609.4000000000005</v>
      </c>
      <c r="K1127" t="str" cm="1">
        <f t="array" ref="K1127">_xlfn.IFS(G1127&lt;=5, "Small", G1127&lt;=15, "Medium", G1127&gt;15, "Large")</f>
        <v>Small</v>
      </c>
      <c r="L1127" t="str">
        <f t="shared" si="70"/>
        <v>Standard</v>
      </c>
      <c r="M1127" t="str">
        <f t="shared" si="71"/>
        <v>Weekday</v>
      </c>
    </row>
    <row r="1128" spans="1:13" x14ac:dyDescent="0.35">
      <c r="A1128" t="s">
        <v>1172</v>
      </c>
      <c r="B1128" s="1">
        <v>45534</v>
      </c>
      <c r="C1128" t="s">
        <v>177</v>
      </c>
      <c r="D1128" t="s">
        <v>26</v>
      </c>
      <c r="E1128" t="s">
        <v>27</v>
      </c>
      <c r="F1128" s="4">
        <v>35839.07</v>
      </c>
      <c r="G1128" s="5">
        <v>3</v>
      </c>
      <c r="H1128" t="s">
        <v>15</v>
      </c>
      <c r="I1128" t="str">
        <f t="shared" si="68"/>
        <v>2024-08</v>
      </c>
      <c r="J1128" s="4">
        <f t="shared" si="69"/>
        <v>11946.356666666667</v>
      </c>
      <c r="K1128" t="str" cm="1">
        <f t="array" ref="K1128">_xlfn.IFS(G1128&lt;=5, "Small", G1128&lt;=15, "Medium", G1128&gt;15, "Large")</f>
        <v>Small</v>
      </c>
      <c r="L1128" t="str">
        <f t="shared" si="70"/>
        <v>VIP</v>
      </c>
      <c r="M1128" t="str">
        <f t="shared" si="71"/>
        <v>Weekday</v>
      </c>
    </row>
    <row r="1129" spans="1:13" x14ac:dyDescent="0.35">
      <c r="A1129" t="s">
        <v>1173</v>
      </c>
      <c r="B1129" s="1">
        <v>45391</v>
      </c>
      <c r="C1129" t="s">
        <v>25</v>
      </c>
      <c r="D1129" t="s">
        <v>26</v>
      </c>
      <c r="E1129" t="s">
        <v>27</v>
      </c>
      <c r="F1129" s="4">
        <v>16333.68</v>
      </c>
      <c r="G1129" s="5">
        <v>4</v>
      </c>
      <c r="H1129" t="s">
        <v>15</v>
      </c>
      <c r="I1129" t="str">
        <f t="shared" si="68"/>
        <v>2024-04</v>
      </c>
      <c r="J1129" s="4">
        <f t="shared" si="69"/>
        <v>4083.42</v>
      </c>
      <c r="K1129" t="str" cm="1">
        <f t="array" ref="K1129">_xlfn.IFS(G1129&lt;=5, "Small", G1129&lt;=15, "Medium", G1129&gt;15, "Large")</f>
        <v>Small</v>
      </c>
      <c r="L1129" t="str">
        <f t="shared" si="70"/>
        <v>Standard</v>
      </c>
      <c r="M1129" t="str">
        <f t="shared" si="71"/>
        <v>Weekday</v>
      </c>
    </row>
    <row r="1130" spans="1:13" x14ac:dyDescent="0.35">
      <c r="A1130" t="s">
        <v>1174</v>
      </c>
      <c r="B1130" s="1">
        <v>45013</v>
      </c>
      <c r="C1130" t="s">
        <v>53</v>
      </c>
      <c r="D1130" t="s">
        <v>31</v>
      </c>
      <c r="E1130" t="s">
        <v>11</v>
      </c>
      <c r="F1130" s="4">
        <v>4374.1400000000003</v>
      </c>
      <c r="G1130" s="5">
        <v>1</v>
      </c>
      <c r="H1130" t="s">
        <v>15</v>
      </c>
      <c r="I1130" t="str">
        <f t="shared" si="68"/>
        <v>2023-03</v>
      </c>
      <c r="J1130" s="4">
        <f t="shared" si="69"/>
        <v>4374.1400000000003</v>
      </c>
      <c r="K1130" t="str" cm="1">
        <f t="array" ref="K1130">_xlfn.IFS(G1130&lt;=5, "Small", G1130&lt;=15, "Medium", G1130&gt;15, "Large")</f>
        <v>Small</v>
      </c>
      <c r="L1130" t="str">
        <f t="shared" si="70"/>
        <v>Standard</v>
      </c>
      <c r="M1130" t="str">
        <f t="shared" si="71"/>
        <v>Weekday</v>
      </c>
    </row>
    <row r="1131" spans="1:13" x14ac:dyDescent="0.35">
      <c r="A1131" t="s">
        <v>1175</v>
      </c>
      <c r="B1131" s="1">
        <v>45070</v>
      </c>
      <c r="C1131" t="s">
        <v>175</v>
      </c>
      <c r="D1131" t="s">
        <v>21</v>
      </c>
      <c r="E1131" t="s">
        <v>11</v>
      </c>
      <c r="F1131" s="4">
        <v>3176.29</v>
      </c>
      <c r="G1131" s="5">
        <v>5</v>
      </c>
      <c r="H1131" t="s">
        <v>15</v>
      </c>
      <c r="I1131" t="str">
        <f t="shared" si="68"/>
        <v>2023-05</v>
      </c>
      <c r="J1131" s="4">
        <f t="shared" si="69"/>
        <v>635.25800000000004</v>
      </c>
      <c r="K1131" t="str" cm="1">
        <f t="array" ref="K1131">_xlfn.IFS(G1131&lt;=5, "Small", G1131&lt;=15, "Medium", G1131&gt;15, "Large")</f>
        <v>Small</v>
      </c>
      <c r="L1131" t="str">
        <f t="shared" si="70"/>
        <v>Standard</v>
      </c>
      <c r="M1131" t="str">
        <f t="shared" si="71"/>
        <v>Weekday</v>
      </c>
    </row>
    <row r="1132" spans="1:13" x14ac:dyDescent="0.35">
      <c r="A1132" t="s">
        <v>1176</v>
      </c>
      <c r="B1132" s="1">
        <v>45099</v>
      </c>
      <c r="C1132" t="s">
        <v>97</v>
      </c>
      <c r="D1132" t="s">
        <v>21</v>
      </c>
      <c r="E1132" t="s">
        <v>11</v>
      </c>
      <c r="F1132" s="4">
        <v>12028.77</v>
      </c>
      <c r="G1132" s="5">
        <v>4</v>
      </c>
      <c r="H1132" t="s">
        <v>15</v>
      </c>
      <c r="I1132" t="str">
        <f t="shared" si="68"/>
        <v>2023-06</v>
      </c>
      <c r="J1132" s="4">
        <f t="shared" si="69"/>
        <v>3007.1925000000001</v>
      </c>
      <c r="K1132" t="str" cm="1">
        <f t="array" ref="K1132">_xlfn.IFS(G1132&lt;=5, "Small", G1132&lt;=15, "Medium", G1132&gt;15, "Large")</f>
        <v>Small</v>
      </c>
      <c r="L1132" t="str">
        <f t="shared" si="70"/>
        <v>Standard</v>
      </c>
      <c r="M1132" t="str">
        <f t="shared" si="71"/>
        <v>Weekday</v>
      </c>
    </row>
    <row r="1133" spans="1:13" x14ac:dyDescent="0.35">
      <c r="A1133" t="s">
        <v>1177</v>
      </c>
      <c r="B1133" s="1">
        <v>45074</v>
      </c>
      <c r="C1133" t="s">
        <v>60</v>
      </c>
      <c r="D1133" t="s">
        <v>21</v>
      </c>
      <c r="E1133" t="s">
        <v>11</v>
      </c>
      <c r="F1133" s="4">
        <v>9151.3799999999992</v>
      </c>
      <c r="G1133" s="5">
        <v>1</v>
      </c>
      <c r="H1133" t="s">
        <v>15</v>
      </c>
      <c r="I1133" t="str">
        <f t="shared" si="68"/>
        <v>2023-05</v>
      </c>
      <c r="J1133" s="4">
        <f t="shared" si="69"/>
        <v>9151.3799999999992</v>
      </c>
      <c r="K1133" t="str" cm="1">
        <f t="array" ref="K1133">_xlfn.IFS(G1133&lt;=5, "Small", G1133&lt;=15, "Medium", G1133&gt;15, "Large")</f>
        <v>Small</v>
      </c>
      <c r="L1133" t="str">
        <f t="shared" si="70"/>
        <v>Standard</v>
      </c>
      <c r="M1133" t="str">
        <f t="shared" si="71"/>
        <v>Weekend</v>
      </c>
    </row>
    <row r="1134" spans="1:13" x14ac:dyDescent="0.35">
      <c r="A1134" t="s">
        <v>1178</v>
      </c>
      <c r="B1134" s="1">
        <v>45028</v>
      </c>
      <c r="C1134" t="s">
        <v>78</v>
      </c>
      <c r="D1134" t="s">
        <v>31</v>
      </c>
      <c r="E1134" t="s">
        <v>27</v>
      </c>
      <c r="F1134" s="4">
        <v>7061.7</v>
      </c>
      <c r="G1134" s="5">
        <v>2</v>
      </c>
      <c r="H1134" t="s">
        <v>15</v>
      </c>
      <c r="I1134" t="str">
        <f t="shared" si="68"/>
        <v>2023-04</v>
      </c>
      <c r="J1134" s="4">
        <f t="shared" si="69"/>
        <v>3530.85</v>
      </c>
      <c r="K1134" t="str" cm="1">
        <f t="array" ref="K1134">_xlfn.IFS(G1134&lt;=5, "Small", G1134&lt;=15, "Medium", G1134&gt;15, "Large")</f>
        <v>Small</v>
      </c>
      <c r="L1134" t="str">
        <f t="shared" si="70"/>
        <v>Standard</v>
      </c>
      <c r="M1134" t="str">
        <f t="shared" si="71"/>
        <v>Weekday</v>
      </c>
    </row>
    <row r="1135" spans="1:13" x14ac:dyDescent="0.35">
      <c r="A1135" t="s">
        <v>1179</v>
      </c>
      <c r="B1135" s="1">
        <v>45359</v>
      </c>
      <c r="C1135" t="s">
        <v>9</v>
      </c>
      <c r="D1135" t="s">
        <v>10</v>
      </c>
      <c r="E1135" t="s">
        <v>27</v>
      </c>
      <c r="F1135" s="4">
        <v>43108.82</v>
      </c>
      <c r="G1135" s="5">
        <v>3</v>
      </c>
      <c r="H1135" t="s">
        <v>15</v>
      </c>
      <c r="I1135" t="str">
        <f t="shared" si="68"/>
        <v>2024-03</v>
      </c>
      <c r="J1135" s="4">
        <f t="shared" si="69"/>
        <v>14369.606666666667</v>
      </c>
      <c r="K1135" t="str" cm="1">
        <f t="array" ref="K1135">_xlfn.IFS(G1135&lt;=5, "Small", G1135&lt;=15, "Medium", G1135&gt;15, "Large")</f>
        <v>Small</v>
      </c>
      <c r="L1135" t="str">
        <f t="shared" si="70"/>
        <v>VIP</v>
      </c>
      <c r="M1135" t="str">
        <f t="shared" si="71"/>
        <v>Weekday</v>
      </c>
    </row>
    <row r="1136" spans="1:13" x14ac:dyDescent="0.35">
      <c r="A1136" t="s">
        <v>1180</v>
      </c>
      <c r="B1136" s="1">
        <v>44937</v>
      </c>
      <c r="C1136" t="s">
        <v>58</v>
      </c>
      <c r="D1136" t="s">
        <v>31</v>
      </c>
      <c r="E1136" t="s">
        <v>11</v>
      </c>
      <c r="F1136" s="4">
        <v>0</v>
      </c>
      <c r="G1136" s="5">
        <v>7</v>
      </c>
      <c r="H1136" t="s">
        <v>28</v>
      </c>
      <c r="I1136" t="str">
        <f t="shared" si="68"/>
        <v>2023-01</v>
      </c>
      <c r="J1136" s="4">
        <f t="shared" si="69"/>
        <v>0</v>
      </c>
      <c r="K1136" t="str" cm="1">
        <f t="array" ref="K1136">_xlfn.IFS(G1136&lt;=5, "Small", G1136&lt;=15, "Medium", G1136&gt;15, "Large")</f>
        <v>Medium</v>
      </c>
      <c r="L1136" t="str">
        <f t="shared" si="70"/>
        <v>Standard</v>
      </c>
      <c r="M1136" t="str">
        <f t="shared" si="71"/>
        <v>Weekday</v>
      </c>
    </row>
    <row r="1137" spans="1:13" x14ac:dyDescent="0.35">
      <c r="A1137" t="s">
        <v>1181</v>
      </c>
      <c r="B1137" s="1">
        <v>45386</v>
      </c>
      <c r="C1137" t="s">
        <v>166</v>
      </c>
      <c r="D1137" t="s">
        <v>26</v>
      </c>
      <c r="E1137" t="s">
        <v>27</v>
      </c>
      <c r="F1137" s="4">
        <v>43769.69</v>
      </c>
      <c r="G1137" s="5">
        <v>2</v>
      </c>
      <c r="H1137" t="s">
        <v>15</v>
      </c>
      <c r="I1137" t="str">
        <f t="shared" si="68"/>
        <v>2024-04</v>
      </c>
      <c r="J1137" s="4">
        <f t="shared" si="69"/>
        <v>21884.845000000001</v>
      </c>
      <c r="K1137" t="str" cm="1">
        <f t="array" ref="K1137">_xlfn.IFS(G1137&lt;=5, "Small", G1137&lt;=15, "Medium", G1137&gt;15, "Large")</f>
        <v>Small</v>
      </c>
      <c r="L1137" t="str">
        <f t="shared" si="70"/>
        <v>VIP</v>
      </c>
      <c r="M1137" t="str">
        <f t="shared" si="71"/>
        <v>Weekday</v>
      </c>
    </row>
    <row r="1138" spans="1:13" x14ac:dyDescent="0.35">
      <c r="A1138" t="s">
        <v>1182</v>
      </c>
      <c r="B1138" s="1">
        <v>45621</v>
      </c>
      <c r="C1138" t="s">
        <v>62</v>
      </c>
      <c r="D1138" t="s">
        <v>10</v>
      </c>
      <c r="E1138" t="s">
        <v>18</v>
      </c>
      <c r="F1138" s="4">
        <v>2388.1799999999998</v>
      </c>
      <c r="G1138" s="5">
        <v>20</v>
      </c>
      <c r="H1138" t="s">
        <v>15</v>
      </c>
      <c r="I1138" t="str">
        <f t="shared" si="68"/>
        <v>2024-11</v>
      </c>
      <c r="J1138" s="4">
        <f t="shared" si="69"/>
        <v>119.40899999999999</v>
      </c>
      <c r="K1138" t="str" cm="1">
        <f t="array" ref="K1138">_xlfn.IFS(G1138&lt;=5, "Small", G1138&lt;=15, "Medium", G1138&gt;15, "Large")</f>
        <v>Large</v>
      </c>
      <c r="L1138" t="str">
        <f t="shared" si="70"/>
        <v>Standard</v>
      </c>
      <c r="M1138" t="str">
        <f t="shared" si="71"/>
        <v>Weekday</v>
      </c>
    </row>
    <row r="1139" spans="1:13" x14ac:dyDescent="0.35">
      <c r="A1139" t="s">
        <v>1183</v>
      </c>
      <c r="B1139" s="1">
        <v>45302</v>
      </c>
      <c r="C1139" t="s">
        <v>166</v>
      </c>
      <c r="D1139" t="s">
        <v>26</v>
      </c>
      <c r="E1139" t="s">
        <v>18</v>
      </c>
      <c r="F1139" s="4">
        <v>0</v>
      </c>
      <c r="G1139" s="5">
        <v>23</v>
      </c>
      <c r="H1139" t="s">
        <v>12</v>
      </c>
      <c r="I1139" t="str">
        <f t="shared" si="68"/>
        <v>2024-01</v>
      </c>
      <c r="J1139" s="4">
        <f t="shared" si="69"/>
        <v>0</v>
      </c>
      <c r="K1139" t="str" cm="1">
        <f t="array" ref="K1139">_xlfn.IFS(G1139&lt;=5, "Small", G1139&lt;=15, "Medium", G1139&gt;15, "Large")</f>
        <v>Large</v>
      </c>
      <c r="L1139" t="str">
        <f t="shared" si="70"/>
        <v>Standard</v>
      </c>
      <c r="M1139" t="str">
        <f t="shared" si="71"/>
        <v>Weekday</v>
      </c>
    </row>
    <row r="1140" spans="1:13" x14ac:dyDescent="0.35">
      <c r="A1140" t="s">
        <v>1184</v>
      </c>
      <c r="B1140" s="1">
        <v>45353</v>
      </c>
      <c r="C1140" t="s">
        <v>35</v>
      </c>
      <c r="D1140" t="s">
        <v>31</v>
      </c>
      <c r="E1140" t="s">
        <v>27</v>
      </c>
      <c r="F1140" s="4">
        <v>0</v>
      </c>
      <c r="G1140" s="5">
        <v>4</v>
      </c>
      <c r="H1140" t="s">
        <v>28</v>
      </c>
      <c r="I1140" t="str">
        <f t="shared" si="68"/>
        <v>2024-03</v>
      </c>
      <c r="J1140" s="4">
        <f t="shared" si="69"/>
        <v>0</v>
      </c>
      <c r="K1140" t="str" cm="1">
        <f t="array" ref="K1140">_xlfn.IFS(G1140&lt;=5, "Small", G1140&lt;=15, "Medium", G1140&gt;15, "Large")</f>
        <v>Small</v>
      </c>
      <c r="L1140" t="str">
        <f t="shared" si="70"/>
        <v>Standard</v>
      </c>
      <c r="M1140" t="str">
        <f t="shared" si="71"/>
        <v>Weekend</v>
      </c>
    </row>
    <row r="1141" spans="1:13" x14ac:dyDescent="0.35">
      <c r="A1141" t="s">
        <v>1185</v>
      </c>
      <c r="B1141" s="1">
        <v>45463</v>
      </c>
      <c r="C1141" t="s">
        <v>33</v>
      </c>
      <c r="D1141" t="s">
        <v>10</v>
      </c>
      <c r="E1141" t="s">
        <v>11</v>
      </c>
      <c r="F1141" s="4">
        <v>13500.75</v>
      </c>
      <c r="G1141" s="5">
        <v>4</v>
      </c>
      <c r="H1141" t="s">
        <v>15</v>
      </c>
      <c r="I1141" t="str">
        <f t="shared" si="68"/>
        <v>2024-06</v>
      </c>
      <c r="J1141" s="4">
        <f t="shared" si="69"/>
        <v>3375.1875</v>
      </c>
      <c r="K1141" t="str" cm="1">
        <f t="array" ref="K1141">_xlfn.IFS(G1141&lt;=5, "Small", G1141&lt;=15, "Medium", G1141&gt;15, "Large")</f>
        <v>Small</v>
      </c>
      <c r="L1141" t="str">
        <f t="shared" si="70"/>
        <v>Standard</v>
      </c>
      <c r="M1141" t="str">
        <f t="shared" si="71"/>
        <v>Weekday</v>
      </c>
    </row>
    <row r="1142" spans="1:13" x14ac:dyDescent="0.35">
      <c r="A1142" t="s">
        <v>1186</v>
      </c>
      <c r="B1142" s="1">
        <v>45068</v>
      </c>
      <c r="C1142" t="s">
        <v>91</v>
      </c>
      <c r="D1142" t="s">
        <v>26</v>
      </c>
      <c r="E1142" t="s">
        <v>11</v>
      </c>
      <c r="F1142" s="4">
        <v>14161.03</v>
      </c>
      <c r="G1142" s="5">
        <v>3</v>
      </c>
      <c r="H1142" t="s">
        <v>15</v>
      </c>
      <c r="I1142" t="str">
        <f t="shared" si="68"/>
        <v>2023-05</v>
      </c>
      <c r="J1142" s="4">
        <f t="shared" si="69"/>
        <v>4720.3433333333332</v>
      </c>
      <c r="K1142" t="str" cm="1">
        <f t="array" ref="K1142">_xlfn.IFS(G1142&lt;=5, "Small", G1142&lt;=15, "Medium", G1142&gt;15, "Large")</f>
        <v>Small</v>
      </c>
      <c r="L1142" t="str">
        <f t="shared" si="70"/>
        <v>Standard</v>
      </c>
      <c r="M1142" t="str">
        <f t="shared" si="71"/>
        <v>Weekday</v>
      </c>
    </row>
    <row r="1143" spans="1:13" x14ac:dyDescent="0.35">
      <c r="A1143" t="s">
        <v>1187</v>
      </c>
      <c r="B1143" s="1">
        <v>45405</v>
      </c>
      <c r="C1143" t="s">
        <v>40</v>
      </c>
      <c r="D1143" t="s">
        <v>26</v>
      </c>
      <c r="E1143" t="s">
        <v>11</v>
      </c>
      <c r="F1143" s="4">
        <v>0</v>
      </c>
      <c r="G1143" s="5">
        <v>6</v>
      </c>
      <c r="H1143" t="s">
        <v>28</v>
      </c>
      <c r="I1143" t="str">
        <f t="shared" si="68"/>
        <v>2024-04</v>
      </c>
      <c r="J1143" s="4">
        <f t="shared" si="69"/>
        <v>0</v>
      </c>
      <c r="K1143" t="str" cm="1">
        <f t="array" ref="K1143">_xlfn.IFS(G1143&lt;=5, "Small", G1143&lt;=15, "Medium", G1143&gt;15, "Large")</f>
        <v>Medium</v>
      </c>
      <c r="L1143" t="str">
        <f t="shared" si="70"/>
        <v>Standard</v>
      </c>
      <c r="M1143" t="str">
        <f t="shared" si="71"/>
        <v>Weekday</v>
      </c>
    </row>
    <row r="1144" spans="1:13" x14ac:dyDescent="0.35">
      <c r="A1144" t="s">
        <v>1188</v>
      </c>
      <c r="B1144" s="1">
        <v>44943</v>
      </c>
      <c r="C1144" t="s">
        <v>241</v>
      </c>
      <c r="D1144" t="s">
        <v>21</v>
      </c>
      <c r="E1144" t="s">
        <v>11</v>
      </c>
      <c r="F1144" s="4">
        <v>14823.32</v>
      </c>
      <c r="G1144" s="5">
        <v>2</v>
      </c>
      <c r="H1144" t="s">
        <v>15</v>
      </c>
      <c r="I1144" t="str">
        <f t="shared" si="68"/>
        <v>2023-01</v>
      </c>
      <c r="J1144" s="4">
        <f t="shared" si="69"/>
        <v>7411.66</v>
      </c>
      <c r="K1144" t="str" cm="1">
        <f t="array" ref="K1144">_xlfn.IFS(G1144&lt;=5, "Small", G1144&lt;=15, "Medium", G1144&gt;15, "Large")</f>
        <v>Small</v>
      </c>
      <c r="L1144" t="str">
        <f t="shared" si="70"/>
        <v>Standard</v>
      </c>
      <c r="M1144" t="str">
        <f t="shared" si="71"/>
        <v>Weekday</v>
      </c>
    </row>
    <row r="1145" spans="1:13" x14ac:dyDescent="0.35">
      <c r="A1145" t="s">
        <v>1189</v>
      </c>
      <c r="B1145" s="1">
        <v>45316</v>
      </c>
      <c r="C1145" t="s">
        <v>115</v>
      </c>
      <c r="D1145" t="s">
        <v>10</v>
      </c>
      <c r="E1145" t="s">
        <v>27</v>
      </c>
      <c r="F1145" s="4">
        <v>2195.42</v>
      </c>
      <c r="G1145" s="5">
        <v>1</v>
      </c>
      <c r="H1145" t="s">
        <v>15</v>
      </c>
      <c r="I1145" t="str">
        <f t="shared" si="68"/>
        <v>2024-01</v>
      </c>
      <c r="J1145" s="4">
        <f t="shared" si="69"/>
        <v>2195.42</v>
      </c>
      <c r="K1145" t="str" cm="1">
        <f t="array" ref="K1145">_xlfn.IFS(G1145&lt;=5, "Small", G1145&lt;=15, "Medium", G1145&gt;15, "Large")</f>
        <v>Small</v>
      </c>
      <c r="L1145" t="str">
        <f t="shared" si="70"/>
        <v>Standard</v>
      </c>
      <c r="M1145" t="str">
        <f t="shared" si="71"/>
        <v>Weekday</v>
      </c>
    </row>
    <row r="1146" spans="1:13" x14ac:dyDescent="0.35">
      <c r="A1146" t="s">
        <v>1190</v>
      </c>
      <c r="B1146" s="1">
        <v>45564</v>
      </c>
      <c r="C1146" t="s">
        <v>253</v>
      </c>
      <c r="D1146" t="s">
        <v>26</v>
      </c>
      <c r="E1146" t="s">
        <v>11</v>
      </c>
      <c r="F1146" s="4">
        <v>9919.9699999999993</v>
      </c>
      <c r="G1146" s="5">
        <v>1</v>
      </c>
      <c r="H1146" t="s">
        <v>15</v>
      </c>
      <c r="I1146" t="str">
        <f t="shared" si="68"/>
        <v>2024-09</v>
      </c>
      <c r="J1146" s="4">
        <f t="shared" si="69"/>
        <v>9919.9699999999993</v>
      </c>
      <c r="K1146" t="str" cm="1">
        <f t="array" ref="K1146">_xlfn.IFS(G1146&lt;=5, "Small", G1146&lt;=15, "Medium", G1146&gt;15, "Large")</f>
        <v>Small</v>
      </c>
      <c r="L1146" t="str">
        <f t="shared" si="70"/>
        <v>Standard</v>
      </c>
      <c r="M1146" t="str">
        <f t="shared" si="71"/>
        <v>Weekend</v>
      </c>
    </row>
    <row r="1147" spans="1:13" x14ac:dyDescent="0.35">
      <c r="A1147" t="s">
        <v>1191</v>
      </c>
      <c r="B1147" s="1">
        <v>45047</v>
      </c>
      <c r="C1147" t="s">
        <v>84</v>
      </c>
      <c r="D1147" t="s">
        <v>26</v>
      </c>
      <c r="E1147" t="s">
        <v>11</v>
      </c>
      <c r="F1147" s="4">
        <v>5667.7</v>
      </c>
      <c r="G1147" s="5">
        <v>8</v>
      </c>
      <c r="H1147" t="s">
        <v>15</v>
      </c>
      <c r="I1147" t="str">
        <f t="shared" si="68"/>
        <v>2023-05</v>
      </c>
      <c r="J1147" s="4">
        <f t="shared" si="69"/>
        <v>708.46249999999998</v>
      </c>
      <c r="K1147" t="str" cm="1">
        <f t="array" ref="K1147">_xlfn.IFS(G1147&lt;=5, "Small", G1147&lt;=15, "Medium", G1147&gt;15, "Large")</f>
        <v>Medium</v>
      </c>
      <c r="L1147" t="str">
        <f t="shared" si="70"/>
        <v>Standard</v>
      </c>
      <c r="M1147" t="str">
        <f t="shared" si="71"/>
        <v>Weekday</v>
      </c>
    </row>
    <row r="1148" spans="1:13" x14ac:dyDescent="0.35">
      <c r="A1148" t="s">
        <v>1192</v>
      </c>
      <c r="B1148" s="1">
        <v>44970</v>
      </c>
      <c r="C1148" t="s">
        <v>14</v>
      </c>
      <c r="D1148" t="s">
        <v>10</v>
      </c>
      <c r="E1148" t="s">
        <v>11</v>
      </c>
      <c r="F1148" s="4">
        <v>7169.25</v>
      </c>
      <c r="G1148" s="5">
        <v>8</v>
      </c>
      <c r="H1148" t="s">
        <v>15</v>
      </c>
      <c r="I1148" t="str">
        <f t="shared" si="68"/>
        <v>2023-02</v>
      </c>
      <c r="J1148" s="4">
        <f t="shared" si="69"/>
        <v>896.15625</v>
      </c>
      <c r="K1148" t="str" cm="1">
        <f t="array" ref="K1148">_xlfn.IFS(G1148&lt;=5, "Small", G1148&lt;=15, "Medium", G1148&gt;15, "Large")</f>
        <v>Medium</v>
      </c>
      <c r="L1148" t="str">
        <f t="shared" si="70"/>
        <v>Standard</v>
      </c>
      <c r="M1148" t="str">
        <f t="shared" si="71"/>
        <v>Weekday</v>
      </c>
    </row>
    <row r="1149" spans="1:13" x14ac:dyDescent="0.35">
      <c r="A1149" t="s">
        <v>1193</v>
      </c>
      <c r="B1149" s="1">
        <v>44998</v>
      </c>
      <c r="C1149" t="s">
        <v>58</v>
      </c>
      <c r="D1149" t="s">
        <v>31</v>
      </c>
      <c r="E1149" t="s">
        <v>11</v>
      </c>
      <c r="F1149" s="4">
        <v>0</v>
      </c>
      <c r="G1149" s="5">
        <v>8</v>
      </c>
      <c r="H1149" t="s">
        <v>28</v>
      </c>
      <c r="I1149" t="str">
        <f t="shared" si="68"/>
        <v>2023-03</v>
      </c>
      <c r="J1149" s="4">
        <f t="shared" si="69"/>
        <v>0</v>
      </c>
      <c r="K1149" t="str" cm="1">
        <f t="array" ref="K1149">_xlfn.IFS(G1149&lt;=5, "Small", G1149&lt;=15, "Medium", G1149&gt;15, "Large")</f>
        <v>Medium</v>
      </c>
      <c r="L1149" t="str">
        <f t="shared" si="70"/>
        <v>Standard</v>
      </c>
      <c r="M1149" t="str">
        <f t="shared" si="71"/>
        <v>Weekday</v>
      </c>
    </row>
    <row r="1150" spans="1:13" x14ac:dyDescent="0.35">
      <c r="A1150" t="s">
        <v>1194</v>
      </c>
      <c r="B1150" s="1">
        <v>45519</v>
      </c>
      <c r="C1150" t="s">
        <v>84</v>
      </c>
      <c r="D1150" t="s">
        <v>26</v>
      </c>
      <c r="E1150" t="s">
        <v>27</v>
      </c>
      <c r="F1150" s="4">
        <v>34768.230000000003</v>
      </c>
      <c r="G1150" s="5">
        <v>3</v>
      </c>
      <c r="H1150" t="s">
        <v>15</v>
      </c>
      <c r="I1150" t="str">
        <f t="shared" si="68"/>
        <v>2024-08</v>
      </c>
      <c r="J1150" s="4">
        <f t="shared" si="69"/>
        <v>11589.410000000002</v>
      </c>
      <c r="K1150" t="str" cm="1">
        <f t="array" ref="K1150">_xlfn.IFS(G1150&lt;=5, "Small", G1150&lt;=15, "Medium", G1150&gt;15, "Large")</f>
        <v>Small</v>
      </c>
      <c r="L1150" t="str">
        <f t="shared" si="70"/>
        <v>VIP</v>
      </c>
      <c r="M1150" t="str">
        <f t="shared" si="71"/>
        <v>Weekday</v>
      </c>
    </row>
    <row r="1151" spans="1:13" x14ac:dyDescent="0.35">
      <c r="A1151" t="s">
        <v>1195</v>
      </c>
      <c r="B1151" s="1">
        <v>45135</v>
      </c>
      <c r="C1151" t="s">
        <v>84</v>
      </c>
      <c r="D1151" t="s">
        <v>26</v>
      </c>
      <c r="E1151" t="s">
        <v>27</v>
      </c>
      <c r="F1151" s="4">
        <v>0</v>
      </c>
      <c r="G1151" s="5">
        <v>2</v>
      </c>
      <c r="H1151" t="s">
        <v>28</v>
      </c>
      <c r="I1151" t="str">
        <f t="shared" si="68"/>
        <v>2023-07</v>
      </c>
      <c r="J1151" s="4">
        <f t="shared" si="69"/>
        <v>0</v>
      </c>
      <c r="K1151" t="str" cm="1">
        <f t="array" ref="K1151">_xlfn.IFS(G1151&lt;=5, "Small", G1151&lt;=15, "Medium", G1151&gt;15, "Large")</f>
        <v>Small</v>
      </c>
      <c r="L1151" t="str">
        <f t="shared" si="70"/>
        <v>Standard</v>
      </c>
      <c r="M1151" t="str">
        <f t="shared" si="71"/>
        <v>Weekday</v>
      </c>
    </row>
    <row r="1152" spans="1:13" x14ac:dyDescent="0.35">
      <c r="A1152" t="s">
        <v>1196</v>
      </c>
      <c r="B1152" s="1">
        <v>45440</v>
      </c>
      <c r="C1152" t="s">
        <v>160</v>
      </c>
      <c r="D1152" t="s">
        <v>26</v>
      </c>
      <c r="E1152" t="s">
        <v>18</v>
      </c>
      <c r="F1152" s="4">
        <v>2559.54</v>
      </c>
      <c r="G1152" s="5">
        <v>23</v>
      </c>
      <c r="H1152" t="s">
        <v>15</v>
      </c>
      <c r="I1152" t="str">
        <f t="shared" si="68"/>
        <v>2024-05</v>
      </c>
      <c r="J1152" s="4">
        <f t="shared" si="69"/>
        <v>111.28434782608696</v>
      </c>
      <c r="K1152" t="str" cm="1">
        <f t="array" ref="K1152">_xlfn.IFS(G1152&lt;=5, "Small", G1152&lt;=15, "Medium", G1152&gt;15, "Large")</f>
        <v>Large</v>
      </c>
      <c r="L1152" t="str">
        <f t="shared" si="70"/>
        <v>Standard</v>
      </c>
      <c r="M1152" t="str">
        <f t="shared" si="71"/>
        <v>Weekday</v>
      </c>
    </row>
    <row r="1153" spans="1:13" x14ac:dyDescent="0.35">
      <c r="A1153" t="s">
        <v>1197</v>
      </c>
      <c r="B1153" s="1">
        <v>45315</v>
      </c>
      <c r="C1153" t="s">
        <v>55</v>
      </c>
      <c r="D1153" t="s">
        <v>10</v>
      </c>
      <c r="E1153" t="s">
        <v>11</v>
      </c>
      <c r="F1153" s="4">
        <v>4765.21</v>
      </c>
      <c r="G1153" s="5">
        <v>2</v>
      </c>
      <c r="H1153" t="s">
        <v>15</v>
      </c>
      <c r="I1153" t="str">
        <f t="shared" si="68"/>
        <v>2024-01</v>
      </c>
      <c r="J1153" s="4">
        <f t="shared" si="69"/>
        <v>2382.605</v>
      </c>
      <c r="K1153" t="str" cm="1">
        <f t="array" ref="K1153">_xlfn.IFS(G1153&lt;=5, "Small", G1153&lt;=15, "Medium", G1153&gt;15, "Large")</f>
        <v>Small</v>
      </c>
      <c r="L1153" t="str">
        <f t="shared" si="70"/>
        <v>Standard</v>
      </c>
      <c r="M1153" t="str">
        <f t="shared" si="71"/>
        <v>Weekday</v>
      </c>
    </row>
    <row r="1154" spans="1:13" x14ac:dyDescent="0.35">
      <c r="A1154" t="s">
        <v>1198</v>
      </c>
      <c r="B1154" s="1">
        <v>45613</v>
      </c>
      <c r="C1154" t="s">
        <v>48</v>
      </c>
      <c r="D1154" t="s">
        <v>31</v>
      </c>
      <c r="E1154" t="s">
        <v>18</v>
      </c>
      <c r="F1154" s="4">
        <v>2556.77</v>
      </c>
      <c r="G1154" s="5">
        <v>29</v>
      </c>
      <c r="H1154" t="s">
        <v>15</v>
      </c>
      <c r="I1154" t="str">
        <f t="shared" si="68"/>
        <v>2024-11</v>
      </c>
      <c r="J1154" s="4">
        <f t="shared" si="69"/>
        <v>88.164482758620693</v>
      </c>
      <c r="K1154" t="str" cm="1">
        <f t="array" ref="K1154">_xlfn.IFS(G1154&lt;=5, "Small", G1154&lt;=15, "Medium", G1154&gt;15, "Large")</f>
        <v>Large</v>
      </c>
      <c r="L1154" t="str">
        <f t="shared" si="70"/>
        <v>Standard</v>
      </c>
      <c r="M1154" t="str">
        <f t="shared" si="71"/>
        <v>Weekend</v>
      </c>
    </row>
    <row r="1155" spans="1:13" x14ac:dyDescent="0.35">
      <c r="A1155" t="s">
        <v>1199</v>
      </c>
      <c r="B1155" s="1">
        <v>45054</v>
      </c>
      <c r="C1155" t="s">
        <v>23</v>
      </c>
      <c r="D1155" t="s">
        <v>21</v>
      </c>
      <c r="E1155" t="s">
        <v>27</v>
      </c>
      <c r="F1155" s="4">
        <v>9384.89</v>
      </c>
      <c r="G1155" s="5">
        <v>4</v>
      </c>
      <c r="H1155" t="s">
        <v>15</v>
      </c>
      <c r="I1155" t="str">
        <f t="shared" ref="I1155:I1218" si="72">TEXT(B1155, "YYYY-MM")</f>
        <v>2023-05</v>
      </c>
      <c r="J1155" s="4">
        <f t="shared" ref="J1155:J1218" si="73">IFERROR(F1155/G1155, 0)</f>
        <v>2346.2224999999999</v>
      </c>
      <c r="K1155" t="str" cm="1">
        <f t="array" ref="K1155">_xlfn.IFS(G1155&lt;=5, "Small", G1155&lt;=15, "Medium", G1155&gt;15, "Large")</f>
        <v>Small</v>
      </c>
      <c r="L1155" t="str">
        <f t="shared" ref="L1155:L1218" si="74">IF(F1155&gt;_xlfn.PERCENTILE.INC($F$2:$F$10000, 0.9), "VIP", "Standard")</f>
        <v>Standard</v>
      </c>
      <c r="M1155" t="str">
        <f t="shared" ref="M1155:M1218" si="75">IF(WEEKDAY(B1155, 2)&gt;5, "Weekend", "Weekday")</f>
        <v>Weekday</v>
      </c>
    </row>
    <row r="1156" spans="1:13" x14ac:dyDescent="0.35">
      <c r="A1156" t="s">
        <v>1200</v>
      </c>
      <c r="B1156" s="1">
        <v>45351</v>
      </c>
      <c r="C1156" t="s">
        <v>72</v>
      </c>
      <c r="D1156" t="s">
        <v>26</v>
      </c>
      <c r="E1156" t="s">
        <v>11</v>
      </c>
      <c r="F1156" s="4">
        <v>4473.2700000000004</v>
      </c>
      <c r="G1156" s="5">
        <v>2</v>
      </c>
      <c r="H1156" t="s">
        <v>15</v>
      </c>
      <c r="I1156" t="str">
        <f t="shared" si="72"/>
        <v>2024-02</v>
      </c>
      <c r="J1156" s="4">
        <f t="shared" si="73"/>
        <v>2236.6350000000002</v>
      </c>
      <c r="K1156" t="str" cm="1">
        <f t="array" ref="K1156">_xlfn.IFS(G1156&lt;=5, "Small", G1156&lt;=15, "Medium", G1156&gt;15, "Large")</f>
        <v>Small</v>
      </c>
      <c r="L1156" t="str">
        <f t="shared" si="74"/>
        <v>Standard</v>
      </c>
      <c r="M1156" t="str">
        <f t="shared" si="75"/>
        <v>Weekday</v>
      </c>
    </row>
    <row r="1157" spans="1:13" x14ac:dyDescent="0.35">
      <c r="A1157" t="s">
        <v>1201</v>
      </c>
      <c r="B1157" s="1">
        <v>45070</v>
      </c>
      <c r="C1157" t="s">
        <v>97</v>
      </c>
      <c r="D1157" t="s">
        <v>21</v>
      </c>
      <c r="E1157" t="s">
        <v>18</v>
      </c>
      <c r="F1157" s="4">
        <v>3323.06</v>
      </c>
      <c r="G1157" s="5">
        <v>22</v>
      </c>
      <c r="H1157" t="s">
        <v>15</v>
      </c>
      <c r="I1157" t="str">
        <f t="shared" si="72"/>
        <v>2023-05</v>
      </c>
      <c r="J1157" s="4">
        <f t="shared" si="73"/>
        <v>151.0481818181818</v>
      </c>
      <c r="K1157" t="str" cm="1">
        <f t="array" ref="K1157">_xlfn.IFS(G1157&lt;=5, "Small", G1157&lt;=15, "Medium", G1157&gt;15, "Large")</f>
        <v>Large</v>
      </c>
      <c r="L1157" t="str">
        <f t="shared" si="74"/>
        <v>Standard</v>
      </c>
      <c r="M1157" t="str">
        <f t="shared" si="75"/>
        <v>Weekday</v>
      </c>
    </row>
    <row r="1158" spans="1:13" x14ac:dyDescent="0.35">
      <c r="A1158" t="s">
        <v>1202</v>
      </c>
      <c r="B1158" s="1">
        <v>45379</v>
      </c>
      <c r="C1158" t="s">
        <v>69</v>
      </c>
      <c r="D1158" t="s">
        <v>31</v>
      </c>
      <c r="E1158" t="s">
        <v>11</v>
      </c>
      <c r="F1158" s="4">
        <v>0</v>
      </c>
      <c r="G1158" s="5">
        <v>7</v>
      </c>
      <c r="H1158" t="s">
        <v>28</v>
      </c>
      <c r="I1158" t="str">
        <f t="shared" si="72"/>
        <v>2024-03</v>
      </c>
      <c r="J1158" s="4">
        <f t="shared" si="73"/>
        <v>0</v>
      </c>
      <c r="K1158" t="str" cm="1">
        <f t="array" ref="K1158">_xlfn.IFS(G1158&lt;=5, "Small", G1158&lt;=15, "Medium", G1158&gt;15, "Large")</f>
        <v>Medium</v>
      </c>
      <c r="L1158" t="str">
        <f t="shared" si="74"/>
        <v>Standard</v>
      </c>
      <c r="M1158" t="str">
        <f t="shared" si="75"/>
        <v>Weekday</v>
      </c>
    </row>
    <row r="1159" spans="1:13" x14ac:dyDescent="0.35">
      <c r="A1159" t="s">
        <v>1203</v>
      </c>
      <c r="B1159" s="1">
        <v>45109</v>
      </c>
      <c r="C1159" t="s">
        <v>58</v>
      </c>
      <c r="D1159" t="s">
        <v>31</v>
      </c>
      <c r="E1159" t="s">
        <v>27</v>
      </c>
      <c r="F1159" s="4">
        <v>40328.78</v>
      </c>
      <c r="G1159" s="5">
        <v>3</v>
      </c>
      <c r="H1159" t="s">
        <v>15</v>
      </c>
      <c r="I1159" t="str">
        <f t="shared" si="72"/>
        <v>2023-07</v>
      </c>
      <c r="J1159" s="4">
        <f t="shared" si="73"/>
        <v>13442.926666666666</v>
      </c>
      <c r="K1159" t="str" cm="1">
        <f t="array" ref="K1159">_xlfn.IFS(G1159&lt;=5, "Small", G1159&lt;=15, "Medium", G1159&gt;15, "Large")</f>
        <v>Small</v>
      </c>
      <c r="L1159" t="str">
        <f t="shared" si="74"/>
        <v>VIP</v>
      </c>
      <c r="M1159" t="str">
        <f t="shared" si="75"/>
        <v>Weekend</v>
      </c>
    </row>
    <row r="1160" spans="1:13" x14ac:dyDescent="0.35">
      <c r="A1160" t="s">
        <v>1204</v>
      </c>
      <c r="B1160" s="1">
        <v>45455</v>
      </c>
      <c r="C1160" t="s">
        <v>82</v>
      </c>
      <c r="D1160" t="s">
        <v>10</v>
      </c>
      <c r="E1160" t="s">
        <v>11</v>
      </c>
      <c r="F1160" s="4">
        <v>0</v>
      </c>
      <c r="G1160" s="5">
        <v>3</v>
      </c>
      <c r="H1160" t="s">
        <v>28</v>
      </c>
      <c r="I1160" t="str">
        <f t="shared" si="72"/>
        <v>2024-06</v>
      </c>
      <c r="J1160" s="4">
        <f t="shared" si="73"/>
        <v>0</v>
      </c>
      <c r="K1160" t="str" cm="1">
        <f t="array" ref="K1160">_xlfn.IFS(G1160&lt;=5, "Small", G1160&lt;=15, "Medium", G1160&gt;15, "Large")</f>
        <v>Small</v>
      </c>
      <c r="L1160" t="str">
        <f t="shared" si="74"/>
        <v>Standard</v>
      </c>
      <c r="M1160" t="str">
        <f t="shared" si="75"/>
        <v>Weekday</v>
      </c>
    </row>
    <row r="1161" spans="1:13" x14ac:dyDescent="0.35">
      <c r="A1161" t="s">
        <v>1205</v>
      </c>
      <c r="B1161" s="1">
        <v>45611</v>
      </c>
      <c r="C1161" t="s">
        <v>69</v>
      </c>
      <c r="D1161" t="s">
        <v>21</v>
      </c>
      <c r="E1161" t="s">
        <v>11</v>
      </c>
      <c r="F1161" s="4">
        <v>631.73</v>
      </c>
      <c r="G1161" s="5">
        <v>2</v>
      </c>
      <c r="H1161" t="s">
        <v>15</v>
      </c>
      <c r="I1161" t="str">
        <f t="shared" si="72"/>
        <v>2024-11</v>
      </c>
      <c r="J1161" s="4">
        <f t="shared" si="73"/>
        <v>315.86500000000001</v>
      </c>
      <c r="K1161" t="str" cm="1">
        <f t="array" ref="K1161">_xlfn.IFS(G1161&lt;=5, "Small", G1161&lt;=15, "Medium", G1161&gt;15, "Large")</f>
        <v>Small</v>
      </c>
      <c r="L1161" t="str">
        <f t="shared" si="74"/>
        <v>Standard</v>
      </c>
      <c r="M1161" t="str">
        <f t="shared" si="75"/>
        <v>Weekday</v>
      </c>
    </row>
    <row r="1162" spans="1:13" x14ac:dyDescent="0.35">
      <c r="A1162" t="s">
        <v>1206</v>
      </c>
      <c r="B1162" s="1">
        <v>45202</v>
      </c>
      <c r="C1162" t="s">
        <v>35</v>
      </c>
      <c r="D1162" t="s">
        <v>31</v>
      </c>
      <c r="E1162" t="s">
        <v>11</v>
      </c>
      <c r="F1162" s="4">
        <v>17464.939999999999</v>
      </c>
      <c r="G1162" s="5">
        <v>8</v>
      </c>
      <c r="H1162" t="s">
        <v>15</v>
      </c>
      <c r="I1162" t="str">
        <f t="shared" si="72"/>
        <v>2023-10</v>
      </c>
      <c r="J1162" s="4">
        <f t="shared" si="73"/>
        <v>2183.1174999999998</v>
      </c>
      <c r="K1162" t="str" cm="1">
        <f t="array" ref="K1162">_xlfn.IFS(G1162&lt;=5, "Small", G1162&lt;=15, "Medium", G1162&gt;15, "Large")</f>
        <v>Medium</v>
      </c>
      <c r="L1162" t="str">
        <f t="shared" si="74"/>
        <v>Standard</v>
      </c>
      <c r="M1162" t="str">
        <f t="shared" si="75"/>
        <v>Weekday</v>
      </c>
    </row>
    <row r="1163" spans="1:13" x14ac:dyDescent="0.35">
      <c r="A1163" t="s">
        <v>1207</v>
      </c>
      <c r="B1163" s="1">
        <v>45040</v>
      </c>
      <c r="C1163" t="s">
        <v>30</v>
      </c>
      <c r="D1163" t="s">
        <v>31</v>
      </c>
      <c r="E1163" t="s">
        <v>18</v>
      </c>
      <c r="F1163" s="4">
        <v>2748.44</v>
      </c>
      <c r="G1163" s="5">
        <v>4</v>
      </c>
      <c r="H1163" t="s">
        <v>15</v>
      </c>
      <c r="I1163" t="str">
        <f t="shared" si="72"/>
        <v>2023-04</v>
      </c>
      <c r="J1163" s="4">
        <f t="shared" si="73"/>
        <v>687.11</v>
      </c>
      <c r="K1163" t="str" cm="1">
        <f t="array" ref="K1163">_xlfn.IFS(G1163&lt;=5, "Small", G1163&lt;=15, "Medium", G1163&gt;15, "Large")</f>
        <v>Small</v>
      </c>
      <c r="L1163" t="str">
        <f t="shared" si="74"/>
        <v>Standard</v>
      </c>
      <c r="M1163" t="str">
        <f t="shared" si="75"/>
        <v>Weekday</v>
      </c>
    </row>
    <row r="1164" spans="1:13" x14ac:dyDescent="0.35">
      <c r="A1164" t="s">
        <v>1208</v>
      </c>
      <c r="B1164" s="1">
        <v>45356</v>
      </c>
      <c r="C1164" t="s">
        <v>160</v>
      </c>
      <c r="D1164" t="s">
        <v>26</v>
      </c>
      <c r="E1164" t="s">
        <v>27</v>
      </c>
      <c r="F1164" s="4">
        <v>11437.45</v>
      </c>
      <c r="G1164" s="5">
        <v>1</v>
      </c>
      <c r="H1164" t="s">
        <v>15</v>
      </c>
      <c r="I1164" t="str">
        <f t="shared" si="72"/>
        <v>2024-03</v>
      </c>
      <c r="J1164" s="4">
        <f t="shared" si="73"/>
        <v>11437.45</v>
      </c>
      <c r="K1164" t="str" cm="1">
        <f t="array" ref="K1164">_xlfn.IFS(G1164&lt;=5, "Small", G1164&lt;=15, "Medium", G1164&gt;15, "Large")</f>
        <v>Small</v>
      </c>
      <c r="L1164" t="str">
        <f t="shared" si="74"/>
        <v>Standard</v>
      </c>
      <c r="M1164" t="str">
        <f t="shared" si="75"/>
        <v>Weekday</v>
      </c>
    </row>
    <row r="1165" spans="1:13" x14ac:dyDescent="0.35">
      <c r="A1165" t="s">
        <v>1209</v>
      </c>
      <c r="B1165" s="1">
        <v>45214</v>
      </c>
      <c r="C1165" t="s">
        <v>126</v>
      </c>
      <c r="D1165" t="s">
        <v>21</v>
      </c>
      <c r="E1165" t="s">
        <v>11</v>
      </c>
      <c r="F1165" s="4">
        <v>0</v>
      </c>
      <c r="G1165" s="5">
        <v>3</v>
      </c>
      <c r="H1165" t="s">
        <v>12</v>
      </c>
      <c r="I1165" t="str">
        <f t="shared" si="72"/>
        <v>2023-10</v>
      </c>
      <c r="J1165" s="4">
        <f t="shared" si="73"/>
        <v>0</v>
      </c>
      <c r="K1165" t="str" cm="1">
        <f t="array" ref="K1165">_xlfn.IFS(G1165&lt;=5, "Small", G1165&lt;=15, "Medium", G1165&gt;15, "Large")</f>
        <v>Small</v>
      </c>
      <c r="L1165" t="str">
        <f t="shared" si="74"/>
        <v>Standard</v>
      </c>
      <c r="M1165" t="str">
        <f t="shared" si="75"/>
        <v>Weekend</v>
      </c>
    </row>
    <row r="1166" spans="1:13" x14ac:dyDescent="0.35">
      <c r="A1166" t="s">
        <v>1210</v>
      </c>
      <c r="B1166" s="1">
        <v>45613</v>
      </c>
      <c r="C1166" t="s">
        <v>42</v>
      </c>
      <c r="D1166" t="s">
        <v>10</v>
      </c>
      <c r="E1166" t="s">
        <v>18</v>
      </c>
      <c r="F1166" s="4">
        <v>1510.75</v>
      </c>
      <c r="G1166" s="5">
        <v>12</v>
      </c>
      <c r="H1166" t="s">
        <v>15</v>
      </c>
      <c r="I1166" t="str">
        <f t="shared" si="72"/>
        <v>2024-11</v>
      </c>
      <c r="J1166" s="4">
        <f t="shared" si="73"/>
        <v>125.89583333333333</v>
      </c>
      <c r="K1166" t="str" cm="1">
        <f t="array" ref="K1166">_xlfn.IFS(G1166&lt;=5, "Small", G1166&lt;=15, "Medium", G1166&gt;15, "Large")</f>
        <v>Medium</v>
      </c>
      <c r="L1166" t="str">
        <f t="shared" si="74"/>
        <v>Standard</v>
      </c>
      <c r="M1166" t="str">
        <f t="shared" si="75"/>
        <v>Weekend</v>
      </c>
    </row>
    <row r="1167" spans="1:13" x14ac:dyDescent="0.35">
      <c r="A1167" t="s">
        <v>1211</v>
      </c>
      <c r="B1167" s="1">
        <v>45587</v>
      </c>
      <c r="C1167" t="s">
        <v>69</v>
      </c>
      <c r="D1167" t="s">
        <v>31</v>
      </c>
      <c r="E1167" t="s">
        <v>11</v>
      </c>
      <c r="F1167" s="4">
        <v>0</v>
      </c>
      <c r="G1167" s="5">
        <v>1</v>
      </c>
      <c r="H1167" t="s">
        <v>28</v>
      </c>
      <c r="I1167" t="str">
        <f t="shared" si="72"/>
        <v>2024-10</v>
      </c>
      <c r="J1167" s="4">
        <f t="shared" si="73"/>
        <v>0</v>
      </c>
      <c r="K1167" t="str" cm="1">
        <f t="array" ref="K1167">_xlfn.IFS(G1167&lt;=5, "Small", G1167&lt;=15, "Medium", G1167&gt;15, "Large")</f>
        <v>Small</v>
      </c>
      <c r="L1167" t="str">
        <f t="shared" si="74"/>
        <v>Standard</v>
      </c>
      <c r="M1167" t="str">
        <f t="shared" si="75"/>
        <v>Weekday</v>
      </c>
    </row>
    <row r="1168" spans="1:13" x14ac:dyDescent="0.35">
      <c r="A1168" t="s">
        <v>1212</v>
      </c>
      <c r="B1168" s="1">
        <v>45509</v>
      </c>
      <c r="C1168" t="s">
        <v>241</v>
      </c>
      <c r="D1168" t="s">
        <v>31</v>
      </c>
      <c r="E1168" t="s">
        <v>18</v>
      </c>
      <c r="F1168" s="4">
        <v>0</v>
      </c>
      <c r="G1168" s="5">
        <v>16</v>
      </c>
      <c r="H1168" t="s">
        <v>12</v>
      </c>
      <c r="I1168" t="str">
        <f t="shared" si="72"/>
        <v>2024-08</v>
      </c>
      <c r="J1168" s="4">
        <f t="shared" si="73"/>
        <v>0</v>
      </c>
      <c r="K1168" t="str" cm="1">
        <f t="array" ref="K1168">_xlfn.IFS(G1168&lt;=5, "Small", G1168&lt;=15, "Medium", G1168&gt;15, "Large")</f>
        <v>Large</v>
      </c>
      <c r="L1168" t="str">
        <f t="shared" si="74"/>
        <v>Standard</v>
      </c>
      <c r="M1168" t="str">
        <f t="shared" si="75"/>
        <v>Weekday</v>
      </c>
    </row>
    <row r="1169" spans="1:13" x14ac:dyDescent="0.35">
      <c r="A1169" t="s">
        <v>1213</v>
      </c>
      <c r="B1169" s="1">
        <v>45059</v>
      </c>
      <c r="C1169" t="s">
        <v>30</v>
      </c>
      <c r="D1169" t="s">
        <v>31</v>
      </c>
      <c r="E1169" t="s">
        <v>18</v>
      </c>
      <c r="F1169" s="4">
        <v>1106.0999999999999</v>
      </c>
      <c r="G1169" s="5">
        <v>3</v>
      </c>
      <c r="H1169" t="s">
        <v>15</v>
      </c>
      <c r="I1169" t="str">
        <f t="shared" si="72"/>
        <v>2023-05</v>
      </c>
      <c r="J1169" s="4">
        <f t="shared" si="73"/>
        <v>368.7</v>
      </c>
      <c r="K1169" t="str" cm="1">
        <f t="array" ref="K1169">_xlfn.IFS(G1169&lt;=5, "Small", G1169&lt;=15, "Medium", G1169&gt;15, "Large")</f>
        <v>Small</v>
      </c>
      <c r="L1169" t="str">
        <f t="shared" si="74"/>
        <v>Standard</v>
      </c>
      <c r="M1169" t="str">
        <f t="shared" si="75"/>
        <v>Weekend</v>
      </c>
    </row>
    <row r="1170" spans="1:13" x14ac:dyDescent="0.35">
      <c r="A1170" t="s">
        <v>1214</v>
      </c>
      <c r="B1170" s="1">
        <v>45523</v>
      </c>
      <c r="C1170" t="s">
        <v>69</v>
      </c>
      <c r="D1170" t="s">
        <v>31</v>
      </c>
      <c r="E1170" t="s">
        <v>11</v>
      </c>
      <c r="F1170" s="4">
        <v>4305.43</v>
      </c>
      <c r="G1170" s="5">
        <v>4</v>
      </c>
      <c r="H1170" t="s">
        <v>15</v>
      </c>
      <c r="I1170" t="str">
        <f t="shared" si="72"/>
        <v>2024-08</v>
      </c>
      <c r="J1170" s="4">
        <f t="shared" si="73"/>
        <v>1076.3575000000001</v>
      </c>
      <c r="K1170" t="str" cm="1">
        <f t="array" ref="K1170">_xlfn.IFS(G1170&lt;=5, "Small", G1170&lt;=15, "Medium", G1170&gt;15, "Large")</f>
        <v>Small</v>
      </c>
      <c r="L1170" t="str">
        <f t="shared" si="74"/>
        <v>Standard</v>
      </c>
      <c r="M1170" t="str">
        <f t="shared" si="75"/>
        <v>Weekday</v>
      </c>
    </row>
    <row r="1171" spans="1:13" x14ac:dyDescent="0.35">
      <c r="A1171" t="s">
        <v>1215</v>
      </c>
      <c r="B1171" s="1">
        <v>45067</v>
      </c>
      <c r="C1171" t="s">
        <v>9</v>
      </c>
      <c r="D1171" t="s">
        <v>10</v>
      </c>
      <c r="E1171" t="s">
        <v>18</v>
      </c>
      <c r="F1171" s="4">
        <v>1626.61</v>
      </c>
      <c r="G1171" s="5">
        <v>20</v>
      </c>
      <c r="H1171" t="s">
        <v>15</v>
      </c>
      <c r="I1171" t="str">
        <f t="shared" si="72"/>
        <v>2023-05</v>
      </c>
      <c r="J1171" s="4">
        <f t="shared" si="73"/>
        <v>81.330500000000001</v>
      </c>
      <c r="K1171" t="str" cm="1">
        <f t="array" ref="K1171">_xlfn.IFS(G1171&lt;=5, "Small", G1171&lt;=15, "Medium", G1171&gt;15, "Large")</f>
        <v>Large</v>
      </c>
      <c r="L1171" t="str">
        <f t="shared" si="74"/>
        <v>Standard</v>
      </c>
      <c r="M1171" t="str">
        <f t="shared" si="75"/>
        <v>Weekend</v>
      </c>
    </row>
    <row r="1172" spans="1:13" x14ac:dyDescent="0.35">
      <c r="A1172" t="s">
        <v>1216</v>
      </c>
      <c r="B1172" s="1">
        <v>45375</v>
      </c>
      <c r="C1172" t="s">
        <v>162</v>
      </c>
      <c r="D1172" t="s">
        <v>26</v>
      </c>
      <c r="E1172" t="s">
        <v>18</v>
      </c>
      <c r="F1172" s="4">
        <v>1740.82</v>
      </c>
      <c r="G1172" s="5">
        <v>19</v>
      </c>
      <c r="H1172" t="s">
        <v>15</v>
      </c>
      <c r="I1172" t="str">
        <f t="shared" si="72"/>
        <v>2024-03</v>
      </c>
      <c r="J1172" s="4">
        <f t="shared" si="73"/>
        <v>91.622105263157891</v>
      </c>
      <c r="K1172" t="str" cm="1">
        <f t="array" ref="K1172">_xlfn.IFS(G1172&lt;=5, "Small", G1172&lt;=15, "Medium", G1172&gt;15, "Large")</f>
        <v>Large</v>
      </c>
      <c r="L1172" t="str">
        <f t="shared" si="74"/>
        <v>Standard</v>
      </c>
      <c r="M1172" t="str">
        <f t="shared" si="75"/>
        <v>Weekend</v>
      </c>
    </row>
    <row r="1173" spans="1:13" x14ac:dyDescent="0.35">
      <c r="A1173" t="s">
        <v>1217</v>
      </c>
      <c r="B1173" s="1">
        <v>44936</v>
      </c>
      <c r="C1173" t="s">
        <v>48</v>
      </c>
      <c r="D1173" t="s">
        <v>31</v>
      </c>
      <c r="E1173" t="s">
        <v>11</v>
      </c>
      <c r="F1173" s="4">
        <v>2861.2</v>
      </c>
      <c r="G1173" s="5">
        <v>5</v>
      </c>
      <c r="H1173" t="s">
        <v>15</v>
      </c>
      <c r="I1173" t="str">
        <f t="shared" si="72"/>
        <v>2023-01</v>
      </c>
      <c r="J1173" s="4">
        <f t="shared" si="73"/>
        <v>572.24</v>
      </c>
      <c r="K1173" t="str" cm="1">
        <f t="array" ref="K1173">_xlfn.IFS(G1173&lt;=5, "Small", G1173&lt;=15, "Medium", G1173&gt;15, "Large")</f>
        <v>Small</v>
      </c>
      <c r="L1173" t="str">
        <f t="shared" si="74"/>
        <v>Standard</v>
      </c>
      <c r="M1173" t="str">
        <f t="shared" si="75"/>
        <v>Weekday</v>
      </c>
    </row>
    <row r="1174" spans="1:13" x14ac:dyDescent="0.35">
      <c r="A1174" t="s">
        <v>1218</v>
      </c>
      <c r="B1174" s="1">
        <v>45334</v>
      </c>
      <c r="C1174" t="s">
        <v>45</v>
      </c>
      <c r="D1174" t="s">
        <v>21</v>
      </c>
      <c r="E1174" t="s">
        <v>18</v>
      </c>
      <c r="F1174" s="4">
        <v>1778.62</v>
      </c>
      <c r="G1174" s="5">
        <v>14</v>
      </c>
      <c r="H1174" t="s">
        <v>15</v>
      </c>
      <c r="I1174" t="str">
        <f t="shared" si="72"/>
        <v>2024-02</v>
      </c>
      <c r="J1174" s="4">
        <f t="shared" si="73"/>
        <v>127.04428571428571</v>
      </c>
      <c r="K1174" t="str" cm="1">
        <f t="array" ref="K1174">_xlfn.IFS(G1174&lt;=5, "Small", G1174&lt;=15, "Medium", G1174&gt;15, "Large")</f>
        <v>Medium</v>
      </c>
      <c r="L1174" t="str">
        <f t="shared" si="74"/>
        <v>Standard</v>
      </c>
      <c r="M1174" t="str">
        <f t="shared" si="75"/>
        <v>Weekday</v>
      </c>
    </row>
    <row r="1175" spans="1:13" x14ac:dyDescent="0.35">
      <c r="A1175" t="s">
        <v>1219</v>
      </c>
      <c r="B1175" s="1">
        <v>45630</v>
      </c>
      <c r="C1175" t="s">
        <v>253</v>
      </c>
      <c r="D1175" t="s">
        <v>21</v>
      </c>
      <c r="E1175" t="s">
        <v>11</v>
      </c>
      <c r="F1175" s="4">
        <v>16324.46</v>
      </c>
      <c r="G1175" s="5">
        <v>1</v>
      </c>
      <c r="H1175" t="s">
        <v>15</v>
      </c>
      <c r="I1175" t="str">
        <f t="shared" si="72"/>
        <v>2024-12</v>
      </c>
      <c r="J1175" s="4">
        <f t="shared" si="73"/>
        <v>16324.46</v>
      </c>
      <c r="K1175" t="str" cm="1">
        <f t="array" ref="K1175">_xlfn.IFS(G1175&lt;=5, "Small", G1175&lt;=15, "Medium", G1175&gt;15, "Large")</f>
        <v>Small</v>
      </c>
      <c r="L1175" t="str">
        <f t="shared" si="74"/>
        <v>Standard</v>
      </c>
      <c r="M1175" t="str">
        <f t="shared" si="75"/>
        <v>Weekday</v>
      </c>
    </row>
    <row r="1176" spans="1:13" x14ac:dyDescent="0.35">
      <c r="A1176" t="s">
        <v>1220</v>
      </c>
      <c r="B1176" s="1">
        <v>45601</v>
      </c>
      <c r="C1176" t="s">
        <v>50</v>
      </c>
      <c r="D1176" t="s">
        <v>26</v>
      </c>
      <c r="E1176" t="s">
        <v>18</v>
      </c>
      <c r="F1176" s="4">
        <v>1807.85</v>
      </c>
      <c r="G1176" s="5">
        <v>24</v>
      </c>
      <c r="H1176" t="s">
        <v>15</v>
      </c>
      <c r="I1176" t="str">
        <f t="shared" si="72"/>
        <v>2024-11</v>
      </c>
      <c r="J1176" s="4">
        <f t="shared" si="73"/>
        <v>75.327083333333334</v>
      </c>
      <c r="K1176" t="str" cm="1">
        <f t="array" ref="K1176">_xlfn.IFS(G1176&lt;=5, "Small", G1176&lt;=15, "Medium", G1176&gt;15, "Large")</f>
        <v>Large</v>
      </c>
      <c r="L1176" t="str">
        <f t="shared" si="74"/>
        <v>Standard</v>
      </c>
      <c r="M1176" t="str">
        <f t="shared" si="75"/>
        <v>Weekday</v>
      </c>
    </row>
    <row r="1177" spans="1:13" x14ac:dyDescent="0.35">
      <c r="A1177" t="s">
        <v>1221</v>
      </c>
      <c r="B1177" s="1">
        <v>45644</v>
      </c>
      <c r="C1177" t="s">
        <v>50</v>
      </c>
      <c r="D1177" t="s">
        <v>26</v>
      </c>
      <c r="E1177" t="s">
        <v>27</v>
      </c>
      <c r="F1177" s="4">
        <v>19145.330000000002</v>
      </c>
      <c r="G1177" s="5">
        <v>2</v>
      </c>
      <c r="H1177" t="s">
        <v>15</v>
      </c>
      <c r="I1177" t="str">
        <f t="shared" si="72"/>
        <v>2024-12</v>
      </c>
      <c r="J1177" s="4">
        <f t="shared" si="73"/>
        <v>9572.6650000000009</v>
      </c>
      <c r="K1177" t="str" cm="1">
        <f t="array" ref="K1177">_xlfn.IFS(G1177&lt;=5, "Small", G1177&lt;=15, "Medium", G1177&gt;15, "Large")</f>
        <v>Small</v>
      </c>
      <c r="L1177" t="str">
        <f t="shared" si="74"/>
        <v>Standard</v>
      </c>
      <c r="M1177" t="str">
        <f t="shared" si="75"/>
        <v>Weekday</v>
      </c>
    </row>
    <row r="1178" spans="1:13" x14ac:dyDescent="0.35">
      <c r="A1178" t="s">
        <v>1222</v>
      </c>
      <c r="B1178" s="1">
        <v>45174</v>
      </c>
      <c r="C1178" t="s">
        <v>64</v>
      </c>
      <c r="D1178" t="s">
        <v>10</v>
      </c>
      <c r="E1178" t="s">
        <v>11</v>
      </c>
      <c r="F1178" s="4">
        <v>4688.16</v>
      </c>
      <c r="G1178" s="5">
        <v>2</v>
      </c>
      <c r="H1178" t="s">
        <v>15</v>
      </c>
      <c r="I1178" t="str">
        <f t="shared" si="72"/>
        <v>2023-09</v>
      </c>
      <c r="J1178" s="4">
        <f t="shared" si="73"/>
        <v>2344.08</v>
      </c>
      <c r="K1178" t="str" cm="1">
        <f t="array" ref="K1178">_xlfn.IFS(G1178&lt;=5, "Small", G1178&lt;=15, "Medium", G1178&gt;15, "Large")</f>
        <v>Small</v>
      </c>
      <c r="L1178" t="str">
        <f t="shared" si="74"/>
        <v>Standard</v>
      </c>
      <c r="M1178" t="str">
        <f t="shared" si="75"/>
        <v>Weekday</v>
      </c>
    </row>
    <row r="1179" spans="1:13" x14ac:dyDescent="0.35">
      <c r="A1179" t="s">
        <v>1223</v>
      </c>
      <c r="B1179" s="1">
        <v>45200</v>
      </c>
      <c r="C1179" t="s">
        <v>35</v>
      </c>
      <c r="D1179" t="s">
        <v>31</v>
      </c>
      <c r="E1179" t="s">
        <v>27</v>
      </c>
      <c r="F1179" s="4">
        <v>0</v>
      </c>
      <c r="G1179" s="5">
        <v>2</v>
      </c>
      <c r="H1179" t="s">
        <v>28</v>
      </c>
      <c r="I1179" t="str">
        <f t="shared" si="72"/>
        <v>2023-10</v>
      </c>
      <c r="J1179" s="4">
        <f t="shared" si="73"/>
        <v>0</v>
      </c>
      <c r="K1179" t="str" cm="1">
        <f t="array" ref="K1179">_xlfn.IFS(G1179&lt;=5, "Small", G1179&lt;=15, "Medium", G1179&gt;15, "Large")</f>
        <v>Small</v>
      </c>
      <c r="L1179" t="str">
        <f t="shared" si="74"/>
        <v>Standard</v>
      </c>
      <c r="M1179" t="str">
        <f t="shared" si="75"/>
        <v>Weekend</v>
      </c>
    </row>
    <row r="1180" spans="1:13" x14ac:dyDescent="0.35">
      <c r="A1180" t="s">
        <v>1224</v>
      </c>
      <c r="B1180" s="1">
        <v>44934</v>
      </c>
      <c r="C1180" t="s">
        <v>40</v>
      </c>
      <c r="D1180" t="s">
        <v>26</v>
      </c>
      <c r="E1180" t="s">
        <v>18</v>
      </c>
      <c r="F1180" s="4">
        <v>1240.46</v>
      </c>
      <c r="G1180" s="5">
        <v>24</v>
      </c>
      <c r="H1180" t="s">
        <v>15</v>
      </c>
      <c r="I1180" t="str">
        <f t="shared" si="72"/>
        <v>2023-01</v>
      </c>
      <c r="J1180" s="4">
        <f t="shared" si="73"/>
        <v>51.685833333333335</v>
      </c>
      <c r="K1180" t="str" cm="1">
        <f t="array" ref="K1180">_xlfn.IFS(G1180&lt;=5, "Small", G1180&lt;=15, "Medium", G1180&gt;15, "Large")</f>
        <v>Large</v>
      </c>
      <c r="L1180" t="str">
        <f t="shared" si="74"/>
        <v>Standard</v>
      </c>
      <c r="M1180" t="str">
        <f t="shared" si="75"/>
        <v>Weekend</v>
      </c>
    </row>
    <row r="1181" spans="1:13" x14ac:dyDescent="0.35">
      <c r="A1181" t="s">
        <v>1225</v>
      </c>
      <c r="B1181" s="1">
        <v>45572</v>
      </c>
      <c r="C1181" t="s">
        <v>40</v>
      </c>
      <c r="D1181" t="s">
        <v>26</v>
      </c>
      <c r="E1181" t="s">
        <v>18</v>
      </c>
      <c r="F1181" s="4">
        <v>0</v>
      </c>
      <c r="G1181" s="5">
        <v>15</v>
      </c>
      <c r="H1181" t="s">
        <v>28</v>
      </c>
      <c r="I1181" t="str">
        <f t="shared" si="72"/>
        <v>2024-10</v>
      </c>
      <c r="J1181" s="4">
        <f t="shared" si="73"/>
        <v>0</v>
      </c>
      <c r="K1181" t="str" cm="1">
        <f t="array" ref="K1181">_xlfn.IFS(G1181&lt;=5, "Small", G1181&lt;=15, "Medium", G1181&gt;15, "Large")</f>
        <v>Medium</v>
      </c>
      <c r="L1181" t="str">
        <f t="shared" si="74"/>
        <v>Standard</v>
      </c>
      <c r="M1181" t="str">
        <f t="shared" si="75"/>
        <v>Weekday</v>
      </c>
    </row>
    <row r="1182" spans="1:13" x14ac:dyDescent="0.35">
      <c r="A1182" t="s">
        <v>1226</v>
      </c>
      <c r="B1182" s="1">
        <v>45062</v>
      </c>
      <c r="C1182" t="s">
        <v>72</v>
      </c>
      <c r="D1182" t="s">
        <v>26</v>
      </c>
      <c r="E1182" t="s">
        <v>27</v>
      </c>
      <c r="F1182" s="4">
        <v>5384.12</v>
      </c>
      <c r="G1182" s="5">
        <v>5</v>
      </c>
      <c r="H1182" t="s">
        <v>15</v>
      </c>
      <c r="I1182" t="str">
        <f t="shared" si="72"/>
        <v>2023-05</v>
      </c>
      <c r="J1182" s="4">
        <f t="shared" si="73"/>
        <v>1076.8240000000001</v>
      </c>
      <c r="K1182" t="str" cm="1">
        <f t="array" ref="K1182">_xlfn.IFS(G1182&lt;=5, "Small", G1182&lt;=15, "Medium", G1182&gt;15, "Large")</f>
        <v>Small</v>
      </c>
      <c r="L1182" t="str">
        <f t="shared" si="74"/>
        <v>Standard</v>
      </c>
      <c r="M1182" t="str">
        <f t="shared" si="75"/>
        <v>Weekday</v>
      </c>
    </row>
    <row r="1183" spans="1:13" x14ac:dyDescent="0.35">
      <c r="A1183" t="s">
        <v>1227</v>
      </c>
      <c r="B1183" s="1">
        <v>44995</v>
      </c>
      <c r="C1183" t="s">
        <v>20</v>
      </c>
      <c r="D1183" t="s">
        <v>21</v>
      </c>
      <c r="E1183" t="s">
        <v>11</v>
      </c>
      <c r="F1183" s="4">
        <v>7859.77</v>
      </c>
      <c r="G1183" s="5">
        <v>6</v>
      </c>
      <c r="H1183" t="s">
        <v>15</v>
      </c>
      <c r="I1183" t="str">
        <f t="shared" si="72"/>
        <v>2023-03</v>
      </c>
      <c r="J1183" s="4">
        <f t="shared" si="73"/>
        <v>1309.9616666666668</v>
      </c>
      <c r="K1183" t="str" cm="1">
        <f t="array" ref="K1183">_xlfn.IFS(G1183&lt;=5, "Small", G1183&lt;=15, "Medium", G1183&gt;15, "Large")</f>
        <v>Medium</v>
      </c>
      <c r="L1183" t="str">
        <f t="shared" si="74"/>
        <v>Standard</v>
      </c>
      <c r="M1183" t="str">
        <f t="shared" si="75"/>
        <v>Weekday</v>
      </c>
    </row>
    <row r="1184" spans="1:13" x14ac:dyDescent="0.35">
      <c r="A1184" t="s">
        <v>1228</v>
      </c>
      <c r="B1184" s="1">
        <v>45341</v>
      </c>
      <c r="C1184" t="s">
        <v>62</v>
      </c>
      <c r="D1184" t="s">
        <v>10</v>
      </c>
      <c r="E1184" t="s">
        <v>27</v>
      </c>
      <c r="F1184" s="4">
        <v>36218.44</v>
      </c>
      <c r="G1184" s="5">
        <v>5</v>
      </c>
      <c r="H1184" t="s">
        <v>15</v>
      </c>
      <c r="I1184" t="str">
        <f t="shared" si="72"/>
        <v>2024-02</v>
      </c>
      <c r="J1184" s="4">
        <f t="shared" si="73"/>
        <v>7243.6880000000001</v>
      </c>
      <c r="K1184" t="str" cm="1">
        <f t="array" ref="K1184">_xlfn.IFS(G1184&lt;=5, "Small", G1184&lt;=15, "Medium", G1184&gt;15, "Large")</f>
        <v>Small</v>
      </c>
      <c r="L1184" t="str">
        <f t="shared" si="74"/>
        <v>VIP</v>
      </c>
      <c r="M1184" t="str">
        <f t="shared" si="75"/>
        <v>Weekday</v>
      </c>
    </row>
    <row r="1185" spans="1:13" x14ac:dyDescent="0.35">
      <c r="A1185" t="s">
        <v>1229</v>
      </c>
      <c r="B1185" s="1">
        <v>45411</v>
      </c>
      <c r="C1185" t="s">
        <v>91</v>
      </c>
      <c r="D1185" t="s">
        <v>26</v>
      </c>
      <c r="E1185" t="s">
        <v>27</v>
      </c>
      <c r="F1185" s="4">
        <v>0</v>
      </c>
      <c r="G1185" s="5">
        <v>3</v>
      </c>
      <c r="H1185" t="s">
        <v>12</v>
      </c>
      <c r="I1185" t="str">
        <f t="shared" si="72"/>
        <v>2024-04</v>
      </c>
      <c r="J1185" s="4">
        <f t="shared" si="73"/>
        <v>0</v>
      </c>
      <c r="K1185" t="str" cm="1">
        <f t="array" ref="K1185">_xlfn.IFS(G1185&lt;=5, "Small", G1185&lt;=15, "Medium", G1185&gt;15, "Large")</f>
        <v>Small</v>
      </c>
      <c r="L1185" t="str">
        <f t="shared" si="74"/>
        <v>Standard</v>
      </c>
      <c r="M1185" t="str">
        <f t="shared" si="75"/>
        <v>Weekday</v>
      </c>
    </row>
    <row r="1186" spans="1:13" x14ac:dyDescent="0.35">
      <c r="A1186" t="s">
        <v>1230</v>
      </c>
      <c r="B1186" s="1">
        <v>45513</v>
      </c>
      <c r="C1186" t="s">
        <v>126</v>
      </c>
      <c r="D1186" t="s">
        <v>21</v>
      </c>
      <c r="E1186" t="s">
        <v>18</v>
      </c>
      <c r="F1186" s="4">
        <v>2594.42</v>
      </c>
      <c r="G1186" s="5">
        <v>4</v>
      </c>
      <c r="H1186" t="s">
        <v>15</v>
      </c>
      <c r="I1186" t="str">
        <f t="shared" si="72"/>
        <v>2024-08</v>
      </c>
      <c r="J1186" s="4">
        <f t="shared" si="73"/>
        <v>648.60500000000002</v>
      </c>
      <c r="K1186" t="str" cm="1">
        <f t="array" ref="K1186">_xlfn.IFS(G1186&lt;=5, "Small", G1186&lt;=15, "Medium", G1186&gt;15, "Large")</f>
        <v>Small</v>
      </c>
      <c r="L1186" t="str">
        <f t="shared" si="74"/>
        <v>Standard</v>
      </c>
      <c r="M1186" t="str">
        <f t="shared" si="75"/>
        <v>Weekday</v>
      </c>
    </row>
    <row r="1187" spans="1:13" x14ac:dyDescent="0.35">
      <c r="A1187" t="s">
        <v>1231</v>
      </c>
      <c r="B1187" s="1">
        <v>44947</v>
      </c>
      <c r="C1187" t="s">
        <v>23</v>
      </c>
      <c r="D1187" t="s">
        <v>21</v>
      </c>
      <c r="E1187" t="s">
        <v>27</v>
      </c>
      <c r="F1187" s="4">
        <v>28896.65</v>
      </c>
      <c r="G1187" s="5">
        <v>3</v>
      </c>
      <c r="H1187" t="s">
        <v>15</v>
      </c>
      <c r="I1187" t="str">
        <f t="shared" si="72"/>
        <v>2023-01</v>
      </c>
      <c r="J1187" s="4">
        <f t="shared" si="73"/>
        <v>9632.2166666666672</v>
      </c>
      <c r="K1187" t="str" cm="1">
        <f t="array" ref="K1187">_xlfn.IFS(G1187&lt;=5, "Small", G1187&lt;=15, "Medium", G1187&gt;15, "Large")</f>
        <v>Small</v>
      </c>
      <c r="L1187" t="str">
        <f t="shared" si="74"/>
        <v>VIP</v>
      </c>
      <c r="M1187" t="str">
        <f t="shared" si="75"/>
        <v>Weekend</v>
      </c>
    </row>
    <row r="1188" spans="1:13" x14ac:dyDescent="0.35">
      <c r="A1188" t="s">
        <v>1232</v>
      </c>
      <c r="B1188" s="1">
        <v>45400</v>
      </c>
      <c r="C1188" t="s">
        <v>166</v>
      </c>
      <c r="D1188" t="s">
        <v>26</v>
      </c>
      <c r="E1188" t="s">
        <v>11</v>
      </c>
      <c r="F1188" s="4">
        <v>0</v>
      </c>
      <c r="G1188" s="5">
        <v>7</v>
      </c>
      <c r="H1188" t="s">
        <v>28</v>
      </c>
      <c r="I1188" t="str">
        <f t="shared" si="72"/>
        <v>2024-04</v>
      </c>
      <c r="J1188" s="4">
        <f t="shared" si="73"/>
        <v>0</v>
      </c>
      <c r="K1188" t="str" cm="1">
        <f t="array" ref="K1188">_xlfn.IFS(G1188&lt;=5, "Small", G1188&lt;=15, "Medium", G1188&gt;15, "Large")</f>
        <v>Medium</v>
      </c>
      <c r="L1188" t="str">
        <f t="shared" si="74"/>
        <v>Standard</v>
      </c>
      <c r="M1188" t="str">
        <f t="shared" si="75"/>
        <v>Weekday</v>
      </c>
    </row>
    <row r="1189" spans="1:13" x14ac:dyDescent="0.35">
      <c r="A1189" t="s">
        <v>1233</v>
      </c>
      <c r="B1189" s="1">
        <v>45644</v>
      </c>
      <c r="C1189" t="s">
        <v>160</v>
      </c>
      <c r="D1189" t="s">
        <v>26</v>
      </c>
      <c r="E1189" t="s">
        <v>11</v>
      </c>
      <c r="F1189" s="4">
        <v>2291.58</v>
      </c>
      <c r="G1189" s="5">
        <v>3</v>
      </c>
      <c r="H1189" t="s">
        <v>15</v>
      </c>
      <c r="I1189" t="str">
        <f t="shared" si="72"/>
        <v>2024-12</v>
      </c>
      <c r="J1189" s="4">
        <f t="shared" si="73"/>
        <v>763.86</v>
      </c>
      <c r="K1189" t="str" cm="1">
        <f t="array" ref="K1189">_xlfn.IFS(G1189&lt;=5, "Small", G1189&lt;=15, "Medium", G1189&gt;15, "Large")</f>
        <v>Small</v>
      </c>
      <c r="L1189" t="str">
        <f t="shared" si="74"/>
        <v>Standard</v>
      </c>
      <c r="M1189" t="str">
        <f t="shared" si="75"/>
        <v>Weekday</v>
      </c>
    </row>
    <row r="1190" spans="1:13" x14ac:dyDescent="0.35">
      <c r="A1190" t="s">
        <v>1234</v>
      </c>
      <c r="B1190" s="1">
        <v>45146</v>
      </c>
      <c r="C1190" t="s">
        <v>53</v>
      </c>
      <c r="D1190" t="s">
        <v>31</v>
      </c>
      <c r="E1190" t="s">
        <v>11</v>
      </c>
      <c r="F1190" s="4">
        <v>17933.23</v>
      </c>
      <c r="G1190" s="5">
        <v>7</v>
      </c>
      <c r="H1190" t="s">
        <v>15</v>
      </c>
      <c r="I1190" t="str">
        <f t="shared" si="72"/>
        <v>2023-08</v>
      </c>
      <c r="J1190" s="4">
        <f t="shared" si="73"/>
        <v>2561.89</v>
      </c>
      <c r="K1190" t="str" cm="1">
        <f t="array" ref="K1190">_xlfn.IFS(G1190&lt;=5, "Small", G1190&lt;=15, "Medium", G1190&gt;15, "Large")</f>
        <v>Medium</v>
      </c>
      <c r="L1190" t="str">
        <f t="shared" si="74"/>
        <v>Standard</v>
      </c>
      <c r="M1190" t="str">
        <f t="shared" si="75"/>
        <v>Weekday</v>
      </c>
    </row>
    <row r="1191" spans="1:13" x14ac:dyDescent="0.35">
      <c r="A1191" t="s">
        <v>1235</v>
      </c>
      <c r="B1191" s="1">
        <v>44993</v>
      </c>
      <c r="C1191" t="s">
        <v>17</v>
      </c>
      <c r="D1191" t="s">
        <v>10</v>
      </c>
      <c r="E1191" t="s">
        <v>18</v>
      </c>
      <c r="F1191" s="4">
        <v>2221.59</v>
      </c>
      <c r="G1191" s="5">
        <v>2</v>
      </c>
      <c r="H1191" t="s">
        <v>15</v>
      </c>
      <c r="I1191" t="str">
        <f t="shared" si="72"/>
        <v>2023-03</v>
      </c>
      <c r="J1191" s="4">
        <f t="shared" si="73"/>
        <v>1110.7950000000001</v>
      </c>
      <c r="K1191" t="str" cm="1">
        <f t="array" ref="K1191">_xlfn.IFS(G1191&lt;=5, "Small", G1191&lt;=15, "Medium", G1191&gt;15, "Large")</f>
        <v>Small</v>
      </c>
      <c r="L1191" t="str">
        <f t="shared" si="74"/>
        <v>Standard</v>
      </c>
      <c r="M1191" t="str">
        <f t="shared" si="75"/>
        <v>Weekday</v>
      </c>
    </row>
    <row r="1192" spans="1:13" x14ac:dyDescent="0.35">
      <c r="A1192" t="s">
        <v>1236</v>
      </c>
      <c r="B1192" s="1">
        <v>45052</v>
      </c>
      <c r="C1192" t="s">
        <v>78</v>
      </c>
      <c r="D1192" t="s">
        <v>31</v>
      </c>
      <c r="E1192" t="s">
        <v>27</v>
      </c>
      <c r="F1192" s="4">
        <v>8225.1200000000008</v>
      </c>
      <c r="G1192" s="5">
        <v>5</v>
      </c>
      <c r="H1192" t="s">
        <v>15</v>
      </c>
      <c r="I1192" t="str">
        <f t="shared" si="72"/>
        <v>2023-05</v>
      </c>
      <c r="J1192" s="4">
        <f t="shared" si="73"/>
        <v>1645.0240000000001</v>
      </c>
      <c r="K1192" t="str" cm="1">
        <f t="array" ref="K1192">_xlfn.IFS(G1192&lt;=5, "Small", G1192&lt;=15, "Medium", G1192&gt;15, "Large")</f>
        <v>Small</v>
      </c>
      <c r="L1192" t="str">
        <f t="shared" si="74"/>
        <v>Standard</v>
      </c>
      <c r="M1192" t="str">
        <f t="shared" si="75"/>
        <v>Weekend</v>
      </c>
    </row>
    <row r="1193" spans="1:13" x14ac:dyDescent="0.35">
      <c r="A1193" t="s">
        <v>1237</v>
      </c>
      <c r="B1193" s="1">
        <v>45379</v>
      </c>
      <c r="C1193" t="s">
        <v>253</v>
      </c>
      <c r="D1193" t="s">
        <v>21</v>
      </c>
      <c r="E1193" t="s">
        <v>27</v>
      </c>
      <c r="F1193" s="4">
        <v>9731.41</v>
      </c>
      <c r="G1193" s="5">
        <v>5</v>
      </c>
      <c r="H1193" t="s">
        <v>15</v>
      </c>
      <c r="I1193" t="str">
        <f t="shared" si="72"/>
        <v>2024-03</v>
      </c>
      <c r="J1193" s="4">
        <f t="shared" si="73"/>
        <v>1946.2819999999999</v>
      </c>
      <c r="K1193" t="str" cm="1">
        <f t="array" ref="K1193">_xlfn.IFS(G1193&lt;=5, "Small", G1193&lt;=15, "Medium", G1193&gt;15, "Large")</f>
        <v>Small</v>
      </c>
      <c r="L1193" t="str">
        <f t="shared" si="74"/>
        <v>Standard</v>
      </c>
      <c r="M1193" t="str">
        <f t="shared" si="75"/>
        <v>Weekday</v>
      </c>
    </row>
    <row r="1194" spans="1:13" x14ac:dyDescent="0.35">
      <c r="A1194" t="s">
        <v>1238</v>
      </c>
      <c r="B1194" s="1">
        <v>45473</v>
      </c>
      <c r="C1194" t="s">
        <v>97</v>
      </c>
      <c r="D1194" t="s">
        <v>21</v>
      </c>
      <c r="E1194" t="s">
        <v>27</v>
      </c>
      <c r="F1194" s="4">
        <v>2437.29</v>
      </c>
      <c r="G1194" s="5">
        <v>1</v>
      </c>
      <c r="H1194" t="s">
        <v>15</v>
      </c>
      <c r="I1194" t="str">
        <f t="shared" si="72"/>
        <v>2024-06</v>
      </c>
      <c r="J1194" s="4">
        <f t="shared" si="73"/>
        <v>2437.29</v>
      </c>
      <c r="K1194" t="str" cm="1">
        <f t="array" ref="K1194">_xlfn.IFS(G1194&lt;=5, "Small", G1194&lt;=15, "Medium", G1194&gt;15, "Large")</f>
        <v>Small</v>
      </c>
      <c r="L1194" t="str">
        <f t="shared" si="74"/>
        <v>Standard</v>
      </c>
      <c r="M1194" t="str">
        <f t="shared" si="75"/>
        <v>Weekend</v>
      </c>
    </row>
    <row r="1195" spans="1:13" x14ac:dyDescent="0.35">
      <c r="A1195" t="s">
        <v>1239</v>
      </c>
      <c r="B1195" s="1">
        <v>45341</v>
      </c>
      <c r="C1195" t="s">
        <v>82</v>
      </c>
      <c r="D1195" t="s">
        <v>10</v>
      </c>
      <c r="E1195" t="s">
        <v>27</v>
      </c>
      <c r="F1195" s="4">
        <v>25180.45</v>
      </c>
      <c r="G1195" s="5">
        <v>5</v>
      </c>
      <c r="H1195" t="s">
        <v>15</v>
      </c>
      <c r="I1195" t="str">
        <f t="shared" si="72"/>
        <v>2024-02</v>
      </c>
      <c r="J1195" s="4">
        <f t="shared" si="73"/>
        <v>5036.09</v>
      </c>
      <c r="K1195" t="str" cm="1">
        <f t="array" ref="K1195">_xlfn.IFS(G1195&lt;=5, "Small", G1195&lt;=15, "Medium", G1195&gt;15, "Large")</f>
        <v>Small</v>
      </c>
      <c r="L1195" t="str">
        <f t="shared" si="74"/>
        <v>Standard</v>
      </c>
      <c r="M1195" t="str">
        <f t="shared" si="75"/>
        <v>Weekday</v>
      </c>
    </row>
    <row r="1196" spans="1:13" x14ac:dyDescent="0.35">
      <c r="A1196" t="s">
        <v>1240</v>
      </c>
      <c r="B1196" s="1">
        <v>45108</v>
      </c>
      <c r="C1196" t="s">
        <v>82</v>
      </c>
      <c r="D1196" t="s">
        <v>10</v>
      </c>
      <c r="E1196" t="s">
        <v>27</v>
      </c>
      <c r="F1196" s="4">
        <v>5377.09</v>
      </c>
      <c r="G1196" s="5">
        <v>5</v>
      </c>
      <c r="H1196" t="s">
        <v>15</v>
      </c>
      <c r="I1196" t="str">
        <f t="shared" si="72"/>
        <v>2023-07</v>
      </c>
      <c r="J1196" s="4">
        <f t="shared" si="73"/>
        <v>1075.4180000000001</v>
      </c>
      <c r="K1196" t="str" cm="1">
        <f t="array" ref="K1196">_xlfn.IFS(G1196&lt;=5, "Small", G1196&lt;=15, "Medium", G1196&gt;15, "Large")</f>
        <v>Small</v>
      </c>
      <c r="L1196" t="str">
        <f t="shared" si="74"/>
        <v>Standard</v>
      </c>
      <c r="M1196" t="str">
        <f t="shared" si="75"/>
        <v>Weekend</v>
      </c>
    </row>
    <row r="1197" spans="1:13" x14ac:dyDescent="0.35">
      <c r="A1197" t="s">
        <v>1241</v>
      </c>
      <c r="B1197" s="1">
        <v>45409</v>
      </c>
      <c r="C1197" t="s">
        <v>48</v>
      </c>
      <c r="D1197" t="s">
        <v>31</v>
      </c>
      <c r="E1197" t="s">
        <v>27</v>
      </c>
      <c r="F1197" s="4">
        <v>34474.199999999997</v>
      </c>
      <c r="G1197" s="5">
        <v>5</v>
      </c>
      <c r="H1197" t="s">
        <v>15</v>
      </c>
      <c r="I1197" t="str">
        <f t="shared" si="72"/>
        <v>2024-04</v>
      </c>
      <c r="J1197" s="4">
        <f t="shared" si="73"/>
        <v>6894.8399999999992</v>
      </c>
      <c r="K1197" t="str" cm="1">
        <f t="array" ref="K1197">_xlfn.IFS(G1197&lt;=5, "Small", G1197&lt;=15, "Medium", G1197&gt;15, "Large")</f>
        <v>Small</v>
      </c>
      <c r="L1197" t="str">
        <f t="shared" si="74"/>
        <v>VIP</v>
      </c>
      <c r="M1197" t="str">
        <f t="shared" si="75"/>
        <v>Weekend</v>
      </c>
    </row>
    <row r="1198" spans="1:13" x14ac:dyDescent="0.35">
      <c r="A1198" t="s">
        <v>1242</v>
      </c>
      <c r="B1198" s="1">
        <v>45319</v>
      </c>
      <c r="C1198" t="s">
        <v>72</v>
      </c>
      <c r="D1198" t="s">
        <v>26</v>
      </c>
      <c r="E1198" t="s">
        <v>11</v>
      </c>
      <c r="F1198" s="4">
        <v>3468</v>
      </c>
      <c r="G1198" s="5">
        <v>8</v>
      </c>
      <c r="H1198" t="s">
        <v>15</v>
      </c>
      <c r="I1198" t="str">
        <f t="shared" si="72"/>
        <v>2024-01</v>
      </c>
      <c r="J1198" s="4">
        <f t="shared" si="73"/>
        <v>433.5</v>
      </c>
      <c r="K1198" t="str" cm="1">
        <f t="array" ref="K1198">_xlfn.IFS(G1198&lt;=5, "Small", G1198&lt;=15, "Medium", G1198&gt;15, "Large")</f>
        <v>Medium</v>
      </c>
      <c r="L1198" t="str">
        <f t="shared" si="74"/>
        <v>Standard</v>
      </c>
      <c r="M1198" t="str">
        <f t="shared" si="75"/>
        <v>Weekend</v>
      </c>
    </row>
    <row r="1199" spans="1:13" x14ac:dyDescent="0.35">
      <c r="A1199" t="s">
        <v>1243</v>
      </c>
      <c r="B1199" s="1">
        <v>45616</v>
      </c>
      <c r="C1199" t="s">
        <v>25</v>
      </c>
      <c r="D1199" t="s">
        <v>26</v>
      </c>
      <c r="E1199" t="s">
        <v>18</v>
      </c>
      <c r="F1199" s="4">
        <v>750.85</v>
      </c>
      <c r="G1199" s="5">
        <v>28</v>
      </c>
      <c r="H1199" t="s">
        <v>15</v>
      </c>
      <c r="I1199" t="str">
        <f t="shared" si="72"/>
        <v>2024-11</v>
      </c>
      <c r="J1199" s="4">
        <f t="shared" si="73"/>
        <v>26.81607142857143</v>
      </c>
      <c r="K1199" t="str" cm="1">
        <f t="array" ref="K1199">_xlfn.IFS(G1199&lt;=5, "Small", G1199&lt;=15, "Medium", G1199&gt;15, "Large")</f>
        <v>Large</v>
      </c>
      <c r="L1199" t="str">
        <f t="shared" si="74"/>
        <v>Standard</v>
      </c>
      <c r="M1199" t="str">
        <f t="shared" si="75"/>
        <v>Weekday</v>
      </c>
    </row>
    <row r="1200" spans="1:13" x14ac:dyDescent="0.35">
      <c r="A1200" t="s">
        <v>1244</v>
      </c>
      <c r="B1200" s="1">
        <v>45053</v>
      </c>
      <c r="C1200" t="s">
        <v>25</v>
      </c>
      <c r="D1200" t="s">
        <v>31</v>
      </c>
      <c r="E1200" t="s">
        <v>27</v>
      </c>
      <c r="F1200" s="4">
        <v>21604.880000000001</v>
      </c>
      <c r="G1200" s="5">
        <v>3</v>
      </c>
      <c r="H1200" t="s">
        <v>15</v>
      </c>
      <c r="I1200" t="str">
        <f t="shared" si="72"/>
        <v>2023-05</v>
      </c>
      <c r="J1200" s="4">
        <f t="shared" si="73"/>
        <v>7201.626666666667</v>
      </c>
      <c r="K1200" t="str" cm="1">
        <f t="array" ref="K1200">_xlfn.IFS(G1200&lt;=5, "Small", G1200&lt;=15, "Medium", G1200&gt;15, "Large")</f>
        <v>Small</v>
      </c>
      <c r="L1200" t="str">
        <f t="shared" si="74"/>
        <v>Standard</v>
      </c>
      <c r="M1200" t="str">
        <f t="shared" si="75"/>
        <v>Weekend</v>
      </c>
    </row>
    <row r="1201" spans="1:13" x14ac:dyDescent="0.35">
      <c r="A1201" t="s">
        <v>1245</v>
      </c>
      <c r="B1201" s="1">
        <v>45142</v>
      </c>
      <c r="C1201" t="s">
        <v>20</v>
      </c>
      <c r="D1201" t="s">
        <v>21</v>
      </c>
      <c r="E1201" t="s">
        <v>18</v>
      </c>
      <c r="F1201" s="4">
        <v>154.49</v>
      </c>
      <c r="G1201" s="5">
        <v>29</v>
      </c>
      <c r="H1201" t="s">
        <v>15</v>
      </c>
      <c r="I1201" t="str">
        <f t="shared" si="72"/>
        <v>2023-08</v>
      </c>
      <c r="J1201" s="4">
        <f t="shared" si="73"/>
        <v>5.3272413793103448</v>
      </c>
      <c r="K1201" t="str" cm="1">
        <f t="array" ref="K1201">_xlfn.IFS(G1201&lt;=5, "Small", G1201&lt;=15, "Medium", G1201&gt;15, "Large")</f>
        <v>Large</v>
      </c>
      <c r="L1201" t="str">
        <f t="shared" si="74"/>
        <v>Standard</v>
      </c>
      <c r="M1201" t="str">
        <f t="shared" si="75"/>
        <v>Weekday</v>
      </c>
    </row>
    <row r="1202" spans="1:13" x14ac:dyDescent="0.35">
      <c r="A1202" t="s">
        <v>1246</v>
      </c>
      <c r="B1202" s="1">
        <v>44972</v>
      </c>
      <c r="C1202" t="s">
        <v>91</v>
      </c>
      <c r="D1202" t="s">
        <v>31</v>
      </c>
      <c r="E1202" t="s">
        <v>18</v>
      </c>
      <c r="F1202" s="4">
        <v>427.3</v>
      </c>
      <c r="G1202" s="5">
        <v>26</v>
      </c>
      <c r="H1202" t="s">
        <v>15</v>
      </c>
      <c r="I1202" t="str">
        <f t="shared" si="72"/>
        <v>2023-02</v>
      </c>
      <c r="J1202" s="4">
        <f t="shared" si="73"/>
        <v>16.434615384615384</v>
      </c>
      <c r="K1202" t="str" cm="1">
        <f t="array" ref="K1202">_xlfn.IFS(G1202&lt;=5, "Small", G1202&lt;=15, "Medium", G1202&gt;15, "Large")</f>
        <v>Large</v>
      </c>
      <c r="L1202" t="str">
        <f t="shared" si="74"/>
        <v>Standard</v>
      </c>
      <c r="M1202" t="str">
        <f t="shared" si="75"/>
        <v>Weekday</v>
      </c>
    </row>
    <row r="1203" spans="1:13" x14ac:dyDescent="0.35">
      <c r="A1203" t="s">
        <v>1247</v>
      </c>
      <c r="B1203" s="1">
        <v>45597</v>
      </c>
      <c r="C1203" t="s">
        <v>30</v>
      </c>
      <c r="D1203" t="s">
        <v>31</v>
      </c>
      <c r="E1203" t="s">
        <v>18</v>
      </c>
      <c r="F1203" s="4">
        <v>1458</v>
      </c>
      <c r="G1203" s="5">
        <v>9</v>
      </c>
      <c r="H1203" t="s">
        <v>15</v>
      </c>
      <c r="I1203" t="str">
        <f t="shared" si="72"/>
        <v>2024-11</v>
      </c>
      <c r="J1203" s="4">
        <f t="shared" si="73"/>
        <v>162</v>
      </c>
      <c r="K1203" t="str" cm="1">
        <f t="array" ref="K1203">_xlfn.IFS(G1203&lt;=5, "Small", G1203&lt;=15, "Medium", G1203&gt;15, "Large")</f>
        <v>Medium</v>
      </c>
      <c r="L1203" t="str">
        <f t="shared" si="74"/>
        <v>Standard</v>
      </c>
      <c r="M1203" t="str">
        <f t="shared" si="75"/>
        <v>Weekday</v>
      </c>
    </row>
    <row r="1204" spans="1:13" x14ac:dyDescent="0.35">
      <c r="A1204" t="s">
        <v>1248</v>
      </c>
      <c r="B1204" s="1">
        <v>45417</v>
      </c>
      <c r="C1204" t="s">
        <v>58</v>
      </c>
      <c r="D1204" t="s">
        <v>31</v>
      </c>
      <c r="E1204" t="s">
        <v>27</v>
      </c>
      <c r="F1204" s="4">
        <v>29408.86</v>
      </c>
      <c r="G1204" s="5">
        <v>4</v>
      </c>
      <c r="H1204" t="s">
        <v>15</v>
      </c>
      <c r="I1204" t="str">
        <f t="shared" si="72"/>
        <v>2024-05</v>
      </c>
      <c r="J1204" s="4">
        <f t="shared" si="73"/>
        <v>7352.2150000000001</v>
      </c>
      <c r="K1204" t="str" cm="1">
        <f t="array" ref="K1204">_xlfn.IFS(G1204&lt;=5, "Small", G1204&lt;=15, "Medium", G1204&gt;15, "Large")</f>
        <v>Small</v>
      </c>
      <c r="L1204" t="str">
        <f t="shared" si="74"/>
        <v>VIP</v>
      </c>
      <c r="M1204" t="str">
        <f t="shared" si="75"/>
        <v>Weekend</v>
      </c>
    </row>
    <row r="1205" spans="1:13" x14ac:dyDescent="0.35">
      <c r="A1205" t="s">
        <v>1249</v>
      </c>
      <c r="B1205" s="1">
        <v>45313</v>
      </c>
      <c r="C1205" t="s">
        <v>20</v>
      </c>
      <c r="D1205" t="s">
        <v>21</v>
      </c>
      <c r="E1205" t="s">
        <v>18</v>
      </c>
      <c r="F1205" s="4">
        <v>387.15</v>
      </c>
      <c r="G1205" s="5">
        <v>16</v>
      </c>
      <c r="H1205" t="s">
        <v>15</v>
      </c>
      <c r="I1205" t="str">
        <f t="shared" si="72"/>
        <v>2024-01</v>
      </c>
      <c r="J1205" s="4">
        <f t="shared" si="73"/>
        <v>24.196874999999999</v>
      </c>
      <c r="K1205" t="str" cm="1">
        <f t="array" ref="K1205">_xlfn.IFS(G1205&lt;=5, "Small", G1205&lt;=15, "Medium", G1205&gt;15, "Large")</f>
        <v>Large</v>
      </c>
      <c r="L1205" t="str">
        <f t="shared" si="74"/>
        <v>Standard</v>
      </c>
      <c r="M1205" t="str">
        <f t="shared" si="75"/>
        <v>Weekday</v>
      </c>
    </row>
    <row r="1206" spans="1:13" x14ac:dyDescent="0.35">
      <c r="A1206" t="s">
        <v>1250</v>
      </c>
      <c r="B1206" s="1">
        <v>45508</v>
      </c>
      <c r="C1206" t="s">
        <v>241</v>
      </c>
      <c r="D1206" t="s">
        <v>31</v>
      </c>
      <c r="E1206" t="s">
        <v>18</v>
      </c>
      <c r="F1206" s="4">
        <v>1776.49</v>
      </c>
      <c r="G1206" s="5">
        <v>26</v>
      </c>
      <c r="H1206" t="s">
        <v>15</v>
      </c>
      <c r="I1206" t="str">
        <f t="shared" si="72"/>
        <v>2024-08</v>
      </c>
      <c r="J1206" s="4">
        <f t="shared" si="73"/>
        <v>68.326538461538462</v>
      </c>
      <c r="K1206" t="str" cm="1">
        <f t="array" ref="K1206">_xlfn.IFS(G1206&lt;=5, "Small", G1206&lt;=15, "Medium", G1206&gt;15, "Large")</f>
        <v>Large</v>
      </c>
      <c r="L1206" t="str">
        <f t="shared" si="74"/>
        <v>Standard</v>
      </c>
      <c r="M1206" t="str">
        <f t="shared" si="75"/>
        <v>Weekend</v>
      </c>
    </row>
    <row r="1207" spans="1:13" x14ac:dyDescent="0.35">
      <c r="A1207" t="s">
        <v>1251</v>
      </c>
      <c r="B1207" s="1">
        <v>45200</v>
      </c>
      <c r="C1207" t="s">
        <v>9</v>
      </c>
      <c r="D1207" t="s">
        <v>10</v>
      </c>
      <c r="E1207" t="s">
        <v>11</v>
      </c>
      <c r="F1207" s="4">
        <v>0</v>
      </c>
      <c r="G1207" s="5">
        <v>1</v>
      </c>
      <c r="H1207" t="s">
        <v>28</v>
      </c>
      <c r="I1207" t="str">
        <f t="shared" si="72"/>
        <v>2023-10</v>
      </c>
      <c r="J1207" s="4">
        <f t="shared" si="73"/>
        <v>0</v>
      </c>
      <c r="K1207" t="str" cm="1">
        <f t="array" ref="K1207">_xlfn.IFS(G1207&lt;=5, "Small", G1207&lt;=15, "Medium", G1207&gt;15, "Large")</f>
        <v>Small</v>
      </c>
      <c r="L1207" t="str">
        <f t="shared" si="74"/>
        <v>Standard</v>
      </c>
      <c r="M1207" t="str">
        <f t="shared" si="75"/>
        <v>Weekend</v>
      </c>
    </row>
    <row r="1208" spans="1:13" x14ac:dyDescent="0.35">
      <c r="A1208" t="s">
        <v>1252</v>
      </c>
      <c r="B1208" s="1">
        <v>45633</v>
      </c>
      <c r="C1208" t="s">
        <v>45</v>
      </c>
      <c r="D1208" t="s">
        <v>21</v>
      </c>
      <c r="E1208" t="s">
        <v>27</v>
      </c>
      <c r="F1208" s="4">
        <v>32023.1</v>
      </c>
      <c r="G1208" s="5">
        <v>4</v>
      </c>
      <c r="H1208" t="s">
        <v>15</v>
      </c>
      <c r="I1208" t="str">
        <f t="shared" si="72"/>
        <v>2024-12</v>
      </c>
      <c r="J1208" s="4">
        <f t="shared" si="73"/>
        <v>8005.7749999999996</v>
      </c>
      <c r="K1208" t="str" cm="1">
        <f t="array" ref="K1208">_xlfn.IFS(G1208&lt;=5, "Small", G1208&lt;=15, "Medium", G1208&gt;15, "Large")</f>
        <v>Small</v>
      </c>
      <c r="L1208" t="str">
        <f t="shared" si="74"/>
        <v>VIP</v>
      </c>
      <c r="M1208" t="str">
        <f t="shared" si="75"/>
        <v>Weekend</v>
      </c>
    </row>
    <row r="1209" spans="1:13" x14ac:dyDescent="0.35">
      <c r="A1209" t="s">
        <v>1253</v>
      </c>
      <c r="B1209" s="1">
        <v>45518</v>
      </c>
      <c r="C1209" t="s">
        <v>175</v>
      </c>
      <c r="D1209" t="s">
        <v>21</v>
      </c>
      <c r="E1209" t="s">
        <v>27</v>
      </c>
      <c r="F1209" s="4">
        <v>22823.34</v>
      </c>
      <c r="G1209" s="5">
        <v>5</v>
      </c>
      <c r="H1209" t="s">
        <v>15</v>
      </c>
      <c r="I1209" t="str">
        <f t="shared" si="72"/>
        <v>2024-08</v>
      </c>
      <c r="J1209" s="4">
        <f t="shared" si="73"/>
        <v>4564.6679999999997</v>
      </c>
      <c r="K1209" t="str" cm="1">
        <f t="array" ref="K1209">_xlfn.IFS(G1209&lt;=5, "Small", G1209&lt;=15, "Medium", G1209&gt;15, "Large")</f>
        <v>Small</v>
      </c>
      <c r="L1209" t="str">
        <f t="shared" si="74"/>
        <v>Standard</v>
      </c>
      <c r="M1209" t="str">
        <f t="shared" si="75"/>
        <v>Weekday</v>
      </c>
    </row>
    <row r="1210" spans="1:13" x14ac:dyDescent="0.35">
      <c r="A1210" t="s">
        <v>1254</v>
      </c>
      <c r="B1210" s="1">
        <v>45507</v>
      </c>
      <c r="C1210" t="s">
        <v>82</v>
      </c>
      <c r="D1210" t="s">
        <v>10</v>
      </c>
      <c r="E1210" t="s">
        <v>27</v>
      </c>
      <c r="F1210" s="4">
        <v>0</v>
      </c>
      <c r="G1210" s="5">
        <v>5</v>
      </c>
      <c r="H1210" t="s">
        <v>12</v>
      </c>
      <c r="I1210" t="str">
        <f t="shared" si="72"/>
        <v>2024-08</v>
      </c>
      <c r="J1210" s="4">
        <f t="shared" si="73"/>
        <v>0</v>
      </c>
      <c r="K1210" t="str" cm="1">
        <f t="array" ref="K1210">_xlfn.IFS(G1210&lt;=5, "Small", G1210&lt;=15, "Medium", G1210&gt;15, "Large")</f>
        <v>Small</v>
      </c>
      <c r="L1210" t="str">
        <f t="shared" si="74"/>
        <v>Standard</v>
      </c>
      <c r="M1210" t="str">
        <f t="shared" si="75"/>
        <v>Weekend</v>
      </c>
    </row>
    <row r="1211" spans="1:13" x14ac:dyDescent="0.35">
      <c r="A1211" t="s">
        <v>1255</v>
      </c>
      <c r="B1211" s="1">
        <v>45236</v>
      </c>
      <c r="C1211" t="s">
        <v>241</v>
      </c>
      <c r="D1211" t="s">
        <v>31</v>
      </c>
      <c r="E1211" t="s">
        <v>27</v>
      </c>
      <c r="F1211" s="4">
        <v>42624.76</v>
      </c>
      <c r="G1211" s="5">
        <v>3</v>
      </c>
      <c r="H1211" t="s">
        <v>15</v>
      </c>
      <c r="I1211" t="str">
        <f t="shared" si="72"/>
        <v>2023-11</v>
      </c>
      <c r="J1211" s="4">
        <f t="shared" si="73"/>
        <v>14208.253333333334</v>
      </c>
      <c r="K1211" t="str" cm="1">
        <f t="array" ref="K1211">_xlfn.IFS(G1211&lt;=5, "Small", G1211&lt;=15, "Medium", G1211&gt;15, "Large")</f>
        <v>Small</v>
      </c>
      <c r="L1211" t="str">
        <f t="shared" si="74"/>
        <v>VIP</v>
      </c>
      <c r="M1211" t="str">
        <f t="shared" si="75"/>
        <v>Weekday</v>
      </c>
    </row>
    <row r="1212" spans="1:13" x14ac:dyDescent="0.35">
      <c r="A1212" t="s">
        <v>1256</v>
      </c>
      <c r="B1212" s="1">
        <v>45180</v>
      </c>
      <c r="C1212" t="s">
        <v>177</v>
      </c>
      <c r="D1212" t="s">
        <v>26</v>
      </c>
      <c r="E1212" t="s">
        <v>18</v>
      </c>
      <c r="F1212" s="4">
        <v>242.88</v>
      </c>
      <c r="G1212" s="5">
        <v>8</v>
      </c>
      <c r="H1212" t="s">
        <v>15</v>
      </c>
      <c r="I1212" t="str">
        <f t="shared" si="72"/>
        <v>2023-09</v>
      </c>
      <c r="J1212" s="4">
        <f t="shared" si="73"/>
        <v>30.36</v>
      </c>
      <c r="K1212" t="str" cm="1">
        <f t="array" ref="K1212">_xlfn.IFS(G1212&lt;=5, "Small", G1212&lt;=15, "Medium", G1212&gt;15, "Large")</f>
        <v>Medium</v>
      </c>
      <c r="L1212" t="str">
        <f t="shared" si="74"/>
        <v>Standard</v>
      </c>
      <c r="M1212" t="str">
        <f t="shared" si="75"/>
        <v>Weekday</v>
      </c>
    </row>
    <row r="1213" spans="1:13" x14ac:dyDescent="0.35">
      <c r="A1213" t="s">
        <v>1257</v>
      </c>
      <c r="B1213" s="1">
        <v>45054</v>
      </c>
      <c r="C1213" t="s">
        <v>45</v>
      </c>
      <c r="D1213" t="s">
        <v>21</v>
      </c>
      <c r="E1213" t="s">
        <v>18</v>
      </c>
      <c r="F1213" s="4">
        <v>642.03</v>
      </c>
      <c r="G1213" s="5">
        <v>22</v>
      </c>
      <c r="H1213" t="s">
        <v>15</v>
      </c>
      <c r="I1213" t="str">
        <f t="shared" si="72"/>
        <v>2023-05</v>
      </c>
      <c r="J1213" s="4">
        <f t="shared" si="73"/>
        <v>29.183181818181819</v>
      </c>
      <c r="K1213" t="str" cm="1">
        <f t="array" ref="K1213">_xlfn.IFS(G1213&lt;=5, "Small", G1213&lt;=15, "Medium", G1213&gt;15, "Large")</f>
        <v>Large</v>
      </c>
      <c r="L1213" t="str">
        <f t="shared" si="74"/>
        <v>Standard</v>
      </c>
      <c r="M1213" t="str">
        <f t="shared" si="75"/>
        <v>Weekday</v>
      </c>
    </row>
    <row r="1214" spans="1:13" x14ac:dyDescent="0.35">
      <c r="A1214" t="s">
        <v>1258</v>
      </c>
      <c r="B1214" s="1">
        <v>45548</v>
      </c>
      <c r="C1214" t="s">
        <v>30</v>
      </c>
      <c r="D1214" t="s">
        <v>31</v>
      </c>
      <c r="E1214" t="s">
        <v>27</v>
      </c>
      <c r="F1214" s="4">
        <v>24431.7</v>
      </c>
      <c r="G1214" s="5">
        <v>4</v>
      </c>
      <c r="H1214" t="s">
        <v>15</v>
      </c>
      <c r="I1214" t="str">
        <f t="shared" si="72"/>
        <v>2024-09</v>
      </c>
      <c r="J1214" s="4">
        <f t="shared" si="73"/>
        <v>6107.9250000000002</v>
      </c>
      <c r="K1214" t="str" cm="1">
        <f t="array" ref="K1214">_xlfn.IFS(G1214&lt;=5, "Small", G1214&lt;=15, "Medium", G1214&gt;15, "Large")</f>
        <v>Small</v>
      </c>
      <c r="L1214" t="str">
        <f t="shared" si="74"/>
        <v>Standard</v>
      </c>
      <c r="M1214" t="str">
        <f t="shared" si="75"/>
        <v>Weekday</v>
      </c>
    </row>
    <row r="1215" spans="1:13" x14ac:dyDescent="0.35">
      <c r="A1215" t="s">
        <v>1259</v>
      </c>
      <c r="B1215" s="1">
        <v>44939</v>
      </c>
      <c r="C1215" t="s">
        <v>91</v>
      </c>
      <c r="D1215" t="s">
        <v>26</v>
      </c>
      <c r="E1215" t="s">
        <v>18</v>
      </c>
      <c r="F1215" s="4">
        <v>2505.0500000000002</v>
      </c>
      <c r="G1215" s="5">
        <v>13</v>
      </c>
      <c r="H1215" t="s">
        <v>15</v>
      </c>
      <c r="I1215" t="str">
        <f t="shared" si="72"/>
        <v>2023-01</v>
      </c>
      <c r="J1215" s="4">
        <f t="shared" si="73"/>
        <v>192.69615384615386</v>
      </c>
      <c r="K1215" t="str" cm="1">
        <f t="array" ref="K1215">_xlfn.IFS(G1215&lt;=5, "Small", G1215&lt;=15, "Medium", G1215&gt;15, "Large")</f>
        <v>Medium</v>
      </c>
      <c r="L1215" t="str">
        <f t="shared" si="74"/>
        <v>Standard</v>
      </c>
      <c r="M1215" t="str">
        <f t="shared" si="75"/>
        <v>Weekday</v>
      </c>
    </row>
    <row r="1216" spans="1:13" x14ac:dyDescent="0.35">
      <c r="A1216" t="s">
        <v>1260</v>
      </c>
      <c r="B1216" s="1">
        <v>45045</v>
      </c>
      <c r="C1216" t="s">
        <v>53</v>
      </c>
      <c r="D1216" t="s">
        <v>31</v>
      </c>
      <c r="E1216" t="s">
        <v>27</v>
      </c>
      <c r="F1216" s="4">
        <v>15838.51</v>
      </c>
      <c r="G1216" s="5">
        <v>5</v>
      </c>
      <c r="H1216" t="s">
        <v>15</v>
      </c>
      <c r="I1216" t="str">
        <f t="shared" si="72"/>
        <v>2023-04</v>
      </c>
      <c r="J1216" s="4">
        <f t="shared" si="73"/>
        <v>3167.7020000000002</v>
      </c>
      <c r="K1216" t="str" cm="1">
        <f t="array" ref="K1216">_xlfn.IFS(G1216&lt;=5, "Small", G1216&lt;=15, "Medium", G1216&gt;15, "Large")</f>
        <v>Small</v>
      </c>
      <c r="L1216" t="str">
        <f t="shared" si="74"/>
        <v>Standard</v>
      </c>
      <c r="M1216" t="str">
        <f t="shared" si="75"/>
        <v>Weekend</v>
      </c>
    </row>
    <row r="1217" spans="1:13" x14ac:dyDescent="0.35">
      <c r="A1217" t="s">
        <v>1261</v>
      </c>
      <c r="B1217" s="1">
        <v>45561</v>
      </c>
      <c r="C1217" t="s">
        <v>33</v>
      </c>
      <c r="D1217" t="s">
        <v>10</v>
      </c>
      <c r="E1217" t="s">
        <v>18</v>
      </c>
      <c r="F1217" s="4">
        <v>2000.03</v>
      </c>
      <c r="G1217" s="5">
        <v>11</v>
      </c>
      <c r="H1217" t="s">
        <v>15</v>
      </c>
      <c r="I1217" t="str">
        <f t="shared" si="72"/>
        <v>2024-09</v>
      </c>
      <c r="J1217" s="4">
        <f t="shared" si="73"/>
        <v>181.82090909090908</v>
      </c>
      <c r="K1217" t="str" cm="1">
        <f t="array" ref="K1217">_xlfn.IFS(G1217&lt;=5, "Small", G1217&lt;=15, "Medium", G1217&gt;15, "Large")</f>
        <v>Medium</v>
      </c>
      <c r="L1217" t="str">
        <f t="shared" si="74"/>
        <v>Standard</v>
      </c>
      <c r="M1217" t="str">
        <f t="shared" si="75"/>
        <v>Weekday</v>
      </c>
    </row>
    <row r="1218" spans="1:13" x14ac:dyDescent="0.35">
      <c r="A1218" t="s">
        <v>1262</v>
      </c>
      <c r="B1218" s="1">
        <v>45436</v>
      </c>
      <c r="C1218" t="s">
        <v>175</v>
      </c>
      <c r="D1218" t="s">
        <v>21</v>
      </c>
      <c r="E1218" t="s">
        <v>27</v>
      </c>
      <c r="F1218" s="4">
        <v>8736.81</v>
      </c>
      <c r="G1218" s="5">
        <v>2</v>
      </c>
      <c r="H1218" t="s">
        <v>15</v>
      </c>
      <c r="I1218" t="str">
        <f t="shared" si="72"/>
        <v>2024-05</v>
      </c>
      <c r="J1218" s="4">
        <f t="shared" si="73"/>
        <v>4368.4049999999997</v>
      </c>
      <c r="K1218" t="str" cm="1">
        <f t="array" ref="K1218">_xlfn.IFS(G1218&lt;=5, "Small", G1218&lt;=15, "Medium", G1218&gt;15, "Large")</f>
        <v>Small</v>
      </c>
      <c r="L1218" t="str">
        <f t="shared" si="74"/>
        <v>Standard</v>
      </c>
      <c r="M1218" t="str">
        <f t="shared" si="75"/>
        <v>Weekday</v>
      </c>
    </row>
    <row r="1219" spans="1:13" x14ac:dyDescent="0.35">
      <c r="A1219" t="s">
        <v>1263</v>
      </c>
      <c r="B1219" s="1">
        <v>45564</v>
      </c>
      <c r="C1219" t="s">
        <v>25</v>
      </c>
      <c r="D1219" t="s">
        <v>26</v>
      </c>
      <c r="E1219" t="s">
        <v>27</v>
      </c>
      <c r="F1219" s="4">
        <v>7525</v>
      </c>
      <c r="G1219" s="5">
        <v>5</v>
      </c>
      <c r="H1219" t="s">
        <v>15</v>
      </c>
      <c r="I1219" t="str">
        <f t="shared" ref="I1219:I1282" si="76">TEXT(B1219, "YYYY-MM")</f>
        <v>2024-09</v>
      </c>
      <c r="J1219" s="4">
        <f t="shared" ref="J1219:J1282" si="77">IFERROR(F1219/G1219, 0)</f>
        <v>1505</v>
      </c>
      <c r="K1219" t="str" cm="1">
        <f t="array" ref="K1219">_xlfn.IFS(G1219&lt;=5, "Small", G1219&lt;=15, "Medium", G1219&gt;15, "Large")</f>
        <v>Small</v>
      </c>
      <c r="L1219" t="str">
        <f t="shared" ref="L1219:L1282" si="78">IF(F1219&gt;_xlfn.PERCENTILE.INC($F$2:$F$10000, 0.9), "VIP", "Standard")</f>
        <v>Standard</v>
      </c>
      <c r="M1219" t="str">
        <f t="shared" ref="M1219:M1282" si="79">IF(WEEKDAY(B1219, 2)&gt;5, "Weekend", "Weekday")</f>
        <v>Weekend</v>
      </c>
    </row>
    <row r="1220" spans="1:13" x14ac:dyDescent="0.35">
      <c r="A1220" t="s">
        <v>1264</v>
      </c>
      <c r="B1220" s="1">
        <v>45451</v>
      </c>
      <c r="C1220" t="s">
        <v>91</v>
      </c>
      <c r="D1220" t="s">
        <v>26</v>
      </c>
      <c r="E1220" t="s">
        <v>27</v>
      </c>
      <c r="F1220" s="4">
        <v>13319.49</v>
      </c>
      <c r="G1220" s="5">
        <v>5</v>
      </c>
      <c r="H1220" t="s">
        <v>15</v>
      </c>
      <c r="I1220" t="str">
        <f t="shared" si="76"/>
        <v>2024-06</v>
      </c>
      <c r="J1220" s="4">
        <f t="shared" si="77"/>
        <v>2663.8980000000001</v>
      </c>
      <c r="K1220" t="str" cm="1">
        <f t="array" ref="K1220">_xlfn.IFS(G1220&lt;=5, "Small", G1220&lt;=15, "Medium", G1220&gt;15, "Large")</f>
        <v>Small</v>
      </c>
      <c r="L1220" t="str">
        <f t="shared" si="78"/>
        <v>Standard</v>
      </c>
      <c r="M1220" t="str">
        <f t="shared" si="79"/>
        <v>Weekend</v>
      </c>
    </row>
    <row r="1221" spans="1:13" x14ac:dyDescent="0.35">
      <c r="A1221" t="s">
        <v>1265</v>
      </c>
      <c r="B1221" s="1">
        <v>45424</v>
      </c>
      <c r="C1221" t="s">
        <v>37</v>
      </c>
      <c r="D1221" t="s">
        <v>21</v>
      </c>
      <c r="E1221" t="s">
        <v>18</v>
      </c>
      <c r="F1221" s="4">
        <v>2692.13</v>
      </c>
      <c r="G1221" s="5">
        <v>5</v>
      </c>
      <c r="H1221" t="s">
        <v>15</v>
      </c>
      <c r="I1221" t="str">
        <f t="shared" si="76"/>
        <v>2024-05</v>
      </c>
      <c r="J1221" s="4">
        <f t="shared" si="77"/>
        <v>538.42600000000004</v>
      </c>
      <c r="K1221" t="str" cm="1">
        <f t="array" ref="K1221">_xlfn.IFS(G1221&lt;=5, "Small", G1221&lt;=15, "Medium", G1221&gt;15, "Large")</f>
        <v>Small</v>
      </c>
      <c r="L1221" t="str">
        <f t="shared" si="78"/>
        <v>Standard</v>
      </c>
      <c r="M1221" t="str">
        <f t="shared" si="79"/>
        <v>Weekend</v>
      </c>
    </row>
    <row r="1222" spans="1:13" x14ac:dyDescent="0.35">
      <c r="A1222" t="s">
        <v>1266</v>
      </c>
      <c r="B1222" s="1">
        <v>45007</v>
      </c>
      <c r="C1222" t="s">
        <v>253</v>
      </c>
      <c r="D1222" t="s">
        <v>21</v>
      </c>
      <c r="E1222" t="s">
        <v>18</v>
      </c>
      <c r="F1222" s="4">
        <v>996.86</v>
      </c>
      <c r="G1222" s="5">
        <v>21</v>
      </c>
      <c r="H1222" t="s">
        <v>15</v>
      </c>
      <c r="I1222" t="str">
        <f t="shared" si="76"/>
        <v>2023-03</v>
      </c>
      <c r="J1222" s="4">
        <f t="shared" si="77"/>
        <v>47.469523809523807</v>
      </c>
      <c r="K1222" t="str" cm="1">
        <f t="array" ref="K1222">_xlfn.IFS(G1222&lt;=5, "Small", G1222&lt;=15, "Medium", G1222&gt;15, "Large")</f>
        <v>Large</v>
      </c>
      <c r="L1222" t="str">
        <f t="shared" si="78"/>
        <v>Standard</v>
      </c>
      <c r="M1222" t="str">
        <f t="shared" si="79"/>
        <v>Weekday</v>
      </c>
    </row>
    <row r="1223" spans="1:13" x14ac:dyDescent="0.35">
      <c r="A1223" t="s">
        <v>1267</v>
      </c>
      <c r="B1223" s="1">
        <v>45211</v>
      </c>
      <c r="C1223" t="s">
        <v>82</v>
      </c>
      <c r="D1223" t="s">
        <v>10</v>
      </c>
      <c r="E1223" t="s">
        <v>27</v>
      </c>
      <c r="F1223" s="4">
        <v>38597.1</v>
      </c>
      <c r="G1223" s="5">
        <v>5</v>
      </c>
      <c r="H1223" t="s">
        <v>15</v>
      </c>
      <c r="I1223" t="str">
        <f t="shared" si="76"/>
        <v>2023-10</v>
      </c>
      <c r="J1223" s="4">
        <f t="shared" si="77"/>
        <v>7719.42</v>
      </c>
      <c r="K1223" t="str" cm="1">
        <f t="array" ref="K1223">_xlfn.IFS(G1223&lt;=5, "Small", G1223&lt;=15, "Medium", G1223&gt;15, "Large")</f>
        <v>Small</v>
      </c>
      <c r="L1223" t="str">
        <f t="shared" si="78"/>
        <v>VIP</v>
      </c>
      <c r="M1223" t="str">
        <f t="shared" si="79"/>
        <v>Weekday</v>
      </c>
    </row>
    <row r="1224" spans="1:13" x14ac:dyDescent="0.35">
      <c r="A1224" t="s">
        <v>1268</v>
      </c>
      <c r="B1224" s="1">
        <v>45466</v>
      </c>
      <c r="C1224" t="s">
        <v>50</v>
      </c>
      <c r="D1224" t="s">
        <v>26</v>
      </c>
      <c r="E1224" t="s">
        <v>18</v>
      </c>
      <c r="F1224" s="4">
        <v>239</v>
      </c>
      <c r="G1224" s="5">
        <v>7</v>
      </c>
      <c r="H1224" t="s">
        <v>15</v>
      </c>
      <c r="I1224" t="str">
        <f t="shared" si="76"/>
        <v>2024-06</v>
      </c>
      <c r="J1224" s="4">
        <f t="shared" si="77"/>
        <v>34.142857142857146</v>
      </c>
      <c r="K1224" t="str" cm="1">
        <f t="array" ref="K1224">_xlfn.IFS(G1224&lt;=5, "Small", G1224&lt;=15, "Medium", G1224&gt;15, "Large")</f>
        <v>Medium</v>
      </c>
      <c r="L1224" t="str">
        <f t="shared" si="78"/>
        <v>Standard</v>
      </c>
      <c r="M1224" t="str">
        <f t="shared" si="79"/>
        <v>Weekend</v>
      </c>
    </row>
    <row r="1225" spans="1:13" x14ac:dyDescent="0.35">
      <c r="A1225" t="s">
        <v>1269</v>
      </c>
      <c r="B1225" s="1">
        <v>45175</v>
      </c>
      <c r="C1225" t="s">
        <v>37</v>
      </c>
      <c r="D1225" t="s">
        <v>21</v>
      </c>
      <c r="E1225" t="s">
        <v>11</v>
      </c>
      <c r="F1225" s="4">
        <v>6024.39</v>
      </c>
      <c r="G1225" s="5">
        <v>2</v>
      </c>
      <c r="H1225" t="s">
        <v>15</v>
      </c>
      <c r="I1225" t="str">
        <f t="shared" si="76"/>
        <v>2023-09</v>
      </c>
      <c r="J1225" s="4">
        <f t="shared" si="77"/>
        <v>3012.1950000000002</v>
      </c>
      <c r="K1225" t="str" cm="1">
        <f t="array" ref="K1225">_xlfn.IFS(G1225&lt;=5, "Small", G1225&lt;=15, "Medium", G1225&gt;15, "Large")</f>
        <v>Small</v>
      </c>
      <c r="L1225" t="str">
        <f t="shared" si="78"/>
        <v>Standard</v>
      </c>
      <c r="M1225" t="str">
        <f t="shared" si="79"/>
        <v>Weekday</v>
      </c>
    </row>
    <row r="1226" spans="1:13" x14ac:dyDescent="0.35">
      <c r="A1226" t="s">
        <v>1270</v>
      </c>
      <c r="B1226" s="1">
        <v>45320</v>
      </c>
      <c r="C1226" t="s">
        <v>84</v>
      </c>
      <c r="D1226" t="s">
        <v>26</v>
      </c>
      <c r="E1226" t="s">
        <v>27</v>
      </c>
      <c r="F1226" s="4">
        <v>13550.41</v>
      </c>
      <c r="G1226" s="5">
        <v>2</v>
      </c>
      <c r="H1226" t="s">
        <v>15</v>
      </c>
      <c r="I1226" t="str">
        <f t="shared" si="76"/>
        <v>2024-01</v>
      </c>
      <c r="J1226" s="4">
        <f t="shared" si="77"/>
        <v>6775.2049999999999</v>
      </c>
      <c r="K1226" t="str" cm="1">
        <f t="array" ref="K1226">_xlfn.IFS(G1226&lt;=5, "Small", G1226&lt;=15, "Medium", G1226&gt;15, "Large")</f>
        <v>Small</v>
      </c>
      <c r="L1226" t="str">
        <f t="shared" si="78"/>
        <v>Standard</v>
      </c>
      <c r="M1226" t="str">
        <f t="shared" si="79"/>
        <v>Weekday</v>
      </c>
    </row>
    <row r="1227" spans="1:13" x14ac:dyDescent="0.35">
      <c r="A1227" t="s">
        <v>1271</v>
      </c>
      <c r="B1227" s="1">
        <v>45589</v>
      </c>
      <c r="C1227" t="s">
        <v>53</v>
      </c>
      <c r="D1227" t="s">
        <v>31</v>
      </c>
      <c r="E1227" t="s">
        <v>18</v>
      </c>
      <c r="F1227" s="4">
        <v>1702.66</v>
      </c>
      <c r="G1227" s="5">
        <v>3</v>
      </c>
      <c r="H1227" t="s">
        <v>15</v>
      </c>
      <c r="I1227" t="str">
        <f t="shared" si="76"/>
        <v>2024-10</v>
      </c>
      <c r="J1227" s="4">
        <f t="shared" si="77"/>
        <v>567.5533333333334</v>
      </c>
      <c r="K1227" t="str" cm="1">
        <f t="array" ref="K1227">_xlfn.IFS(G1227&lt;=5, "Small", G1227&lt;=15, "Medium", G1227&gt;15, "Large")</f>
        <v>Small</v>
      </c>
      <c r="L1227" t="str">
        <f t="shared" si="78"/>
        <v>Standard</v>
      </c>
      <c r="M1227" t="str">
        <f t="shared" si="79"/>
        <v>Weekday</v>
      </c>
    </row>
    <row r="1228" spans="1:13" x14ac:dyDescent="0.35">
      <c r="A1228" t="s">
        <v>1272</v>
      </c>
      <c r="B1228" s="1">
        <v>45512</v>
      </c>
      <c r="C1228" t="s">
        <v>126</v>
      </c>
      <c r="D1228" t="s">
        <v>21</v>
      </c>
      <c r="E1228" t="s">
        <v>27</v>
      </c>
      <c r="F1228" s="4">
        <v>32348.55</v>
      </c>
      <c r="G1228" s="5">
        <v>5</v>
      </c>
      <c r="H1228" t="s">
        <v>15</v>
      </c>
      <c r="I1228" t="str">
        <f t="shared" si="76"/>
        <v>2024-08</v>
      </c>
      <c r="J1228" s="4">
        <f t="shared" si="77"/>
        <v>6469.71</v>
      </c>
      <c r="K1228" t="str" cm="1">
        <f t="array" ref="K1228">_xlfn.IFS(G1228&lt;=5, "Small", G1228&lt;=15, "Medium", G1228&gt;15, "Large")</f>
        <v>Small</v>
      </c>
      <c r="L1228" t="str">
        <f t="shared" si="78"/>
        <v>VIP</v>
      </c>
      <c r="M1228" t="str">
        <f t="shared" si="79"/>
        <v>Weekday</v>
      </c>
    </row>
    <row r="1229" spans="1:13" x14ac:dyDescent="0.35">
      <c r="A1229" t="s">
        <v>1273</v>
      </c>
      <c r="B1229" s="1">
        <v>45597</v>
      </c>
      <c r="C1229" t="s">
        <v>115</v>
      </c>
      <c r="D1229" t="s">
        <v>31</v>
      </c>
      <c r="E1229" t="s">
        <v>11</v>
      </c>
      <c r="F1229" s="4">
        <v>11331.69</v>
      </c>
      <c r="G1229" s="5">
        <v>7</v>
      </c>
      <c r="H1229" t="s">
        <v>15</v>
      </c>
      <c r="I1229" t="str">
        <f t="shared" si="76"/>
        <v>2024-11</v>
      </c>
      <c r="J1229" s="4">
        <f t="shared" si="77"/>
        <v>1618.8128571428572</v>
      </c>
      <c r="K1229" t="str" cm="1">
        <f t="array" ref="K1229">_xlfn.IFS(G1229&lt;=5, "Small", G1229&lt;=15, "Medium", G1229&gt;15, "Large")</f>
        <v>Medium</v>
      </c>
      <c r="L1229" t="str">
        <f t="shared" si="78"/>
        <v>Standard</v>
      </c>
      <c r="M1229" t="str">
        <f t="shared" si="79"/>
        <v>Weekday</v>
      </c>
    </row>
    <row r="1230" spans="1:13" x14ac:dyDescent="0.35">
      <c r="A1230" t="s">
        <v>1274</v>
      </c>
      <c r="B1230" s="1">
        <v>45437</v>
      </c>
      <c r="C1230" t="s">
        <v>50</v>
      </c>
      <c r="D1230" t="s">
        <v>26</v>
      </c>
      <c r="E1230" t="s">
        <v>27</v>
      </c>
      <c r="F1230" s="4">
        <v>42579.29</v>
      </c>
      <c r="G1230" s="5">
        <v>5</v>
      </c>
      <c r="H1230" t="s">
        <v>15</v>
      </c>
      <c r="I1230" t="str">
        <f t="shared" si="76"/>
        <v>2024-05</v>
      </c>
      <c r="J1230" s="4">
        <f t="shared" si="77"/>
        <v>8515.8580000000002</v>
      </c>
      <c r="K1230" t="str" cm="1">
        <f t="array" ref="K1230">_xlfn.IFS(G1230&lt;=5, "Small", G1230&lt;=15, "Medium", G1230&gt;15, "Large")</f>
        <v>Small</v>
      </c>
      <c r="L1230" t="str">
        <f t="shared" si="78"/>
        <v>VIP</v>
      </c>
      <c r="M1230" t="str">
        <f t="shared" si="79"/>
        <v>Weekend</v>
      </c>
    </row>
    <row r="1231" spans="1:13" x14ac:dyDescent="0.35">
      <c r="A1231" t="s">
        <v>1275</v>
      </c>
      <c r="B1231" s="1">
        <v>45384</v>
      </c>
      <c r="C1231" t="s">
        <v>48</v>
      </c>
      <c r="D1231" t="s">
        <v>31</v>
      </c>
      <c r="E1231" t="s">
        <v>11</v>
      </c>
      <c r="F1231" s="4">
        <v>10068.94</v>
      </c>
      <c r="G1231" s="5">
        <v>7</v>
      </c>
      <c r="H1231" t="s">
        <v>15</v>
      </c>
      <c r="I1231" t="str">
        <f t="shared" si="76"/>
        <v>2024-04</v>
      </c>
      <c r="J1231" s="4">
        <f t="shared" si="77"/>
        <v>1438.42</v>
      </c>
      <c r="K1231" t="str" cm="1">
        <f t="array" ref="K1231">_xlfn.IFS(G1231&lt;=5, "Small", G1231&lt;=15, "Medium", G1231&gt;15, "Large")</f>
        <v>Medium</v>
      </c>
      <c r="L1231" t="str">
        <f t="shared" si="78"/>
        <v>Standard</v>
      </c>
      <c r="M1231" t="str">
        <f t="shared" si="79"/>
        <v>Weekday</v>
      </c>
    </row>
    <row r="1232" spans="1:13" x14ac:dyDescent="0.35">
      <c r="A1232" t="s">
        <v>1276</v>
      </c>
      <c r="B1232" s="1">
        <v>45007</v>
      </c>
      <c r="C1232" t="s">
        <v>45</v>
      </c>
      <c r="D1232" t="s">
        <v>21</v>
      </c>
      <c r="E1232" t="s">
        <v>11</v>
      </c>
      <c r="F1232" s="4">
        <v>1250.43</v>
      </c>
      <c r="G1232" s="5">
        <v>7</v>
      </c>
      <c r="H1232" t="s">
        <v>15</v>
      </c>
      <c r="I1232" t="str">
        <f t="shared" si="76"/>
        <v>2023-03</v>
      </c>
      <c r="J1232" s="4">
        <f t="shared" si="77"/>
        <v>178.63285714285715</v>
      </c>
      <c r="K1232" t="str" cm="1">
        <f t="array" ref="K1232">_xlfn.IFS(G1232&lt;=5, "Small", G1232&lt;=15, "Medium", G1232&gt;15, "Large")</f>
        <v>Medium</v>
      </c>
      <c r="L1232" t="str">
        <f t="shared" si="78"/>
        <v>Standard</v>
      </c>
      <c r="M1232" t="str">
        <f t="shared" si="79"/>
        <v>Weekday</v>
      </c>
    </row>
    <row r="1233" spans="1:13" x14ac:dyDescent="0.35">
      <c r="A1233" t="s">
        <v>1277</v>
      </c>
      <c r="B1233" s="1">
        <v>45349</v>
      </c>
      <c r="C1233" t="s">
        <v>40</v>
      </c>
      <c r="D1233" t="s">
        <v>26</v>
      </c>
      <c r="E1233" t="s">
        <v>11</v>
      </c>
      <c r="F1233" s="4">
        <v>11068.92</v>
      </c>
      <c r="G1233" s="5">
        <v>4</v>
      </c>
      <c r="H1233" t="s">
        <v>15</v>
      </c>
      <c r="I1233" t="str">
        <f t="shared" si="76"/>
        <v>2024-02</v>
      </c>
      <c r="J1233" s="4">
        <f t="shared" si="77"/>
        <v>2767.23</v>
      </c>
      <c r="K1233" t="str" cm="1">
        <f t="array" ref="K1233">_xlfn.IFS(G1233&lt;=5, "Small", G1233&lt;=15, "Medium", G1233&gt;15, "Large")</f>
        <v>Small</v>
      </c>
      <c r="L1233" t="str">
        <f t="shared" si="78"/>
        <v>Standard</v>
      </c>
      <c r="M1233" t="str">
        <f t="shared" si="79"/>
        <v>Weekday</v>
      </c>
    </row>
    <row r="1234" spans="1:13" x14ac:dyDescent="0.35">
      <c r="A1234" t="s">
        <v>1278</v>
      </c>
      <c r="B1234" s="1">
        <v>45452</v>
      </c>
      <c r="C1234" t="s">
        <v>25</v>
      </c>
      <c r="D1234" t="s">
        <v>26</v>
      </c>
      <c r="E1234" t="s">
        <v>18</v>
      </c>
      <c r="F1234" s="4">
        <v>1669.74</v>
      </c>
      <c r="G1234" s="5">
        <v>27</v>
      </c>
      <c r="H1234" t="s">
        <v>15</v>
      </c>
      <c r="I1234" t="str">
        <f t="shared" si="76"/>
        <v>2024-06</v>
      </c>
      <c r="J1234" s="4">
        <f t="shared" si="77"/>
        <v>61.842222222222226</v>
      </c>
      <c r="K1234" t="str" cm="1">
        <f t="array" ref="K1234">_xlfn.IFS(G1234&lt;=5, "Small", G1234&lt;=15, "Medium", G1234&gt;15, "Large")</f>
        <v>Large</v>
      </c>
      <c r="L1234" t="str">
        <f t="shared" si="78"/>
        <v>Standard</v>
      </c>
      <c r="M1234" t="str">
        <f t="shared" si="79"/>
        <v>Weekend</v>
      </c>
    </row>
    <row r="1235" spans="1:13" x14ac:dyDescent="0.35">
      <c r="A1235" t="s">
        <v>1279</v>
      </c>
      <c r="B1235" s="1">
        <v>45083</v>
      </c>
      <c r="C1235" t="s">
        <v>64</v>
      </c>
      <c r="D1235" t="s">
        <v>10</v>
      </c>
      <c r="E1235" t="s">
        <v>18</v>
      </c>
      <c r="F1235" s="4">
        <v>1339.01</v>
      </c>
      <c r="G1235" s="5">
        <v>23</v>
      </c>
      <c r="H1235" t="s">
        <v>15</v>
      </c>
      <c r="I1235" t="str">
        <f t="shared" si="76"/>
        <v>2023-06</v>
      </c>
      <c r="J1235" s="4">
        <f t="shared" si="77"/>
        <v>58.217826086956521</v>
      </c>
      <c r="K1235" t="str" cm="1">
        <f t="array" ref="K1235">_xlfn.IFS(G1235&lt;=5, "Small", G1235&lt;=15, "Medium", G1235&gt;15, "Large")</f>
        <v>Large</v>
      </c>
      <c r="L1235" t="str">
        <f t="shared" si="78"/>
        <v>Standard</v>
      </c>
      <c r="M1235" t="str">
        <f t="shared" si="79"/>
        <v>Weekday</v>
      </c>
    </row>
    <row r="1236" spans="1:13" x14ac:dyDescent="0.35">
      <c r="A1236" t="s">
        <v>1280</v>
      </c>
      <c r="B1236" s="1">
        <v>45482</v>
      </c>
      <c r="C1236" t="s">
        <v>175</v>
      </c>
      <c r="D1236" t="s">
        <v>21</v>
      </c>
      <c r="E1236" t="s">
        <v>11</v>
      </c>
      <c r="F1236" s="4">
        <v>0</v>
      </c>
      <c r="G1236" s="5">
        <v>7</v>
      </c>
      <c r="H1236" t="s">
        <v>28</v>
      </c>
      <c r="I1236" t="str">
        <f t="shared" si="76"/>
        <v>2024-07</v>
      </c>
      <c r="J1236" s="4">
        <f t="shared" si="77"/>
        <v>0</v>
      </c>
      <c r="K1236" t="str" cm="1">
        <f t="array" ref="K1236">_xlfn.IFS(G1236&lt;=5, "Small", G1236&lt;=15, "Medium", G1236&gt;15, "Large")</f>
        <v>Medium</v>
      </c>
      <c r="L1236" t="str">
        <f t="shared" si="78"/>
        <v>Standard</v>
      </c>
      <c r="M1236" t="str">
        <f t="shared" si="79"/>
        <v>Weekday</v>
      </c>
    </row>
    <row r="1237" spans="1:13" x14ac:dyDescent="0.35">
      <c r="A1237" t="s">
        <v>1229</v>
      </c>
      <c r="B1237" s="1">
        <v>45411</v>
      </c>
      <c r="C1237" t="s">
        <v>91</v>
      </c>
      <c r="D1237" t="s">
        <v>26</v>
      </c>
      <c r="E1237" t="s">
        <v>27</v>
      </c>
      <c r="F1237" s="4">
        <v>0</v>
      </c>
      <c r="G1237" s="5">
        <v>3</v>
      </c>
      <c r="H1237" t="s">
        <v>12</v>
      </c>
      <c r="I1237" t="str">
        <f t="shared" si="76"/>
        <v>2024-04</v>
      </c>
      <c r="J1237" s="4">
        <f t="shared" si="77"/>
        <v>0</v>
      </c>
      <c r="K1237" t="str" cm="1">
        <f t="array" ref="K1237">_xlfn.IFS(G1237&lt;=5, "Small", G1237&lt;=15, "Medium", G1237&gt;15, "Large")</f>
        <v>Small</v>
      </c>
      <c r="L1237" t="str">
        <f t="shared" si="78"/>
        <v>Standard</v>
      </c>
      <c r="M1237" t="str">
        <f t="shared" si="79"/>
        <v>Weekday</v>
      </c>
    </row>
    <row r="1238" spans="1:13" x14ac:dyDescent="0.35">
      <c r="A1238" t="s">
        <v>1281</v>
      </c>
      <c r="B1238" s="1">
        <v>45036</v>
      </c>
      <c r="C1238" t="s">
        <v>89</v>
      </c>
      <c r="D1238" t="s">
        <v>21</v>
      </c>
      <c r="E1238" t="s">
        <v>18</v>
      </c>
      <c r="F1238" s="4">
        <v>692.24</v>
      </c>
      <c r="G1238" s="5">
        <v>12</v>
      </c>
      <c r="H1238" t="s">
        <v>15</v>
      </c>
      <c r="I1238" t="str">
        <f t="shared" si="76"/>
        <v>2023-04</v>
      </c>
      <c r="J1238" s="4">
        <f t="shared" si="77"/>
        <v>57.686666666666667</v>
      </c>
      <c r="K1238" t="str" cm="1">
        <f t="array" ref="K1238">_xlfn.IFS(G1238&lt;=5, "Small", G1238&lt;=15, "Medium", G1238&gt;15, "Large")</f>
        <v>Medium</v>
      </c>
      <c r="L1238" t="str">
        <f t="shared" si="78"/>
        <v>Standard</v>
      </c>
      <c r="M1238" t="str">
        <f t="shared" si="79"/>
        <v>Weekday</v>
      </c>
    </row>
    <row r="1239" spans="1:13" x14ac:dyDescent="0.35">
      <c r="A1239" t="s">
        <v>1282</v>
      </c>
      <c r="B1239" s="1">
        <v>45584</v>
      </c>
      <c r="C1239" t="s">
        <v>72</v>
      </c>
      <c r="D1239" t="s">
        <v>26</v>
      </c>
      <c r="E1239" t="s">
        <v>27</v>
      </c>
      <c r="F1239" s="4">
        <v>0</v>
      </c>
      <c r="G1239" s="5">
        <v>1</v>
      </c>
      <c r="H1239" t="s">
        <v>12</v>
      </c>
      <c r="I1239" t="str">
        <f t="shared" si="76"/>
        <v>2024-10</v>
      </c>
      <c r="J1239" s="4">
        <f t="shared" si="77"/>
        <v>0</v>
      </c>
      <c r="K1239" t="str" cm="1">
        <f t="array" ref="K1239">_xlfn.IFS(G1239&lt;=5, "Small", G1239&lt;=15, "Medium", G1239&gt;15, "Large")</f>
        <v>Small</v>
      </c>
      <c r="L1239" t="str">
        <f t="shared" si="78"/>
        <v>Standard</v>
      </c>
      <c r="M1239" t="str">
        <f t="shared" si="79"/>
        <v>Weekend</v>
      </c>
    </row>
    <row r="1240" spans="1:13" x14ac:dyDescent="0.35">
      <c r="A1240" t="s">
        <v>1283</v>
      </c>
      <c r="B1240" s="1">
        <v>45002</v>
      </c>
      <c r="C1240" t="s">
        <v>58</v>
      </c>
      <c r="D1240" t="s">
        <v>31</v>
      </c>
      <c r="E1240" t="s">
        <v>27</v>
      </c>
      <c r="F1240" s="4">
        <v>40159.61</v>
      </c>
      <c r="G1240" s="5">
        <v>2</v>
      </c>
      <c r="H1240" t="s">
        <v>15</v>
      </c>
      <c r="I1240" t="str">
        <f t="shared" si="76"/>
        <v>2023-03</v>
      </c>
      <c r="J1240" s="4">
        <f t="shared" si="77"/>
        <v>20079.805</v>
      </c>
      <c r="K1240" t="str" cm="1">
        <f t="array" ref="K1240">_xlfn.IFS(G1240&lt;=5, "Small", G1240&lt;=15, "Medium", G1240&gt;15, "Large")</f>
        <v>Small</v>
      </c>
      <c r="L1240" t="str">
        <f t="shared" si="78"/>
        <v>VIP</v>
      </c>
      <c r="M1240" t="str">
        <f t="shared" si="79"/>
        <v>Weekday</v>
      </c>
    </row>
    <row r="1241" spans="1:13" x14ac:dyDescent="0.35">
      <c r="A1241" t="s">
        <v>1284</v>
      </c>
      <c r="B1241" s="1">
        <v>45120</v>
      </c>
      <c r="C1241" t="s">
        <v>115</v>
      </c>
      <c r="D1241" t="s">
        <v>10</v>
      </c>
      <c r="E1241" t="s">
        <v>27</v>
      </c>
      <c r="F1241" s="4">
        <v>0</v>
      </c>
      <c r="G1241" s="5">
        <v>2</v>
      </c>
      <c r="H1241" t="s">
        <v>28</v>
      </c>
      <c r="I1241" t="str">
        <f t="shared" si="76"/>
        <v>2023-07</v>
      </c>
      <c r="J1241" s="4">
        <f t="shared" si="77"/>
        <v>0</v>
      </c>
      <c r="K1241" t="str" cm="1">
        <f t="array" ref="K1241">_xlfn.IFS(G1241&lt;=5, "Small", G1241&lt;=15, "Medium", G1241&gt;15, "Large")</f>
        <v>Small</v>
      </c>
      <c r="L1241" t="str">
        <f t="shared" si="78"/>
        <v>Standard</v>
      </c>
      <c r="M1241" t="str">
        <f t="shared" si="79"/>
        <v>Weekday</v>
      </c>
    </row>
    <row r="1242" spans="1:13" x14ac:dyDescent="0.35">
      <c r="A1242" t="s">
        <v>1285</v>
      </c>
      <c r="B1242" s="1">
        <v>45571</v>
      </c>
      <c r="C1242" t="s">
        <v>55</v>
      </c>
      <c r="D1242" t="s">
        <v>10</v>
      </c>
      <c r="E1242" t="s">
        <v>18</v>
      </c>
      <c r="F1242" s="4">
        <v>2277.2199999999998</v>
      </c>
      <c r="G1242" s="5">
        <v>23</v>
      </c>
      <c r="H1242" t="s">
        <v>15</v>
      </c>
      <c r="I1242" t="str">
        <f t="shared" si="76"/>
        <v>2024-10</v>
      </c>
      <c r="J1242" s="4">
        <f t="shared" si="77"/>
        <v>99.009565217391298</v>
      </c>
      <c r="K1242" t="str" cm="1">
        <f t="array" ref="K1242">_xlfn.IFS(G1242&lt;=5, "Small", G1242&lt;=15, "Medium", G1242&gt;15, "Large")</f>
        <v>Large</v>
      </c>
      <c r="L1242" t="str">
        <f t="shared" si="78"/>
        <v>Standard</v>
      </c>
      <c r="M1242" t="str">
        <f t="shared" si="79"/>
        <v>Weekend</v>
      </c>
    </row>
    <row r="1243" spans="1:13" x14ac:dyDescent="0.35">
      <c r="A1243" t="s">
        <v>1286</v>
      </c>
      <c r="B1243" s="1">
        <v>44942</v>
      </c>
      <c r="C1243" t="s">
        <v>14</v>
      </c>
      <c r="D1243" t="s">
        <v>10</v>
      </c>
      <c r="E1243" t="s">
        <v>18</v>
      </c>
      <c r="F1243" s="4">
        <v>454.74</v>
      </c>
      <c r="G1243" s="5">
        <v>25</v>
      </c>
      <c r="H1243" t="s">
        <v>15</v>
      </c>
      <c r="I1243" t="str">
        <f t="shared" si="76"/>
        <v>2023-01</v>
      </c>
      <c r="J1243" s="4">
        <f t="shared" si="77"/>
        <v>18.189599999999999</v>
      </c>
      <c r="K1243" t="str" cm="1">
        <f t="array" ref="K1243">_xlfn.IFS(G1243&lt;=5, "Small", G1243&lt;=15, "Medium", G1243&gt;15, "Large")</f>
        <v>Large</v>
      </c>
      <c r="L1243" t="str">
        <f t="shared" si="78"/>
        <v>Standard</v>
      </c>
      <c r="M1243" t="str">
        <f t="shared" si="79"/>
        <v>Weekday</v>
      </c>
    </row>
    <row r="1244" spans="1:13" x14ac:dyDescent="0.35">
      <c r="A1244" t="s">
        <v>1287</v>
      </c>
      <c r="B1244" s="1">
        <v>45114</v>
      </c>
      <c r="C1244" t="s">
        <v>60</v>
      </c>
      <c r="D1244" t="s">
        <v>21</v>
      </c>
      <c r="E1244" t="s">
        <v>11</v>
      </c>
      <c r="F1244" s="4">
        <v>8100.93</v>
      </c>
      <c r="G1244" s="5">
        <v>2</v>
      </c>
      <c r="H1244" t="s">
        <v>15</v>
      </c>
      <c r="I1244" t="str">
        <f t="shared" si="76"/>
        <v>2023-07</v>
      </c>
      <c r="J1244" s="4">
        <f t="shared" si="77"/>
        <v>4050.4650000000001</v>
      </c>
      <c r="K1244" t="str" cm="1">
        <f t="array" ref="K1244">_xlfn.IFS(G1244&lt;=5, "Small", G1244&lt;=15, "Medium", G1244&gt;15, "Large")</f>
        <v>Small</v>
      </c>
      <c r="L1244" t="str">
        <f t="shared" si="78"/>
        <v>Standard</v>
      </c>
      <c r="M1244" t="str">
        <f t="shared" si="79"/>
        <v>Weekday</v>
      </c>
    </row>
    <row r="1245" spans="1:13" x14ac:dyDescent="0.35">
      <c r="A1245" t="s">
        <v>1288</v>
      </c>
      <c r="B1245" s="1">
        <v>45410</v>
      </c>
      <c r="C1245" t="s">
        <v>37</v>
      </c>
      <c r="D1245" t="s">
        <v>21</v>
      </c>
      <c r="E1245" t="s">
        <v>18</v>
      </c>
      <c r="F1245" s="4">
        <v>2803.44</v>
      </c>
      <c r="G1245" s="5">
        <v>10</v>
      </c>
      <c r="H1245" t="s">
        <v>15</v>
      </c>
      <c r="I1245" t="str">
        <f t="shared" si="76"/>
        <v>2024-04</v>
      </c>
      <c r="J1245" s="4">
        <f t="shared" si="77"/>
        <v>280.34399999999999</v>
      </c>
      <c r="K1245" t="str" cm="1">
        <f t="array" ref="K1245">_xlfn.IFS(G1245&lt;=5, "Small", G1245&lt;=15, "Medium", G1245&gt;15, "Large")</f>
        <v>Medium</v>
      </c>
      <c r="L1245" t="str">
        <f t="shared" si="78"/>
        <v>Standard</v>
      </c>
      <c r="M1245" t="str">
        <f t="shared" si="79"/>
        <v>Weekend</v>
      </c>
    </row>
    <row r="1246" spans="1:13" x14ac:dyDescent="0.35">
      <c r="A1246" t="s">
        <v>1289</v>
      </c>
      <c r="B1246" s="1">
        <v>45504</v>
      </c>
      <c r="C1246" t="s">
        <v>45</v>
      </c>
      <c r="D1246" t="s">
        <v>21</v>
      </c>
      <c r="E1246" t="s">
        <v>11</v>
      </c>
      <c r="F1246" s="4">
        <v>14841.75</v>
      </c>
      <c r="G1246" s="5">
        <v>6</v>
      </c>
      <c r="H1246" t="s">
        <v>15</v>
      </c>
      <c r="I1246" t="str">
        <f t="shared" si="76"/>
        <v>2024-07</v>
      </c>
      <c r="J1246" s="4">
        <f t="shared" si="77"/>
        <v>2473.625</v>
      </c>
      <c r="K1246" t="str" cm="1">
        <f t="array" ref="K1246">_xlfn.IFS(G1246&lt;=5, "Small", G1246&lt;=15, "Medium", G1246&gt;15, "Large")</f>
        <v>Medium</v>
      </c>
      <c r="L1246" t="str">
        <f t="shared" si="78"/>
        <v>Standard</v>
      </c>
      <c r="M1246" t="str">
        <f t="shared" si="79"/>
        <v>Weekday</v>
      </c>
    </row>
    <row r="1247" spans="1:13" x14ac:dyDescent="0.35">
      <c r="A1247" t="s">
        <v>1290</v>
      </c>
      <c r="B1247" s="1">
        <v>45343</v>
      </c>
      <c r="C1247" t="s">
        <v>14</v>
      </c>
      <c r="D1247" t="s">
        <v>10</v>
      </c>
      <c r="E1247" t="s">
        <v>11</v>
      </c>
      <c r="F1247" s="4">
        <v>4531.3999999999996</v>
      </c>
      <c r="G1247" s="5">
        <v>2</v>
      </c>
      <c r="H1247" t="s">
        <v>15</v>
      </c>
      <c r="I1247" t="str">
        <f t="shared" si="76"/>
        <v>2024-02</v>
      </c>
      <c r="J1247" s="4">
        <f t="shared" si="77"/>
        <v>2265.6999999999998</v>
      </c>
      <c r="K1247" t="str" cm="1">
        <f t="array" ref="K1247">_xlfn.IFS(G1247&lt;=5, "Small", G1247&lt;=15, "Medium", G1247&gt;15, "Large")</f>
        <v>Small</v>
      </c>
      <c r="L1247" t="str">
        <f t="shared" si="78"/>
        <v>Standard</v>
      </c>
      <c r="M1247" t="str">
        <f t="shared" si="79"/>
        <v>Weekday</v>
      </c>
    </row>
    <row r="1248" spans="1:13" x14ac:dyDescent="0.35">
      <c r="A1248" t="s">
        <v>404</v>
      </c>
      <c r="B1248" s="1">
        <v>45352</v>
      </c>
      <c r="C1248" t="s">
        <v>30</v>
      </c>
      <c r="D1248" t="s">
        <v>31</v>
      </c>
      <c r="E1248" t="s">
        <v>11</v>
      </c>
      <c r="F1248" s="4">
        <v>12072.41</v>
      </c>
      <c r="G1248" s="5">
        <v>6</v>
      </c>
      <c r="H1248" t="s">
        <v>15</v>
      </c>
      <c r="I1248" t="str">
        <f t="shared" si="76"/>
        <v>2024-03</v>
      </c>
      <c r="J1248" s="4">
        <f t="shared" si="77"/>
        <v>2012.0683333333334</v>
      </c>
      <c r="K1248" t="str" cm="1">
        <f t="array" ref="K1248">_xlfn.IFS(G1248&lt;=5, "Small", G1248&lt;=15, "Medium", G1248&gt;15, "Large")</f>
        <v>Medium</v>
      </c>
      <c r="L1248" t="str">
        <f t="shared" si="78"/>
        <v>Standard</v>
      </c>
      <c r="M1248" t="str">
        <f t="shared" si="79"/>
        <v>Weekday</v>
      </c>
    </row>
    <row r="1249" spans="1:13" x14ac:dyDescent="0.35">
      <c r="A1249" t="s">
        <v>1291</v>
      </c>
      <c r="B1249" s="1">
        <v>45514</v>
      </c>
      <c r="C1249" t="s">
        <v>58</v>
      </c>
      <c r="D1249" t="s">
        <v>31</v>
      </c>
      <c r="E1249" t="s">
        <v>27</v>
      </c>
      <c r="F1249" s="4">
        <v>22680.13</v>
      </c>
      <c r="G1249" s="5">
        <v>4</v>
      </c>
      <c r="H1249" t="s">
        <v>15</v>
      </c>
      <c r="I1249" t="str">
        <f t="shared" si="76"/>
        <v>2024-08</v>
      </c>
      <c r="J1249" s="4">
        <f t="shared" si="77"/>
        <v>5670.0325000000003</v>
      </c>
      <c r="K1249" t="str" cm="1">
        <f t="array" ref="K1249">_xlfn.IFS(G1249&lt;=5, "Small", G1249&lt;=15, "Medium", G1249&gt;15, "Large")</f>
        <v>Small</v>
      </c>
      <c r="L1249" t="str">
        <f t="shared" si="78"/>
        <v>Standard</v>
      </c>
      <c r="M1249" t="str">
        <f t="shared" si="79"/>
        <v>Weekend</v>
      </c>
    </row>
    <row r="1250" spans="1:13" x14ac:dyDescent="0.35">
      <c r="A1250" t="s">
        <v>1292</v>
      </c>
      <c r="B1250" s="1">
        <v>44980</v>
      </c>
      <c r="C1250" t="s">
        <v>53</v>
      </c>
      <c r="D1250" t="s">
        <v>31</v>
      </c>
      <c r="E1250" t="s">
        <v>11</v>
      </c>
      <c r="F1250" s="4">
        <v>1996.2</v>
      </c>
      <c r="G1250" s="5">
        <v>7</v>
      </c>
      <c r="H1250" t="s">
        <v>15</v>
      </c>
      <c r="I1250" t="str">
        <f t="shared" si="76"/>
        <v>2023-02</v>
      </c>
      <c r="J1250" s="4">
        <f t="shared" si="77"/>
        <v>285.17142857142858</v>
      </c>
      <c r="K1250" t="str" cm="1">
        <f t="array" ref="K1250">_xlfn.IFS(G1250&lt;=5, "Small", G1250&lt;=15, "Medium", G1250&gt;15, "Large")</f>
        <v>Medium</v>
      </c>
      <c r="L1250" t="str">
        <f t="shared" si="78"/>
        <v>Standard</v>
      </c>
      <c r="M1250" t="str">
        <f t="shared" si="79"/>
        <v>Weekday</v>
      </c>
    </row>
    <row r="1251" spans="1:13" x14ac:dyDescent="0.35">
      <c r="A1251" t="s">
        <v>1293</v>
      </c>
      <c r="B1251" s="1">
        <v>45200</v>
      </c>
      <c r="C1251" t="s">
        <v>35</v>
      </c>
      <c r="D1251" t="s">
        <v>31</v>
      </c>
      <c r="E1251" t="s">
        <v>11</v>
      </c>
      <c r="F1251" s="4">
        <v>0</v>
      </c>
      <c r="G1251" s="5">
        <v>6</v>
      </c>
      <c r="H1251" t="s">
        <v>12</v>
      </c>
      <c r="I1251" t="str">
        <f t="shared" si="76"/>
        <v>2023-10</v>
      </c>
      <c r="J1251" s="4">
        <f t="shared" si="77"/>
        <v>0</v>
      </c>
      <c r="K1251" t="str" cm="1">
        <f t="array" ref="K1251">_xlfn.IFS(G1251&lt;=5, "Small", G1251&lt;=15, "Medium", G1251&gt;15, "Large")</f>
        <v>Medium</v>
      </c>
      <c r="L1251" t="str">
        <f t="shared" si="78"/>
        <v>Standard</v>
      </c>
      <c r="M1251" t="str">
        <f t="shared" si="79"/>
        <v>Weekend</v>
      </c>
    </row>
    <row r="1252" spans="1:13" x14ac:dyDescent="0.35">
      <c r="A1252" t="s">
        <v>1294</v>
      </c>
      <c r="B1252" s="1">
        <v>45258</v>
      </c>
      <c r="C1252" t="s">
        <v>89</v>
      </c>
      <c r="D1252" t="s">
        <v>21</v>
      </c>
      <c r="E1252" t="s">
        <v>11</v>
      </c>
      <c r="F1252" s="4">
        <v>6342.1</v>
      </c>
      <c r="G1252" s="5">
        <v>1</v>
      </c>
      <c r="H1252" t="s">
        <v>15</v>
      </c>
      <c r="I1252" t="str">
        <f t="shared" si="76"/>
        <v>2023-11</v>
      </c>
      <c r="J1252" s="4">
        <f t="shared" si="77"/>
        <v>6342.1</v>
      </c>
      <c r="K1252" t="str" cm="1">
        <f t="array" ref="K1252">_xlfn.IFS(G1252&lt;=5, "Small", G1252&lt;=15, "Medium", G1252&gt;15, "Large")</f>
        <v>Small</v>
      </c>
      <c r="L1252" t="str">
        <f t="shared" si="78"/>
        <v>Standard</v>
      </c>
      <c r="M1252" t="str">
        <f t="shared" si="79"/>
        <v>Weekday</v>
      </c>
    </row>
    <row r="1253" spans="1:13" x14ac:dyDescent="0.35">
      <c r="A1253" t="s">
        <v>1295</v>
      </c>
      <c r="B1253" s="1">
        <v>45617</v>
      </c>
      <c r="C1253" t="s">
        <v>91</v>
      </c>
      <c r="D1253" t="s">
        <v>26</v>
      </c>
      <c r="E1253" t="s">
        <v>18</v>
      </c>
      <c r="F1253" s="4">
        <v>58.86</v>
      </c>
      <c r="G1253" s="5">
        <v>28</v>
      </c>
      <c r="H1253" t="s">
        <v>15</v>
      </c>
      <c r="I1253" t="str">
        <f t="shared" si="76"/>
        <v>2024-11</v>
      </c>
      <c r="J1253" s="4">
        <f t="shared" si="77"/>
        <v>2.1021428571428573</v>
      </c>
      <c r="K1253" t="str" cm="1">
        <f t="array" ref="K1253">_xlfn.IFS(G1253&lt;=5, "Small", G1253&lt;=15, "Medium", G1253&gt;15, "Large")</f>
        <v>Large</v>
      </c>
      <c r="L1253" t="str">
        <f t="shared" si="78"/>
        <v>Standard</v>
      </c>
      <c r="M1253" t="str">
        <f t="shared" si="79"/>
        <v>Weekday</v>
      </c>
    </row>
    <row r="1254" spans="1:13" x14ac:dyDescent="0.35">
      <c r="A1254" t="s">
        <v>1296</v>
      </c>
      <c r="B1254" s="1">
        <v>45299</v>
      </c>
      <c r="C1254" t="s">
        <v>17</v>
      </c>
      <c r="D1254" t="s">
        <v>10</v>
      </c>
      <c r="E1254" t="s">
        <v>18</v>
      </c>
      <c r="F1254" s="4">
        <v>1189.6300000000001</v>
      </c>
      <c r="G1254" s="5">
        <v>28</v>
      </c>
      <c r="H1254" t="s">
        <v>15</v>
      </c>
      <c r="I1254" t="str">
        <f t="shared" si="76"/>
        <v>2024-01</v>
      </c>
      <c r="J1254" s="4">
        <f t="shared" si="77"/>
        <v>42.486785714285716</v>
      </c>
      <c r="K1254" t="str" cm="1">
        <f t="array" ref="K1254">_xlfn.IFS(G1254&lt;=5, "Small", G1254&lt;=15, "Medium", G1254&gt;15, "Large")</f>
        <v>Large</v>
      </c>
      <c r="L1254" t="str">
        <f t="shared" si="78"/>
        <v>Standard</v>
      </c>
      <c r="M1254" t="str">
        <f t="shared" si="79"/>
        <v>Weekday</v>
      </c>
    </row>
    <row r="1255" spans="1:13" x14ac:dyDescent="0.35">
      <c r="A1255" t="s">
        <v>1030</v>
      </c>
      <c r="B1255" s="1">
        <v>44973</v>
      </c>
      <c r="C1255" t="s">
        <v>72</v>
      </c>
      <c r="D1255" t="s">
        <v>26</v>
      </c>
      <c r="E1255" t="s">
        <v>18</v>
      </c>
      <c r="F1255" s="4">
        <v>0</v>
      </c>
      <c r="G1255" s="5">
        <v>21</v>
      </c>
      <c r="H1255" t="s">
        <v>12</v>
      </c>
      <c r="I1255" t="str">
        <f t="shared" si="76"/>
        <v>2023-02</v>
      </c>
      <c r="J1255" s="4">
        <f t="shared" si="77"/>
        <v>0</v>
      </c>
      <c r="K1255" t="str" cm="1">
        <f t="array" ref="K1255">_xlfn.IFS(G1255&lt;=5, "Small", G1255&lt;=15, "Medium", G1255&gt;15, "Large")</f>
        <v>Large</v>
      </c>
      <c r="L1255" t="str">
        <f t="shared" si="78"/>
        <v>Standard</v>
      </c>
      <c r="M1255" t="str">
        <f t="shared" si="79"/>
        <v>Weekday</v>
      </c>
    </row>
    <row r="1256" spans="1:13" x14ac:dyDescent="0.35">
      <c r="A1256" t="s">
        <v>1297</v>
      </c>
      <c r="B1256" s="1">
        <v>44962</v>
      </c>
      <c r="C1256" t="s">
        <v>53</v>
      </c>
      <c r="D1256" t="s">
        <v>31</v>
      </c>
      <c r="E1256" t="s">
        <v>18</v>
      </c>
      <c r="F1256" s="4">
        <v>516.04999999999995</v>
      </c>
      <c r="G1256" s="5">
        <v>29</v>
      </c>
      <c r="H1256" t="s">
        <v>15</v>
      </c>
      <c r="I1256" t="str">
        <f t="shared" si="76"/>
        <v>2023-02</v>
      </c>
      <c r="J1256" s="4">
        <f t="shared" si="77"/>
        <v>17.794827586206896</v>
      </c>
      <c r="K1256" t="str" cm="1">
        <f t="array" ref="K1256">_xlfn.IFS(G1256&lt;=5, "Small", G1256&lt;=15, "Medium", G1256&gt;15, "Large")</f>
        <v>Large</v>
      </c>
      <c r="L1256" t="str">
        <f t="shared" si="78"/>
        <v>Standard</v>
      </c>
      <c r="M1256" t="str">
        <f t="shared" si="79"/>
        <v>Weekend</v>
      </c>
    </row>
    <row r="1257" spans="1:13" x14ac:dyDescent="0.35">
      <c r="A1257" t="s">
        <v>1298</v>
      </c>
      <c r="B1257" s="1">
        <v>45545</v>
      </c>
      <c r="C1257" t="s">
        <v>253</v>
      </c>
      <c r="D1257" t="s">
        <v>21</v>
      </c>
      <c r="E1257" t="s">
        <v>27</v>
      </c>
      <c r="F1257" s="4">
        <v>19973.91</v>
      </c>
      <c r="G1257" s="5">
        <v>1</v>
      </c>
      <c r="H1257" t="s">
        <v>15</v>
      </c>
      <c r="I1257" t="str">
        <f t="shared" si="76"/>
        <v>2024-09</v>
      </c>
      <c r="J1257" s="4">
        <f t="shared" si="77"/>
        <v>19973.91</v>
      </c>
      <c r="K1257" t="str" cm="1">
        <f t="array" ref="K1257">_xlfn.IFS(G1257&lt;=5, "Small", G1257&lt;=15, "Medium", G1257&gt;15, "Large")</f>
        <v>Small</v>
      </c>
      <c r="L1257" t="str">
        <f t="shared" si="78"/>
        <v>Standard</v>
      </c>
      <c r="M1257" t="str">
        <f t="shared" si="79"/>
        <v>Weekday</v>
      </c>
    </row>
    <row r="1258" spans="1:13" x14ac:dyDescent="0.35">
      <c r="A1258" t="s">
        <v>1299</v>
      </c>
      <c r="B1258" s="1">
        <v>44956</v>
      </c>
      <c r="C1258" t="s">
        <v>160</v>
      </c>
      <c r="D1258" t="s">
        <v>26</v>
      </c>
      <c r="E1258" t="s">
        <v>11</v>
      </c>
      <c r="F1258" s="4">
        <v>10782</v>
      </c>
      <c r="G1258" s="5">
        <v>7</v>
      </c>
      <c r="H1258" t="s">
        <v>15</v>
      </c>
      <c r="I1258" t="str">
        <f t="shared" si="76"/>
        <v>2023-01</v>
      </c>
      <c r="J1258" s="4">
        <f t="shared" si="77"/>
        <v>1540.2857142857142</v>
      </c>
      <c r="K1258" t="str" cm="1">
        <f t="array" ref="K1258">_xlfn.IFS(G1258&lt;=5, "Small", G1258&lt;=15, "Medium", G1258&gt;15, "Large")</f>
        <v>Medium</v>
      </c>
      <c r="L1258" t="str">
        <f t="shared" si="78"/>
        <v>Standard</v>
      </c>
      <c r="M1258" t="str">
        <f t="shared" si="79"/>
        <v>Weekday</v>
      </c>
    </row>
    <row r="1259" spans="1:13" x14ac:dyDescent="0.35">
      <c r="A1259" t="s">
        <v>1300</v>
      </c>
      <c r="B1259" s="1">
        <v>45597</v>
      </c>
      <c r="C1259" t="s">
        <v>25</v>
      </c>
      <c r="D1259" t="s">
        <v>26</v>
      </c>
      <c r="E1259" t="s">
        <v>11</v>
      </c>
      <c r="F1259" s="4">
        <v>963.14</v>
      </c>
      <c r="G1259" s="5">
        <v>5</v>
      </c>
      <c r="H1259" t="s">
        <v>15</v>
      </c>
      <c r="I1259" t="str">
        <f t="shared" si="76"/>
        <v>2024-11</v>
      </c>
      <c r="J1259" s="4">
        <f t="shared" si="77"/>
        <v>192.62799999999999</v>
      </c>
      <c r="K1259" t="str" cm="1">
        <f t="array" ref="K1259">_xlfn.IFS(G1259&lt;=5, "Small", G1259&lt;=15, "Medium", G1259&gt;15, "Large")</f>
        <v>Small</v>
      </c>
      <c r="L1259" t="str">
        <f t="shared" si="78"/>
        <v>Standard</v>
      </c>
      <c r="M1259" t="str">
        <f t="shared" si="79"/>
        <v>Weekday</v>
      </c>
    </row>
    <row r="1260" spans="1:13" x14ac:dyDescent="0.35">
      <c r="A1260" t="s">
        <v>1301</v>
      </c>
      <c r="B1260" s="1">
        <v>45593</v>
      </c>
      <c r="C1260" t="s">
        <v>37</v>
      </c>
      <c r="D1260" t="s">
        <v>21</v>
      </c>
      <c r="E1260" t="s">
        <v>18</v>
      </c>
      <c r="F1260" s="4">
        <v>1585.86</v>
      </c>
      <c r="G1260" s="5">
        <v>4</v>
      </c>
      <c r="H1260" t="s">
        <v>15</v>
      </c>
      <c r="I1260" t="str">
        <f t="shared" si="76"/>
        <v>2024-10</v>
      </c>
      <c r="J1260" s="4">
        <f t="shared" si="77"/>
        <v>396.46499999999997</v>
      </c>
      <c r="K1260" t="str" cm="1">
        <f t="array" ref="K1260">_xlfn.IFS(G1260&lt;=5, "Small", G1260&lt;=15, "Medium", G1260&gt;15, "Large")</f>
        <v>Small</v>
      </c>
      <c r="L1260" t="str">
        <f t="shared" si="78"/>
        <v>Standard</v>
      </c>
      <c r="M1260" t="str">
        <f t="shared" si="79"/>
        <v>Weekday</v>
      </c>
    </row>
    <row r="1261" spans="1:13" x14ac:dyDescent="0.35">
      <c r="A1261" t="s">
        <v>1302</v>
      </c>
      <c r="B1261" s="1">
        <v>44970</v>
      </c>
      <c r="C1261" t="s">
        <v>25</v>
      </c>
      <c r="D1261" t="s">
        <v>26</v>
      </c>
      <c r="E1261" t="s">
        <v>27</v>
      </c>
      <c r="F1261" s="4">
        <v>29033.5</v>
      </c>
      <c r="G1261" s="5">
        <v>2</v>
      </c>
      <c r="H1261" t="s">
        <v>15</v>
      </c>
      <c r="I1261" t="str">
        <f t="shared" si="76"/>
        <v>2023-02</v>
      </c>
      <c r="J1261" s="4">
        <f t="shared" si="77"/>
        <v>14516.75</v>
      </c>
      <c r="K1261" t="str" cm="1">
        <f t="array" ref="K1261">_xlfn.IFS(G1261&lt;=5, "Small", G1261&lt;=15, "Medium", G1261&gt;15, "Large")</f>
        <v>Small</v>
      </c>
      <c r="L1261" t="str">
        <f t="shared" si="78"/>
        <v>VIP</v>
      </c>
      <c r="M1261" t="str">
        <f t="shared" si="79"/>
        <v>Weekday</v>
      </c>
    </row>
    <row r="1262" spans="1:13" x14ac:dyDescent="0.35">
      <c r="A1262" t="s">
        <v>1303</v>
      </c>
      <c r="B1262" s="1">
        <v>45378</v>
      </c>
      <c r="C1262" t="s">
        <v>91</v>
      </c>
      <c r="D1262" t="s">
        <v>26</v>
      </c>
      <c r="E1262" t="s">
        <v>27</v>
      </c>
      <c r="F1262" s="4">
        <v>12894.75</v>
      </c>
      <c r="G1262" s="5">
        <v>1</v>
      </c>
      <c r="H1262" t="s">
        <v>15</v>
      </c>
      <c r="I1262" t="str">
        <f t="shared" si="76"/>
        <v>2024-03</v>
      </c>
      <c r="J1262" s="4">
        <f t="shared" si="77"/>
        <v>12894.75</v>
      </c>
      <c r="K1262" t="str" cm="1">
        <f t="array" ref="K1262">_xlfn.IFS(G1262&lt;=5, "Small", G1262&lt;=15, "Medium", G1262&gt;15, "Large")</f>
        <v>Small</v>
      </c>
      <c r="L1262" t="str">
        <f t="shared" si="78"/>
        <v>Standard</v>
      </c>
      <c r="M1262" t="str">
        <f t="shared" si="79"/>
        <v>Weekday</v>
      </c>
    </row>
    <row r="1263" spans="1:13" x14ac:dyDescent="0.35">
      <c r="A1263" t="s">
        <v>1304</v>
      </c>
      <c r="B1263" s="1">
        <v>45649</v>
      </c>
      <c r="C1263" t="s">
        <v>50</v>
      </c>
      <c r="D1263" t="s">
        <v>26</v>
      </c>
      <c r="E1263" t="s">
        <v>18</v>
      </c>
      <c r="F1263" s="4">
        <v>342.39</v>
      </c>
      <c r="G1263" s="5">
        <v>5</v>
      </c>
      <c r="H1263" t="s">
        <v>15</v>
      </c>
      <c r="I1263" t="str">
        <f t="shared" si="76"/>
        <v>2024-12</v>
      </c>
      <c r="J1263" s="4">
        <f t="shared" si="77"/>
        <v>68.477999999999994</v>
      </c>
      <c r="K1263" t="str" cm="1">
        <f t="array" ref="K1263">_xlfn.IFS(G1263&lt;=5, "Small", G1263&lt;=15, "Medium", G1263&gt;15, "Large")</f>
        <v>Small</v>
      </c>
      <c r="L1263" t="str">
        <f t="shared" si="78"/>
        <v>Standard</v>
      </c>
      <c r="M1263" t="str">
        <f t="shared" si="79"/>
        <v>Weekday</v>
      </c>
    </row>
    <row r="1264" spans="1:13" x14ac:dyDescent="0.35">
      <c r="A1264" t="s">
        <v>1305</v>
      </c>
      <c r="B1264" s="1">
        <v>45614</v>
      </c>
      <c r="C1264" t="s">
        <v>33</v>
      </c>
      <c r="D1264" t="s">
        <v>10</v>
      </c>
      <c r="E1264" t="s">
        <v>18</v>
      </c>
      <c r="F1264" s="4">
        <v>2957.49</v>
      </c>
      <c r="G1264" s="5">
        <v>8</v>
      </c>
      <c r="H1264" t="s">
        <v>15</v>
      </c>
      <c r="I1264" t="str">
        <f t="shared" si="76"/>
        <v>2024-11</v>
      </c>
      <c r="J1264" s="4">
        <f t="shared" si="77"/>
        <v>369.68624999999997</v>
      </c>
      <c r="K1264" t="str" cm="1">
        <f t="array" ref="K1264">_xlfn.IFS(G1264&lt;=5, "Small", G1264&lt;=15, "Medium", G1264&gt;15, "Large")</f>
        <v>Medium</v>
      </c>
      <c r="L1264" t="str">
        <f t="shared" si="78"/>
        <v>Standard</v>
      </c>
      <c r="M1264" t="str">
        <f t="shared" si="79"/>
        <v>Weekday</v>
      </c>
    </row>
    <row r="1265" spans="1:13" x14ac:dyDescent="0.35">
      <c r="A1265" t="s">
        <v>1306</v>
      </c>
      <c r="B1265" s="1">
        <v>45362</v>
      </c>
      <c r="C1265" t="s">
        <v>241</v>
      </c>
      <c r="D1265" t="s">
        <v>31</v>
      </c>
      <c r="E1265" t="s">
        <v>27</v>
      </c>
      <c r="F1265" s="4">
        <v>19579.990000000002</v>
      </c>
      <c r="G1265" s="5">
        <v>2</v>
      </c>
      <c r="H1265" t="s">
        <v>15</v>
      </c>
      <c r="I1265" t="str">
        <f t="shared" si="76"/>
        <v>2024-03</v>
      </c>
      <c r="J1265" s="4">
        <f t="shared" si="77"/>
        <v>9789.9950000000008</v>
      </c>
      <c r="K1265" t="str" cm="1">
        <f t="array" ref="K1265">_xlfn.IFS(G1265&lt;=5, "Small", G1265&lt;=15, "Medium", G1265&gt;15, "Large")</f>
        <v>Small</v>
      </c>
      <c r="L1265" t="str">
        <f t="shared" si="78"/>
        <v>Standard</v>
      </c>
      <c r="M1265" t="str">
        <f t="shared" si="79"/>
        <v>Weekday</v>
      </c>
    </row>
    <row r="1266" spans="1:13" x14ac:dyDescent="0.35">
      <c r="A1266" t="s">
        <v>1307</v>
      </c>
      <c r="B1266" s="1">
        <v>44947</v>
      </c>
      <c r="C1266" t="s">
        <v>175</v>
      </c>
      <c r="D1266" t="s">
        <v>21</v>
      </c>
      <c r="E1266" t="s">
        <v>27</v>
      </c>
      <c r="F1266" s="4">
        <v>4079.66</v>
      </c>
      <c r="G1266" s="5">
        <v>2</v>
      </c>
      <c r="H1266" t="s">
        <v>15</v>
      </c>
      <c r="I1266" t="str">
        <f t="shared" si="76"/>
        <v>2023-01</v>
      </c>
      <c r="J1266" s="4">
        <f t="shared" si="77"/>
        <v>2039.83</v>
      </c>
      <c r="K1266" t="str" cm="1">
        <f t="array" ref="K1266">_xlfn.IFS(G1266&lt;=5, "Small", G1266&lt;=15, "Medium", G1266&gt;15, "Large")</f>
        <v>Small</v>
      </c>
      <c r="L1266" t="str">
        <f t="shared" si="78"/>
        <v>Standard</v>
      </c>
      <c r="M1266" t="str">
        <f t="shared" si="79"/>
        <v>Weekend</v>
      </c>
    </row>
    <row r="1267" spans="1:13" x14ac:dyDescent="0.35">
      <c r="A1267" t="s">
        <v>1308</v>
      </c>
      <c r="B1267" s="1">
        <v>45168</v>
      </c>
      <c r="C1267" t="s">
        <v>40</v>
      </c>
      <c r="D1267" t="s">
        <v>26</v>
      </c>
      <c r="E1267" t="s">
        <v>27</v>
      </c>
      <c r="F1267" s="4">
        <v>35912.06</v>
      </c>
      <c r="G1267" s="5">
        <v>5</v>
      </c>
      <c r="H1267" t="s">
        <v>15</v>
      </c>
      <c r="I1267" t="str">
        <f t="shared" si="76"/>
        <v>2023-08</v>
      </c>
      <c r="J1267" s="4">
        <f t="shared" si="77"/>
        <v>7182.4119999999994</v>
      </c>
      <c r="K1267" t="str" cm="1">
        <f t="array" ref="K1267">_xlfn.IFS(G1267&lt;=5, "Small", G1267&lt;=15, "Medium", G1267&gt;15, "Large")</f>
        <v>Small</v>
      </c>
      <c r="L1267" t="str">
        <f t="shared" si="78"/>
        <v>VIP</v>
      </c>
      <c r="M1267" t="str">
        <f t="shared" si="79"/>
        <v>Weekday</v>
      </c>
    </row>
    <row r="1268" spans="1:13" x14ac:dyDescent="0.35">
      <c r="A1268" t="s">
        <v>1309</v>
      </c>
      <c r="B1268" s="1">
        <v>44982</v>
      </c>
      <c r="C1268" t="s">
        <v>177</v>
      </c>
      <c r="D1268" t="s">
        <v>26</v>
      </c>
      <c r="E1268" t="s">
        <v>18</v>
      </c>
      <c r="F1268" s="4">
        <v>2532.2800000000002</v>
      </c>
      <c r="G1268" s="5">
        <v>20</v>
      </c>
      <c r="H1268" t="s">
        <v>15</v>
      </c>
      <c r="I1268" t="str">
        <f t="shared" si="76"/>
        <v>2023-02</v>
      </c>
      <c r="J1268" s="4">
        <f t="shared" si="77"/>
        <v>126.614</v>
      </c>
      <c r="K1268" t="str" cm="1">
        <f t="array" ref="K1268">_xlfn.IFS(G1268&lt;=5, "Small", G1268&lt;=15, "Medium", G1268&gt;15, "Large")</f>
        <v>Large</v>
      </c>
      <c r="L1268" t="str">
        <f t="shared" si="78"/>
        <v>Standard</v>
      </c>
      <c r="M1268" t="str">
        <f t="shared" si="79"/>
        <v>Weekend</v>
      </c>
    </row>
    <row r="1269" spans="1:13" x14ac:dyDescent="0.35">
      <c r="A1269" t="s">
        <v>1310</v>
      </c>
      <c r="B1269" s="1">
        <v>45236</v>
      </c>
      <c r="C1269" t="s">
        <v>33</v>
      </c>
      <c r="D1269" t="s">
        <v>10</v>
      </c>
      <c r="E1269" t="s">
        <v>27</v>
      </c>
      <c r="F1269" s="4">
        <v>0</v>
      </c>
      <c r="G1269" s="5">
        <v>1</v>
      </c>
      <c r="H1269" t="s">
        <v>28</v>
      </c>
      <c r="I1269" t="str">
        <f t="shared" si="76"/>
        <v>2023-11</v>
      </c>
      <c r="J1269" s="4">
        <f t="shared" si="77"/>
        <v>0</v>
      </c>
      <c r="K1269" t="str" cm="1">
        <f t="array" ref="K1269">_xlfn.IFS(G1269&lt;=5, "Small", G1269&lt;=15, "Medium", G1269&gt;15, "Large")</f>
        <v>Small</v>
      </c>
      <c r="L1269" t="str">
        <f t="shared" si="78"/>
        <v>Standard</v>
      </c>
      <c r="M1269" t="str">
        <f t="shared" si="79"/>
        <v>Weekday</v>
      </c>
    </row>
    <row r="1270" spans="1:13" x14ac:dyDescent="0.35">
      <c r="A1270" t="s">
        <v>1311</v>
      </c>
      <c r="B1270" s="1">
        <v>45095</v>
      </c>
      <c r="C1270" t="s">
        <v>25</v>
      </c>
      <c r="D1270" t="s">
        <v>26</v>
      </c>
      <c r="E1270" t="s">
        <v>11</v>
      </c>
      <c r="F1270" s="4">
        <v>0</v>
      </c>
      <c r="G1270" s="5">
        <v>8</v>
      </c>
      <c r="H1270" t="s">
        <v>12</v>
      </c>
      <c r="I1270" t="str">
        <f t="shared" si="76"/>
        <v>2023-06</v>
      </c>
      <c r="J1270" s="4">
        <f t="shared" si="77"/>
        <v>0</v>
      </c>
      <c r="K1270" t="str" cm="1">
        <f t="array" ref="K1270">_xlfn.IFS(G1270&lt;=5, "Small", G1270&lt;=15, "Medium", G1270&gt;15, "Large")</f>
        <v>Medium</v>
      </c>
      <c r="L1270" t="str">
        <f t="shared" si="78"/>
        <v>Standard</v>
      </c>
      <c r="M1270" t="str">
        <f t="shared" si="79"/>
        <v>Weekend</v>
      </c>
    </row>
    <row r="1271" spans="1:13" x14ac:dyDescent="0.35">
      <c r="A1271" t="s">
        <v>1312</v>
      </c>
      <c r="B1271" s="1">
        <v>45368</v>
      </c>
      <c r="C1271" t="s">
        <v>69</v>
      </c>
      <c r="D1271" t="s">
        <v>31</v>
      </c>
      <c r="E1271" t="s">
        <v>11</v>
      </c>
      <c r="F1271" s="4">
        <v>0</v>
      </c>
      <c r="G1271" s="5">
        <v>1</v>
      </c>
      <c r="H1271" t="s">
        <v>28</v>
      </c>
      <c r="I1271" t="str">
        <f t="shared" si="76"/>
        <v>2024-03</v>
      </c>
      <c r="J1271" s="4">
        <f t="shared" si="77"/>
        <v>0</v>
      </c>
      <c r="K1271" t="str" cm="1">
        <f t="array" ref="K1271">_xlfn.IFS(G1271&lt;=5, "Small", G1271&lt;=15, "Medium", G1271&gt;15, "Large")</f>
        <v>Small</v>
      </c>
      <c r="L1271" t="str">
        <f t="shared" si="78"/>
        <v>Standard</v>
      </c>
      <c r="M1271" t="str">
        <f t="shared" si="79"/>
        <v>Weekend</v>
      </c>
    </row>
    <row r="1272" spans="1:13" x14ac:dyDescent="0.35">
      <c r="A1272" t="s">
        <v>1313</v>
      </c>
      <c r="B1272" s="1">
        <v>45037</v>
      </c>
      <c r="C1272" t="s">
        <v>89</v>
      </c>
      <c r="D1272" t="s">
        <v>26</v>
      </c>
      <c r="E1272" t="s">
        <v>18</v>
      </c>
      <c r="F1272" s="4">
        <v>1497.8</v>
      </c>
      <c r="G1272" s="5">
        <v>6</v>
      </c>
      <c r="H1272" t="s">
        <v>15</v>
      </c>
      <c r="I1272" t="str">
        <f t="shared" si="76"/>
        <v>2023-04</v>
      </c>
      <c r="J1272" s="4">
        <f t="shared" si="77"/>
        <v>249.63333333333333</v>
      </c>
      <c r="K1272" t="str" cm="1">
        <f t="array" ref="K1272">_xlfn.IFS(G1272&lt;=5, "Small", G1272&lt;=15, "Medium", G1272&gt;15, "Large")</f>
        <v>Medium</v>
      </c>
      <c r="L1272" t="str">
        <f t="shared" si="78"/>
        <v>Standard</v>
      </c>
      <c r="M1272" t="str">
        <f t="shared" si="79"/>
        <v>Weekday</v>
      </c>
    </row>
    <row r="1273" spans="1:13" x14ac:dyDescent="0.35">
      <c r="A1273" t="s">
        <v>1314</v>
      </c>
      <c r="B1273" s="1">
        <v>45175</v>
      </c>
      <c r="C1273" t="s">
        <v>35</v>
      </c>
      <c r="D1273" t="s">
        <v>31</v>
      </c>
      <c r="E1273" t="s">
        <v>11</v>
      </c>
      <c r="F1273" s="4">
        <v>0</v>
      </c>
      <c r="G1273" s="5">
        <v>6</v>
      </c>
      <c r="H1273" t="s">
        <v>12</v>
      </c>
      <c r="I1273" t="str">
        <f t="shared" si="76"/>
        <v>2023-09</v>
      </c>
      <c r="J1273" s="4">
        <f t="shared" si="77"/>
        <v>0</v>
      </c>
      <c r="K1273" t="str" cm="1">
        <f t="array" ref="K1273">_xlfn.IFS(G1273&lt;=5, "Small", G1273&lt;=15, "Medium", G1273&gt;15, "Large")</f>
        <v>Medium</v>
      </c>
      <c r="L1273" t="str">
        <f t="shared" si="78"/>
        <v>Standard</v>
      </c>
      <c r="M1273" t="str">
        <f t="shared" si="79"/>
        <v>Weekday</v>
      </c>
    </row>
    <row r="1274" spans="1:13" x14ac:dyDescent="0.35">
      <c r="A1274" t="s">
        <v>1315</v>
      </c>
      <c r="B1274" s="1">
        <v>45192</v>
      </c>
      <c r="C1274" t="s">
        <v>241</v>
      </c>
      <c r="D1274" t="s">
        <v>31</v>
      </c>
      <c r="E1274" t="s">
        <v>18</v>
      </c>
      <c r="F1274" s="4">
        <v>171.85</v>
      </c>
      <c r="G1274" s="5">
        <v>23</v>
      </c>
      <c r="H1274" t="s">
        <v>15</v>
      </c>
      <c r="I1274" t="str">
        <f t="shared" si="76"/>
        <v>2023-09</v>
      </c>
      <c r="J1274" s="4">
        <f t="shared" si="77"/>
        <v>7.4717391304347824</v>
      </c>
      <c r="K1274" t="str" cm="1">
        <f t="array" ref="K1274">_xlfn.IFS(G1274&lt;=5, "Small", G1274&lt;=15, "Medium", G1274&gt;15, "Large")</f>
        <v>Large</v>
      </c>
      <c r="L1274" t="str">
        <f t="shared" si="78"/>
        <v>Standard</v>
      </c>
      <c r="M1274" t="str">
        <f t="shared" si="79"/>
        <v>Weekend</v>
      </c>
    </row>
    <row r="1275" spans="1:13" x14ac:dyDescent="0.35">
      <c r="A1275" t="s">
        <v>1316</v>
      </c>
      <c r="B1275" s="1">
        <v>45332</v>
      </c>
      <c r="C1275" t="s">
        <v>50</v>
      </c>
      <c r="D1275" t="s">
        <v>26</v>
      </c>
      <c r="E1275" t="s">
        <v>27</v>
      </c>
      <c r="F1275" s="4">
        <v>0</v>
      </c>
      <c r="G1275" s="5">
        <v>1</v>
      </c>
      <c r="H1275" t="s">
        <v>28</v>
      </c>
      <c r="I1275" t="str">
        <f t="shared" si="76"/>
        <v>2024-02</v>
      </c>
      <c r="J1275" s="4">
        <f t="shared" si="77"/>
        <v>0</v>
      </c>
      <c r="K1275" t="str" cm="1">
        <f t="array" ref="K1275">_xlfn.IFS(G1275&lt;=5, "Small", G1275&lt;=15, "Medium", G1275&gt;15, "Large")</f>
        <v>Small</v>
      </c>
      <c r="L1275" t="str">
        <f t="shared" si="78"/>
        <v>Standard</v>
      </c>
      <c r="M1275" t="str">
        <f t="shared" si="79"/>
        <v>Weekend</v>
      </c>
    </row>
    <row r="1276" spans="1:13" x14ac:dyDescent="0.35">
      <c r="A1276" t="s">
        <v>1317</v>
      </c>
      <c r="B1276" s="1">
        <v>45191</v>
      </c>
      <c r="C1276" t="s">
        <v>37</v>
      </c>
      <c r="D1276" t="s">
        <v>21</v>
      </c>
      <c r="E1276" t="s">
        <v>27</v>
      </c>
      <c r="F1276" s="4">
        <v>30719.55</v>
      </c>
      <c r="G1276" s="5">
        <v>2</v>
      </c>
      <c r="H1276" t="s">
        <v>15</v>
      </c>
      <c r="I1276" t="str">
        <f t="shared" si="76"/>
        <v>2023-09</v>
      </c>
      <c r="J1276" s="4">
        <f t="shared" si="77"/>
        <v>15359.775</v>
      </c>
      <c r="K1276" t="str" cm="1">
        <f t="array" ref="K1276">_xlfn.IFS(G1276&lt;=5, "Small", G1276&lt;=15, "Medium", G1276&gt;15, "Large")</f>
        <v>Small</v>
      </c>
      <c r="L1276" t="str">
        <f t="shared" si="78"/>
        <v>VIP</v>
      </c>
      <c r="M1276" t="str">
        <f t="shared" si="79"/>
        <v>Weekday</v>
      </c>
    </row>
    <row r="1277" spans="1:13" x14ac:dyDescent="0.35">
      <c r="A1277" t="s">
        <v>1318</v>
      </c>
      <c r="B1277" s="1">
        <v>45232</v>
      </c>
      <c r="C1277" t="s">
        <v>45</v>
      </c>
      <c r="D1277" t="s">
        <v>21</v>
      </c>
      <c r="E1277" t="s">
        <v>27</v>
      </c>
      <c r="F1277" s="4">
        <v>17326.990000000002</v>
      </c>
      <c r="G1277" s="5">
        <v>2</v>
      </c>
      <c r="H1277" t="s">
        <v>15</v>
      </c>
      <c r="I1277" t="str">
        <f t="shared" si="76"/>
        <v>2023-11</v>
      </c>
      <c r="J1277" s="4">
        <f t="shared" si="77"/>
        <v>8663.4950000000008</v>
      </c>
      <c r="K1277" t="str" cm="1">
        <f t="array" ref="K1277">_xlfn.IFS(G1277&lt;=5, "Small", G1277&lt;=15, "Medium", G1277&gt;15, "Large")</f>
        <v>Small</v>
      </c>
      <c r="L1277" t="str">
        <f t="shared" si="78"/>
        <v>Standard</v>
      </c>
      <c r="M1277" t="str">
        <f t="shared" si="79"/>
        <v>Weekday</v>
      </c>
    </row>
    <row r="1278" spans="1:13" x14ac:dyDescent="0.35">
      <c r="A1278" t="s">
        <v>1319</v>
      </c>
      <c r="B1278" s="1">
        <v>45388</v>
      </c>
      <c r="C1278" t="s">
        <v>97</v>
      </c>
      <c r="D1278" t="s">
        <v>21</v>
      </c>
      <c r="E1278" t="s">
        <v>18</v>
      </c>
      <c r="F1278" s="4">
        <v>3465.61</v>
      </c>
      <c r="G1278" s="5">
        <v>10</v>
      </c>
      <c r="H1278" t="s">
        <v>15</v>
      </c>
      <c r="I1278" t="str">
        <f t="shared" si="76"/>
        <v>2024-04</v>
      </c>
      <c r="J1278" s="4">
        <f t="shared" si="77"/>
        <v>346.56100000000004</v>
      </c>
      <c r="K1278" t="str" cm="1">
        <f t="array" ref="K1278">_xlfn.IFS(G1278&lt;=5, "Small", G1278&lt;=15, "Medium", G1278&gt;15, "Large")</f>
        <v>Medium</v>
      </c>
      <c r="L1278" t="str">
        <f t="shared" si="78"/>
        <v>Standard</v>
      </c>
      <c r="M1278" t="str">
        <f t="shared" si="79"/>
        <v>Weekend</v>
      </c>
    </row>
    <row r="1279" spans="1:13" x14ac:dyDescent="0.35">
      <c r="A1279" t="s">
        <v>1320</v>
      </c>
      <c r="B1279" s="1">
        <v>45192</v>
      </c>
      <c r="C1279" t="s">
        <v>20</v>
      </c>
      <c r="D1279" t="s">
        <v>21</v>
      </c>
      <c r="E1279" t="s">
        <v>18</v>
      </c>
      <c r="F1279" s="4">
        <v>2564.6999999999998</v>
      </c>
      <c r="G1279" s="5">
        <v>9</v>
      </c>
      <c r="H1279" t="s">
        <v>15</v>
      </c>
      <c r="I1279" t="str">
        <f t="shared" si="76"/>
        <v>2023-09</v>
      </c>
      <c r="J1279" s="4">
        <f t="shared" si="77"/>
        <v>284.96666666666664</v>
      </c>
      <c r="K1279" t="str" cm="1">
        <f t="array" ref="K1279">_xlfn.IFS(G1279&lt;=5, "Small", G1279&lt;=15, "Medium", G1279&gt;15, "Large")</f>
        <v>Medium</v>
      </c>
      <c r="L1279" t="str">
        <f t="shared" si="78"/>
        <v>Standard</v>
      </c>
      <c r="M1279" t="str">
        <f t="shared" si="79"/>
        <v>Weekend</v>
      </c>
    </row>
    <row r="1280" spans="1:13" x14ac:dyDescent="0.35">
      <c r="A1280" t="s">
        <v>1321</v>
      </c>
      <c r="B1280" s="1">
        <v>45620</v>
      </c>
      <c r="C1280" t="s">
        <v>175</v>
      </c>
      <c r="D1280" t="s">
        <v>21</v>
      </c>
      <c r="E1280" t="s">
        <v>27</v>
      </c>
      <c r="F1280" s="4">
        <v>4998.93</v>
      </c>
      <c r="G1280" s="5">
        <v>1</v>
      </c>
      <c r="H1280" t="s">
        <v>15</v>
      </c>
      <c r="I1280" t="str">
        <f t="shared" si="76"/>
        <v>2024-11</v>
      </c>
      <c r="J1280" s="4">
        <f t="shared" si="77"/>
        <v>4998.93</v>
      </c>
      <c r="K1280" t="str" cm="1">
        <f t="array" ref="K1280">_xlfn.IFS(G1280&lt;=5, "Small", G1280&lt;=15, "Medium", G1280&gt;15, "Large")</f>
        <v>Small</v>
      </c>
      <c r="L1280" t="str">
        <f t="shared" si="78"/>
        <v>Standard</v>
      </c>
      <c r="M1280" t="str">
        <f t="shared" si="79"/>
        <v>Weekend</v>
      </c>
    </row>
    <row r="1281" spans="1:13" x14ac:dyDescent="0.35">
      <c r="A1281" t="s">
        <v>1322</v>
      </c>
      <c r="B1281" s="1">
        <v>44952</v>
      </c>
      <c r="C1281" t="s">
        <v>20</v>
      </c>
      <c r="D1281" t="s">
        <v>21</v>
      </c>
      <c r="E1281" t="s">
        <v>18</v>
      </c>
      <c r="F1281" s="4">
        <v>1115.53</v>
      </c>
      <c r="G1281" s="5">
        <v>21</v>
      </c>
      <c r="H1281" t="s">
        <v>15</v>
      </c>
      <c r="I1281" t="str">
        <f t="shared" si="76"/>
        <v>2023-01</v>
      </c>
      <c r="J1281" s="4">
        <f t="shared" si="77"/>
        <v>53.12047619047619</v>
      </c>
      <c r="K1281" t="str" cm="1">
        <f t="array" ref="K1281">_xlfn.IFS(G1281&lt;=5, "Small", G1281&lt;=15, "Medium", G1281&gt;15, "Large")</f>
        <v>Large</v>
      </c>
      <c r="L1281" t="str">
        <f t="shared" si="78"/>
        <v>Standard</v>
      </c>
      <c r="M1281" t="str">
        <f t="shared" si="79"/>
        <v>Weekday</v>
      </c>
    </row>
    <row r="1282" spans="1:13" x14ac:dyDescent="0.35">
      <c r="A1282" t="s">
        <v>1323</v>
      </c>
      <c r="B1282" s="1">
        <v>45653</v>
      </c>
      <c r="C1282" t="s">
        <v>30</v>
      </c>
      <c r="D1282" t="s">
        <v>31</v>
      </c>
      <c r="E1282" t="s">
        <v>11</v>
      </c>
      <c r="F1282" s="4">
        <v>15641.88</v>
      </c>
      <c r="G1282" s="5">
        <v>2</v>
      </c>
      <c r="H1282" t="s">
        <v>15</v>
      </c>
      <c r="I1282" t="str">
        <f t="shared" si="76"/>
        <v>2024-12</v>
      </c>
      <c r="J1282" s="4">
        <f t="shared" si="77"/>
        <v>7820.94</v>
      </c>
      <c r="K1282" t="str" cm="1">
        <f t="array" ref="K1282">_xlfn.IFS(G1282&lt;=5, "Small", G1282&lt;=15, "Medium", G1282&gt;15, "Large")</f>
        <v>Small</v>
      </c>
      <c r="L1282" t="str">
        <f t="shared" si="78"/>
        <v>Standard</v>
      </c>
      <c r="M1282" t="str">
        <f t="shared" si="79"/>
        <v>Weekday</v>
      </c>
    </row>
    <row r="1283" spans="1:13" x14ac:dyDescent="0.35">
      <c r="A1283" t="s">
        <v>1324</v>
      </c>
      <c r="B1283" s="1">
        <v>45234</v>
      </c>
      <c r="C1283" t="s">
        <v>74</v>
      </c>
      <c r="D1283" t="s">
        <v>31</v>
      </c>
      <c r="E1283" t="s">
        <v>18</v>
      </c>
      <c r="F1283" s="4">
        <v>2250.0700000000002</v>
      </c>
      <c r="G1283" s="5">
        <v>26</v>
      </c>
      <c r="H1283" t="s">
        <v>15</v>
      </c>
      <c r="I1283" t="str">
        <f t="shared" ref="I1283:I1346" si="80">TEXT(B1283, "YYYY-MM")</f>
        <v>2023-11</v>
      </c>
      <c r="J1283" s="4">
        <f t="shared" ref="J1283:J1346" si="81">IFERROR(F1283/G1283, 0)</f>
        <v>86.541153846153847</v>
      </c>
      <c r="K1283" t="str" cm="1">
        <f t="array" ref="K1283">_xlfn.IFS(G1283&lt;=5, "Small", G1283&lt;=15, "Medium", G1283&gt;15, "Large")</f>
        <v>Large</v>
      </c>
      <c r="L1283" t="str">
        <f t="shared" ref="L1283:L1346" si="82">IF(F1283&gt;_xlfn.PERCENTILE.INC($F$2:$F$10000, 0.9), "VIP", "Standard")</f>
        <v>Standard</v>
      </c>
      <c r="M1283" t="str">
        <f t="shared" ref="M1283:M1346" si="83">IF(WEEKDAY(B1283, 2)&gt;5, "Weekend", "Weekday")</f>
        <v>Weekend</v>
      </c>
    </row>
    <row r="1284" spans="1:13" x14ac:dyDescent="0.35">
      <c r="A1284" t="s">
        <v>1325</v>
      </c>
      <c r="B1284" s="1">
        <v>45462</v>
      </c>
      <c r="C1284" t="s">
        <v>241</v>
      </c>
      <c r="D1284" t="s">
        <v>31</v>
      </c>
      <c r="E1284" t="s">
        <v>18</v>
      </c>
      <c r="F1284" s="4">
        <v>3040.78</v>
      </c>
      <c r="G1284" s="5">
        <v>16</v>
      </c>
      <c r="H1284" t="s">
        <v>15</v>
      </c>
      <c r="I1284" t="str">
        <f t="shared" si="80"/>
        <v>2024-06</v>
      </c>
      <c r="J1284" s="4">
        <f t="shared" si="81"/>
        <v>190.04875000000001</v>
      </c>
      <c r="K1284" t="str" cm="1">
        <f t="array" ref="K1284">_xlfn.IFS(G1284&lt;=5, "Small", G1284&lt;=15, "Medium", G1284&gt;15, "Large")</f>
        <v>Large</v>
      </c>
      <c r="L1284" t="str">
        <f t="shared" si="82"/>
        <v>Standard</v>
      </c>
      <c r="M1284" t="str">
        <f t="shared" si="83"/>
        <v>Weekday</v>
      </c>
    </row>
    <row r="1285" spans="1:13" x14ac:dyDescent="0.35">
      <c r="A1285" t="s">
        <v>1326</v>
      </c>
      <c r="B1285" s="1">
        <v>45080</v>
      </c>
      <c r="C1285" t="s">
        <v>60</v>
      </c>
      <c r="D1285" t="s">
        <v>31</v>
      </c>
      <c r="E1285" t="s">
        <v>11</v>
      </c>
      <c r="F1285" s="4">
        <v>8891.27</v>
      </c>
      <c r="G1285" s="5">
        <v>7</v>
      </c>
      <c r="H1285" t="s">
        <v>15</v>
      </c>
      <c r="I1285" t="str">
        <f t="shared" si="80"/>
        <v>2023-06</v>
      </c>
      <c r="J1285" s="4">
        <f t="shared" si="81"/>
        <v>1270.1814285714286</v>
      </c>
      <c r="K1285" t="str" cm="1">
        <f t="array" ref="K1285">_xlfn.IFS(G1285&lt;=5, "Small", G1285&lt;=15, "Medium", G1285&gt;15, "Large")</f>
        <v>Medium</v>
      </c>
      <c r="L1285" t="str">
        <f t="shared" si="82"/>
        <v>Standard</v>
      </c>
      <c r="M1285" t="str">
        <f t="shared" si="83"/>
        <v>Weekend</v>
      </c>
    </row>
    <row r="1286" spans="1:13" x14ac:dyDescent="0.35">
      <c r="A1286" t="s">
        <v>1327</v>
      </c>
      <c r="B1286" s="1">
        <v>45262</v>
      </c>
      <c r="C1286" t="s">
        <v>160</v>
      </c>
      <c r="D1286" t="s">
        <v>26</v>
      </c>
      <c r="E1286" t="s">
        <v>27</v>
      </c>
      <c r="F1286" s="4">
        <v>0</v>
      </c>
      <c r="G1286" s="5">
        <v>4</v>
      </c>
      <c r="H1286" t="s">
        <v>28</v>
      </c>
      <c r="I1286" t="str">
        <f t="shared" si="80"/>
        <v>2023-12</v>
      </c>
      <c r="J1286" s="4">
        <f t="shared" si="81"/>
        <v>0</v>
      </c>
      <c r="K1286" t="str" cm="1">
        <f t="array" ref="K1286">_xlfn.IFS(G1286&lt;=5, "Small", G1286&lt;=15, "Medium", G1286&gt;15, "Large")</f>
        <v>Small</v>
      </c>
      <c r="L1286" t="str">
        <f t="shared" si="82"/>
        <v>Standard</v>
      </c>
      <c r="M1286" t="str">
        <f t="shared" si="83"/>
        <v>Weekend</v>
      </c>
    </row>
    <row r="1287" spans="1:13" x14ac:dyDescent="0.35">
      <c r="A1287" t="s">
        <v>1328</v>
      </c>
      <c r="B1287" s="1">
        <v>45152</v>
      </c>
      <c r="C1287" t="s">
        <v>126</v>
      </c>
      <c r="D1287" t="s">
        <v>21</v>
      </c>
      <c r="E1287" t="s">
        <v>18</v>
      </c>
      <c r="F1287" s="4">
        <v>1067.68</v>
      </c>
      <c r="G1287" s="5">
        <v>21</v>
      </c>
      <c r="H1287" t="s">
        <v>15</v>
      </c>
      <c r="I1287" t="str">
        <f t="shared" si="80"/>
        <v>2023-08</v>
      </c>
      <c r="J1287" s="4">
        <f t="shared" si="81"/>
        <v>50.841904761904765</v>
      </c>
      <c r="K1287" t="str" cm="1">
        <f t="array" ref="K1287">_xlfn.IFS(G1287&lt;=5, "Small", G1287&lt;=15, "Medium", G1287&gt;15, "Large")</f>
        <v>Large</v>
      </c>
      <c r="L1287" t="str">
        <f t="shared" si="82"/>
        <v>Standard</v>
      </c>
      <c r="M1287" t="str">
        <f t="shared" si="83"/>
        <v>Weekday</v>
      </c>
    </row>
    <row r="1288" spans="1:13" x14ac:dyDescent="0.35">
      <c r="A1288" t="s">
        <v>1329</v>
      </c>
      <c r="B1288" s="1">
        <v>45528</v>
      </c>
      <c r="C1288" t="s">
        <v>42</v>
      </c>
      <c r="D1288" t="s">
        <v>10</v>
      </c>
      <c r="E1288" t="s">
        <v>11</v>
      </c>
      <c r="F1288" s="4">
        <v>3261.53</v>
      </c>
      <c r="G1288" s="5">
        <v>1</v>
      </c>
      <c r="H1288" t="s">
        <v>15</v>
      </c>
      <c r="I1288" t="str">
        <f t="shared" si="80"/>
        <v>2024-08</v>
      </c>
      <c r="J1288" s="4">
        <f t="shared" si="81"/>
        <v>3261.53</v>
      </c>
      <c r="K1288" t="str" cm="1">
        <f t="array" ref="K1288">_xlfn.IFS(G1288&lt;=5, "Small", G1288&lt;=15, "Medium", G1288&gt;15, "Large")</f>
        <v>Small</v>
      </c>
      <c r="L1288" t="str">
        <f t="shared" si="82"/>
        <v>Standard</v>
      </c>
      <c r="M1288" t="str">
        <f t="shared" si="83"/>
        <v>Weekend</v>
      </c>
    </row>
    <row r="1289" spans="1:13" x14ac:dyDescent="0.35">
      <c r="A1289" t="s">
        <v>1330</v>
      </c>
      <c r="B1289" s="1">
        <v>45197</v>
      </c>
      <c r="C1289" t="s">
        <v>82</v>
      </c>
      <c r="D1289" t="s">
        <v>10</v>
      </c>
      <c r="E1289" t="s">
        <v>11</v>
      </c>
      <c r="F1289" s="4">
        <v>0</v>
      </c>
      <c r="G1289" s="5">
        <v>8</v>
      </c>
      <c r="H1289" t="s">
        <v>28</v>
      </c>
      <c r="I1289" t="str">
        <f t="shared" si="80"/>
        <v>2023-09</v>
      </c>
      <c r="J1289" s="4">
        <f t="shared" si="81"/>
        <v>0</v>
      </c>
      <c r="K1289" t="str" cm="1">
        <f t="array" ref="K1289">_xlfn.IFS(G1289&lt;=5, "Small", G1289&lt;=15, "Medium", G1289&gt;15, "Large")</f>
        <v>Medium</v>
      </c>
      <c r="L1289" t="str">
        <f t="shared" si="82"/>
        <v>Standard</v>
      </c>
      <c r="M1289" t="str">
        <f t="shared" si="83"/>
        <v>Weekday</v>
      </c>
    </row>
    <row r="1290" spans="1:13" x14ac:dyDescent="0.35">
      <c r="A1290" t="s">
        <v>1331</v>
      </c>
      <c r="B1290" s="1">
        <v>45609</v>
      </c>
      <c r="C1290" t="s">
        <v>37</v>
      </c>
      <c r="D1290" t="s">
        <v>21</v>
      </c>
      <c r="E1290" t="s">
        <v>18</v>
      </c>
      <c r="F1290" s="4">
        <v>3162.71</v>
      </c>
      <c r="G1290" s="5">
        <v>30</v>
      </c>
      <c r="H1290" t="s">
        <v>15</v>
      </c>
      <c r="I1290" t="str">
        <f t="shared" si="80"/>
        <v>2024-11</v>
      </c>
      <c r="J1290" s="4">
        <f t="shared" si="81"/>
        <v>105.42366666666666</v>
      </c>
      <c r="K1290" t="str" cm="1">
        <f t="array" ref="K1290">_xlfn.IFS(G1290&lt;=5, "Small", G1290&lt;=15, "Medium", G1290&gt;15, "Large")</f>
        <v>Large</v>
      </c>
      <c r="L1290" t="str">
        <f t="shared" si="82"/>
        <v>Standard</v>
      </c>
      <c r="M1290" t="str">
        <f t="shared" si="83"/>
        <v>Weekday</v>
      </c>
    </row>
    <row r="1291" spans="1:13" x14ac:dyDescent="0.35">
      <c r="A1291" t="s">
        <v>1332</v>
      </c>
      <c r="B1291" s="1">
        <v>45444</v>
      </c>
      <c r="C1291" t="s">
        <v>35</v>
      </c>
      <c r="D1291" t="s">
        <v>10</v>
      </c>
      <c r="E1291" t="s">
        <v>18</v>
      </c>
      <c r="F1291" s="4">
        <v>2292.1</v>
      </c>
      <c r="G1291" s="5">
        <v>18</v>
      </c>
      <c r="H1291" t="s">
        <v>15</v>
      </c>
      <c r="I1291" t="str">
        <f t="shared" si="80"/>
        <v>2024-06</v>
      </c>
      <c r="J1291" s="4">
        <f t="shared" si="81"/>
        <v>127.33888888888889</v>
      </c>
      <c r="K1291" t="str" cm="1">
        <f t="array" ref="K1291">_xlfn.IFS(G1291&lt;=5, "Small", G1291&lt;=15, "Medium", G1291&gt;15, "Large")</f>
        <v>Large</v>
      </c>
      <c r="L1291" t="str">
        <f t="shared" si="82"/>
        <v>Standard</v>
      </c>
      <c r="M1291" t="str">
        <f t="shared" si="83"/>
        <v>Weekend</v>
      </c>
    </row>
    <row r="1292" spans="1:13" x14ac:dyDescent="0.35">
      <c r="A1292" t="s">
        <v>1333</v>
      </c>
      <c r="B1292" s="1">
        <v>45303</v>
      </c>
      <c r="C1292" t="s">
        <v>20</v>
      </c>
      <c r="D1292" t="s">
        <v>21</v>
      </c>
      <c r="E1292" t="s">
        <v>11</v>
      </c>
      <c r="F1292" s="4">
        <v>13919.06</v>
      </c>
      <c r="G1292" s="5">
        <v>7</v>
      </c>
      <c r="H1292" t="s">
        <v>15</v>
      </c>
      <c r="I1292" t="str">
        <f t="shared" si="80"/>
        <v>2024-01</v>
      </c>
      <c r="J1292" s="4">
        <f t="shared" si="81"/>
        <v>1988.4371428571428</v>
      </c>
      <c r="K1292" t="str" cm="1">
        <f t="array" ref="K1292">_xlfn.IFS(G1292&lt;=5, "Small", G1292&lt;=15, "Medium", G1292&gt;15, "Large")</f>
        <v>Medium</v>
      </c>
      <c r="L1292" t="str">
        <f t="shared" si="82"/>
        <v>Standard</v>
      </c>
      <c r="M1292" t="str">
        <f t="shared" si="83"/>
        <v>Weekday</v>
      </c>
    </row>
    <row r="1293" spans="1:13" x14ac:dyDescent="0.35">
      <c r="A1293" t="s">
        <v>1334</v>
      </c>
      <c r="B1293" s="1">
        <v>45437</v>
      </c>
      <c r="C1293" t="s">
        <v>62</v>
      </c>
      <c r="D1293" t="s">
        <v>10</v>
      </c>
      <c r="E1293" t="s">
        <v>11</v>
      </c>
      <c r="F1293" s="4">
        <v>11001.14</v>
      </c>
      <c r="G1293" s="5">
        <v>6</v>
      </c>
      <c r="H1293" t="s">
        <v>15</v>
      </c>
      <c r="I1293" t="str">
        <f t="shared" si="80"/>
        <v>2024-05</v>
      </c>
      <c r="J1293" s="4">
        <f t="shared" si="81"/>
        <v>1833.5233333333333</v>
      </c>
      <c r="K1293" t="str" cm="1">
        <f t="array" ref="K1293">_xlfn.IFS(G1293&lt;=5, "Small", G1293&lt;=15, "Medium", G1293&gt;15, "Large")</f>
        <v>Medium</v>
      </c>
      <c r="L1293" t="str">
        <f t="shared" si="82"/>
        <v>Standard</v>
      </c>
      <c r="M1293" t="str">
        <f t="shared" si="83"/>
        <v>Weekend</v>
      </c>
    </row>
    <row r="1294" spans="1:13" x14ac:dyDescent="0.35">
      <c r="A1294" t="s">
        <v>1335</v>
      </c>
      <c r="B1294" s="1">
        <v>45095</v>
      </c>
      <c r="C1294" t="s">
        <v>60</v>
      </c>
      <c r="D1294" t="s">
        <v>21</v>
      </c>
      <c r="E1294" t="s">
        <v>27</v>
      </c>
      <c r="F1294" s="4">
        <v>27578.62</v>
      </c>
      <c r="G1294" s="5">
        <v>3</v>
      </c>
      <c r="H1294" t="s">
        <v>15</v>
      </c>
      <c r="I1294" t="str">
        <f t="shared" si="80"/>
        <v>2023-06</v>
      </c>
      <c r="J1294" s="4">
        <f t="shared" si="81"/>
        <v>9192.873333333333</v>
      </c>
      <c r="K1294" t="str" cm="1">
        <f t="array" ref="K1294">_xlfn.IFS(G1294&lt;=5, "Small", G1294&lt;=15, "Medium", G1294&gt;15, "Large")</f>
        <v>Small</v>
      </c>
      <c r="L1294" t="str">
        <f t="shared" si="82"/>
        <v>Standard</v>
      </c>
      <c r="M1294" t="str">
        <f t="shared" si="83"/>
        <v>Weekend</v>
      </c>
    </row>
    <row r="1295" spans="1:13" x14ac:dyDescent="0.35">
      <c r="A1295" t="s">
        <v>1336</v>
      </c>
      <c r="B1295" s="1">
        <v>45324</v>
      </c>
      <c r="C1295" t="s">
        <v>69</v>
      </c>
      <c r="D1295" t="s">
        <v>31</v>
      </c>
      <c r="E1295" t="s">
        <v>27</v>
      </c>
      <c r="F1295" s="4">
        <v>8583.64</v>
      </c>
      <c r="G1295" s="5">
        <v>5</v>
      </c>
      <c r="H1295" t="s">
        <v>15</v>
      </c>
      <c r="I1295" t="str">
        <f t="shared" si="80"/>
        <v>2024-02</v>
      </c>
      <c r="J1295" s="4">
        <f t="shared" si="81"/>
        <v>1716.7279999999998</v>
      </c>
      <c r="K1295" t="str" cm="1">
        <f t="array" ref="K1295">_xlfn.IFS(G1295&lt;=5, "Small", G1295&lt;=15, "Medium", G1295&gt;15, "Large")</f>
        <v>Small</v>
      </c>
      <c r="L1295" t="str">
        <f t="shared" si="82"/>
        <v>Standard</v>
      </c>
      <c r="M1295" t="str">
        <f t="shared" si="83"/>
        <v>Weekday</v>
      </c>
    </row>
    <row r="1296" spans="1:13" x14ac:dyDescent="0.35">
      <c r="A1296" t="s">
        <v>1337</v>
      </c>
      <c r="B1296" s="1">
        <v>44990</v>
      </c>
      <c r="C1296" t="s">
        <v>82</v>
      </c>
      <c r="D1296" t="s">
        <v>10</v>
      </c>
      <c r="E1296" t="s">
        <v>11</v>
      </c>
      <c r="F1296" s="4">
        <v>0</v>
      </c>
      <c r="G1296" s="5">
        <v>6</v>
      </c>
      <c r="H1296" t="s">
        <v>12</v>
      </c>
      <c r="I1296" t="str">
        <f t="shared" si="80"/>
        <v>2023-03</v>
      </c>
      <c r="J1296" s="4">
        <f t="shared" si="81"/>
        <v>0</v>
      </c>
      <c r="K1296" t="str" cm="1">
        <f t="array" ref="K1296">_xlfn.IFS(G1296&lt;=5, "Small", G1296&lt;=15, "Medium", G1296&gt;15, "Large")</f>
        <v>Medium</v>
      </c>
      <c r="L1296" t="str">
        <f t="shared" si="82"/>
        <v>Standard</v>
      </c>
      <c r="M1296" t="str">
        <f t="shared" si="83"/>
        <v>Weekend</v>
      </c>
    </row>
    <row r="1297" spans="1:13" x14ac:dyDescent="0.35">
      <c r="A1297" t="s">
        <v>1338</v>
      </c>
      <c r="B1297" s="1">
        <v>45237</v>
      </c>
      <c r="C1297" t="s">
        <v>50</v>
      </c>
      <c r="D1297" t="s">
        <v>26</v>
      </c>
      <c r="E1297" t="s">
        <v>11</v>
      </c>
      <c r="F1297" s="4">
        <v>15490.76</v>
      </c>
      <c r="G1297" s="5">
        <v>2</v>
      </c>
      <c r="H1297" t="s">
        <v>15</v>
      </c>
      <c r="I1297" t="str">
        <f t="shared" si="80"/>
        <v>2023-11</v>
      </c>
      <c r="J1297" s="4">
        <f t="shared" si="81"/>
        <v>7745.38</v>
      </c>
      <c r="K1297" t="str" cm="1">
        <f t="array" ref="K1297">_xlfn.IFS(G1297&lt;=5, "Small", G1297&lt;=15, "Medium", G1297&gt;15, "Large")</f>
        <v>Small</v>
      </c>
      <c r="L1297" t="str">
        <f t="shared" si="82"/>
        <v>Standard</v>
      </c>
      <c r="M1297" t="str">
        <f t="shared" si="83"/>
        <v>Weekday</v>
      </c>
    </row>
    <row r="1298" spans="1:13" x14ac:dyDescent="0.35">
      <c r="A1298" t="s">
        <v>1339</v>
      </c>
      <c r="B1298" s="1">
        <v>45625</v>
      </c>
      <c r="C1298" t="s">
        <v>175</v>
      </c>
      <c r="D1298" t="s">
        <v>21</v>
      </c>
      <c r="E1298" t="s">
        <v>18</v>
      </c>
      <c r="F1298" s="4">
        <v>274.04000000000002</v>
      </c>
      <c r="G1298" s="5">
        <v>18</v>
      </c>
      <c r="H1298" t="s">
        <v>15</v>
      </c>
      <c r="I1298" t="str">
        <f t="shared" si="80"/>
        <v>2024-11</v>
      </c>
      <c r="J1298" s="4">
        <f t="shared" si="81"/>
        <v>15.224444444444446</v>
      </c>
      <c r="K1298" t="str" cm="1">
        <f t="array" ref="K1298">_xlfn.IFS(G1298&lt;=5, "Small", G1298&lt;=15, "Medium", G1298&gt;15, "Large")</f>
        <v>Large</v>
      </c>
      <c r="L1298" t="str">
        <f t="shared" si="82"/>
        <v>Standard</v>
      </c>
      <c r="M1298" t="str">
        <f t="shared" si="83"/>
        <v>Weekday</v>
      </c>
    </row>
    <row r="1299" spans="1:13" x14ac:dyDescent="0.35">
      <c r="A1299" t="s">
        <v>1340</v>
      </c>
      <c r="B1299" s="1">
        <v>45501</v>
      </c>
      <c r="C1299" t="s">
        <v>35</v>
      </c>
      <c r="D1299" t="s">
        <v>31</v>
      </c>
      <c r="E1299" t="s">
        <v>11</v>
      </c>
      <c r="F1299" s="4">
        <v>12414.11</v>
      </c>
      <c r="G1299" s="5">
        <v>8</v>
      </c>
      <c r="H1299" t="s">
        <v>15</v>
      </c>
      <c r="I1299" t="str">
        <f t="shared" si="80"/>
        <v>2024-07</v>
      </c>
      <c r="J1299" s="4">
        <f t="shared" si="81"/>
        <v>1551.7637500000001</v>
      </c>
      <c r="K1299" t="str" cm="1">
        <f t="array" ref="K1299">_xlfn.IFS(G1299&lt;=5, "Small", G1299&lt;=15, "Medium", G1299&gt;15, "Large")</f>
        <v>Medium</v>
      </c>
      <c r="L1299" t="str">
        <f t="shared" si="82"/>
        <v>Standard</v>
      </c>
      <c r="M1299" t="str">
        <f t="shared" si="83"/>
        <v>Weekend</v>
      </c>
    </row>
    <row r="1300" spans="1:13" x14ac:dyDescent="0.35">
      <c r="A1300" t="s">
        <v>1341</v>
      </c>
      <c r="B1300" s="1">
        <v>45271</v>
      </c>
      <c r="C1300" t="s">
        <v>45</v>
      </c>
      <c r="D1300" t="s">
        <v>21</v>
      </c>
      <c r="E1300" t="s">
        <v>18</v>
      </c>
      <c r="F1300" s="4">
        <v>1739.97</v>
      </c>
      <c r="G1300" s="5">
        <v>19</v>
      </c>
      <c r="H1300" t="s">
        <v>15</v>
      </c>
      <c r="I1300" t="str">
        <f t="shared" si="80"/>
        <v>2023-12</v>
      </c>
      <c r="J1300" s="4">
        <f t="shared" si="81"/>
        <v>91.57736842105264</v>
      </c>
      <c r="K1300" t="str" cm="1">
        <f t="array" ref="K1300">_xlfn.IFS(G1300&lt;=5, "Small", G1300&lt;=15, "Medium", G1300&gt;15, "Large")</f>
        <v>Large</v>
      </c>
      <c r="L1300" t="str">
        <f t="shared" si="82"/>
        <v>Standard</v>
      </c>
      <c r="M1300" t="str">
        <f t="shared" si="83"/>
        <v>Weekday</v>
      </c>
    </row>
    <row r="1301" spans="1:13" x14ac:dyDescent="0.35">
      <c r="A1301" t="s">
        <v>1342</v>
      </c>
      <c r="B1301" s="1">
        <v>45081</v>
      </c>
      <c r="C1301" t="s">
        <v>111</v>
      </c>
      <c r="D1301" t="s">
        <v>31</v>
      </c>
      <c r="E1301" t="s">
        <v>27</v>
      </c>
      <c r="F1301" s="4">
        <v>32023.73</v>
      </c>
      <c r="G1301" s="5">
        <v>1</v>
      </c>
      <c r="H1301" t="s">
        <v>15</v>
      </c>
      <c r="I1301" t="str">
        <f t="shared" si="80"/>
        <v>2023-06</v>
      </c>
      <c r="J1301" s="4">
        <f t="shared" si="81"/>
        <v>32023.73</v>
      </c>
      <c r="K1301" t="str" cm="1">
        <f t="array" ref="K1301">_xlfn.IFS(G1301&lt;=5, "Small", G1301&lt;=15, "Medium", G1301&gt;15, "Large")</f>
        <v>Small</v>
      </c>
      <c r="L1301" t="str">
        <f t="shared" si="82"/>
        <v>VIP</v>
      </c>
      <c r="M1301" t="str">
        <f t="shared" si="83"/>
        <v>Weekend</v>
      </c>
    </row>
    <row r="1302" spans="1:13" x14ac:dyDescent="0.35">
      <c r="A1302" t="s">
        <v>1343</v>
      </c>
      <c r="B1302" s="1">
        <v>45130</v>
      </c>
      <c r="C1302" t="s">
        <v>35</v>
      </c>
      <c r="D1302" t="s">
        <v>31</v>
      </c>
      <c r="E1302" t="s">
        <v>11</v>
      </c>
      <c r="F1302" s="4">
        <v>15017.53</v>
      </c>
      <c r="G1302" s="5">
        <v>4</v>
      </c>
      <c r="H1302" t="s">
        <v>15</v>
      </c>
      <c r="I1302" t="str">
        <f t="shared" si="80"/>
        <v>2023-07</v>
      </c>
      <c r="J1302" s="4">
        <f t="shared" si="81"/>
        <v>3754.3825000000002</v>
      </c>
      <c r="K1302" t="str" cm="1">
        <f t="array" ref="K1302">_xlfn.IFS(G1302&lt;=5, "Small", G1302&lt;=15, "Medium", G1302&gt;15, "Large")</f>
        <v>Small</v>
      </c>
      <c r="L1302" t="str">
        <f t="shared" si="82"/>
        <v>Standard</v>
      </c>
      <c r="M1302" t="str">
        <f t="shared" si="83"/>
        <v>Weekend</v>
      </c>
    </row>
    <row r="1303" spans="1:13" x14ac:dyDescent="0.35">
      <c r="A1303" t="s">
        <v>1344</v>
      </c>
      <c r="B1303" s="1">
        <v>45086</v>
      </c>
      <c r="C1303" t="s">
        <v>58</v>
      </c>
      <c r="D1303" t="s">
        <v>26</v>
      </c>
      <c r="E1303" t="s">
        <v>11</v>
      </c>
      <c r="F1303" s="4">
        <v>15416.55</v>
      </c>
      <c r="G1303" s="5">
        <v>5</v>
      </c>
      <c r="H1303" t="s">
        <v>15</v>
      </c>
      <c r="I1303" t="str">
        <f t="shared" si="80"/>
        <v>2023-06</v>
      </c>
      <c r="J1303" s="4">
        <f t="shared" si="81"/>
        <v>3083.31</v>
      </c>
      <c r="K1303" t="str" cm="1">
        <f t="array" ref="K1303">_xlfn.IFS(G1303&lt;=5, "Small", G1303&lt;=15, "Medium", G1303&gt;15, "Large")</f>
        <v>Small</v>
      </c>
      <c r="L1303" t="str">
        <f t="shared" si="82"/>
        <v>Standard</v>
      </c>
      <c r="M1303" t="str">
        <f t="shared" si="83"/>
        <v>Weekday</v>
      </c>
    </row>
    <row r="1304" spans="1:13" x14ac:dyDescent="0.35">
      <c r="A1304" t="s">
        <v>1345</v>
      </c>
      <c r="B1304" s="1">
        <v>44962</v>
      </c>
      <c r="C1304" t="s">
        <v>48</v>
      </c>
      <c r="D1304" t="s">
        <v>31</v>
      </c>
      <c r="E1304" t="s">
        <v>18</v>
      </c>
      <c r="F1304" s="4">
        <v>214.76</v>
      </c>
      <c r="G1304" s="5">
        <v>21</v>
      </c>
      <c r="H1304" t="s">
        <v>15</v>
      </c>
      <c r="I1304" t="str">
        <f t="shared" si="80"/>
        <v>2023-02</v>
      </c>
      <c r="J1304" s="4">
        <f t="shared" si="81"/>
        <v>10.226666666666667</v>
      </c>
      <c r="K1304" t="str" cm="1">
        <f t="array" ref="K1304">_xlfn.IFS(G1304&lt;=5, "Small", G1304&lt;=15, "Medium", G1304&gt;15, "Large")</f>
        <v>Large</v>
      </c>
      <c r="L1304" t="str">
        <f t="shared" si="82"/>
        <v>Standard</v>
      </c>
      <c r="M1304" t="str">
        <f t="shared" si="83"/>
        <v>Weekend</v>
      </c>
    </row>
    <row r="1305" spans="1:13" x14ac:dyDescent="0.35">
      <c r="A1305" t="s">
        <v>1346</v>
      </c>
      <c r="B1305" s="1">
        <v>45629</v>
      </c>
      <c r="C1305" t="s">
        <v>17</v>
      </c>
      <c r="D1305" t="s">
        <v>10</v>
      </c>
      <c r="E1305" t="s">
        <v>18</v>
      </c>
      <c r="F1305" s="4">
        <v>1904.73</v>
      </c>
      <c r="G1305" s="5">
        <v>11</v>
      </c>
      <c r="H1305" t="s">
        <v>15</v>
      </c>
      <c r="I1305" t="str">
        <f t="shared" si="80"/>
        <v>2024-12</v>
      </c>
      <c r="J1305" s="4">
        <f t="shared" si="81"/>
        <v>173.15727272727273</v>
      </c>
      <c r="K1305" t="str" cm="1">
        <f t="array" ref="K1305">_xlfn.IFS(G1305&lt;=5, "Small", G1305&lt;=15, "Medium", G1305&gt;15, "Large")</f>
        <v>Medium</v>
      </c>
      <c r="L1305" t="str">
        <f t="shared" si="82"/>
        <v>Standard</v>
      </c>
      <c r="M1305" t="str">
        <f t="shared" si="83"/>
        <v>Weekday</v>
      </c>
    </row>
    <row r="1306" spans="1:13" x14ac:dyDescent="0.35">
      <c r="A1306" t="s">
        <v>1347</v>
      </c>
      <c r="B1306" s="1">
        <v>45493</v>
      </c>
      <c r="C1306" t="s">
        <v>35</v>
      </c>
      <c r="D1306" t="s">
        <v>31</v>
      </c>
      <c r="E1306" t="s">
        <v>18</v>
      </c>
      <c r="F1306" s="4">
        <v>1032.98</v>
      </c>
      <c r="G1306" s="5">
        <v>23</v>
      </c>
      <c r="H1306" t="s">
        <v>15</v>
      </c>
      <c r="I1306" t="str">
        <f t="shared" si="80"/>
        <v>2024-07</v>
      </c>
      <c r="J1306" s="4">
        <f t="shared" si="81"/>
        <v>44.912173913043482</v>
      </c>
      <c r="K1306" t="str" cm="1">
        <f t="array" ref="K1306">_xlfn.IFS(G1306&lt;=5, "Small", G1306&lt;=15, "Medium", G1306&gt;15, "Large")</f>
        <v>Large</v>
      </c>
      <c r="L1306" t="str">
        <f t="shared" si="82"/>
        <v>Standard</v>
      </c>
      <c r="M1306" t="str">
        <f t="shared" si="83"/>
        <v>Weekend</v>
      </c>
    </row>
    <row r="1307" spans="1:13" x14ac:dyDescent="0.35">
      <c r="A1307" t="s">
        <v>1348</v>
      </c>
      <c r="B1307" s="1">
        <v>44984</v>
      </c>
      <c r="C1307" t="s">
        <v>126</v>
      </c>
      <c r="D1307" t="s">
        <v>21</v>
      </c>
      <c r="E1307" t="s">
        <v>11</v>
      </c>
      <c r="F1307" s="4">
        <v>4444.66</v>
      </c>
      <c r="G1307" s="5">
        <v>6</v>
      </c>
      <c r="H1307" t="s">
        <v>15</v>
      </c>
      <c r="I1307" t="str">
        <f t="shared" si="80"/>
        <v>2023-02</v>
      </c>
      <c r="J1307" s="4">
        <f t="shared" si="81"/>
        <v>740.77666666666664</v>
      </c>
      <c r="K1307" t="str" cm="1">
        <f t="array" ref="K1307">_xlfn.IFS(G1307&lt;=5, "Small", G1307&lt;=15, "Medium", G1307&gt;15, "Large")</f>
        <v>Medium</v>
      </c>
      <c r="L1307" t="str">
        <f t="shared" si="82"/>
        <v>Standard</v>
      </c>
      <c r="M1307" t="str">
        <f t="shared" si="83"/>
        <v>Weekday</v>
      </c>
    </row>
    <row r="1308" spans="1:13" x14ac:dyDescent="0.35">
      <c r="A1308" t="s">
        <v>1349</v>
      </c>
      <c r="B1308" s="1">
        <v>45156</v>
      </c>
      <c r="C1308" t="s">
        <v>62</v>
      </c>
      <c r="D1308" t="s">
        <v>10</v>
      </c>
      <c r="E1308" t="s">
        <v>27</v>
      </c>
      <c r="F1308" s="4">
        <v>37891.589999999997</v>
      </c>
      <c r="G1308" s="5">
        <v>3</v>
      </c>
      <c r="H1308" t="s">
        <v>15</v>
      </c>
      <c r="I1308" t="str">
        <f t="shared" si="80"/>
        <v>2023-08</v>
      </c>
      <c r="J1308" s="4">
        <f t="shared" si="81"/>
        <v>12630.529999999999</v>
      </c>
      <c r="K1308" t="str" cm="1">
        <f t="array" ref="K1308">_xlfn.IFS(G1308&lt;=5, "Small", G1308&lt;=15, "Medium", G1308&gt;15, "Large")</f>
        <v>Small</v>
      </c>
      <c r="L1308" t="str">
        <f t="shared" si="82"/>
        <v>VIP</v>
      </c>
      <c r="M1308" t="str">
        <f t="shared" si="83"/>
        <v>Weekday</v>
      </c>
    </row>
    <row r="1309" spans="1:13" x14ac:dyDescent="0.35">
      <c r="A1309" t="s">
        <v>1350</v>
      </c>
      <c r="B1309" s="1">
        <v>45297</v>
      </c>
      <c r="C1309" t="s">
        <v>62</v>
      </c>
      <c r="D1309" t="s">
        <v>10</v>
      </c>
      <c r="E1309" t="s">
        <v>18</v>
      </c>
      <c r="F1309" s="4">
        <v>560.20000000000005</v>
      </c>
      <c r="G1309" s="5">
        <v>20</v>
      </c>
      <c r="H1309" t="s">
        <v>15</v>
      </c>
      <c r="I1309" t="str">
        <f t="shared" si="80"/>
        <v>2024-01</v>
      </c>
      <c r="J1309" s="4">
        <f t="shared" si="81"/>
        <v>28.01</v>
      </c>
      <c r="K1309" t="str" cm="1">
        <f t="array" ref="K1309">_xlfn.IFS(G1309&lt;=5, "Small", G1309&lt;=15, "Medium", G1309&gt;15, "Large")</f>
        <v>Large</v>
      </c>
      <c r="L1309" t="str">
        <f t="shared" si="82"/>
        <v>Standard</v>
      </c>
      <c r="M1309" t="str">
        <f t="shared" si="83"/>
        <v>Weekend</v>
      </c>
    </row>
    <row r="1310" spans="1:13" x14ac:dyDescent="0.35">
      <c r="A1310" t="s">
        <v>1351</v>
      </c>
      <c r="B1310" s="1">
        <v>45030</v>
      </c>
      <c r="C1310" t="s">
        <v>53</v>
      </c>
      <c r="D1310" t="s">
        <v>31</v>
      </c>
      <c r="E1310" t="s">
        <v>11</v>
      </c>
      <c r="F1310" s="4">
        <v>15838.72</v>
      </c>
      <c r="G1310" s="5">
        <v>5</v>
      </c>
      <c r="H1310" t="s">
        <v>15</v>
      </c>
      <c r="I1310" t="str">
        <f t="shared" si="80"/>
        <v>2023-04</v>
      </c>
      <c r="J1310" s="4">
        <f t="shared" si="81"/>
        <v>3167.7439999999997</v>
      </c>
      <c r="K1310" t="str" cm="1">
        <f t="array" ref="K1310">_xlfn.IFS(G1310&lt;=5, "Small", G1310&lt;=15, "Medium", G1310&gt;15, "Large")</f>
        <v>Small</v>
      </c>
      <c r="L1310" t="str">
        <f t="shared" si="82"/>
        <v>Standard</v>
      </c>
      <c r="M1310" t="str">
        <f t="shared" si="83"/>
        <v>Weekday</v>
      </c>
    </row>
    <row r="1311" spans="1:13" x14ac:dyDescent="0.35">
      <c r="A1311" t="s">
        <v>1352</v>
      </c>
      <c r="B1311" s="1">
        <v>45205</v>
      </c>
      <c r="C1311" t="s">
        <v>23</v>
      </c>
      <c r="D1311" t="s">
        <v>21</v>
      </c>
      <c r="E1311" t="s">
        <v>11</v>
      </c>
      <c r="F1311" s="4">
        <v>14458.21</v>
      </c>
      <c r="G1311" s="5">
        <v>3</v>
      </c>
      <c r="H1311" t="s">
        <v>15</v>
      </c>
      <c r="I1311" t="str">
        <f t="shared" si="80"/>
        <v>2023-10</v>
      </c>
      <c r="J1311" s="4">
        <f t="shared" si="81"/>
        <v>4819.4033333333327</v>
      </c>
      <c r="K1311" t="str" cm="1">
        <f t="array" ref="K1311">_xlfn.IFS(G1311&lt;=5, "Small", G1311&lt;=15, "Medium", G1311&gt;15, "Large")</f>
        <v>Small</v>
      </c>
      <c r="L1311" t="str">
        <f t="shared" si="82"/>
        <v>Standard</v>
      </c>
      <c r="M1311" t="str">
        <f t="shared" si="83"/>
        <v>Weekday</v>
      </c>
    </row>
    <row r="1312" spans="1:13" x14ac:dyDescent="0.35">
      <c r="A1312" t="s">
        <v>1353</v>
      </c>
      <c r="B1312" s="1">
        <v>45623</v>
      </c>
      <c r="C1312" t="s">
        <v>97</v>
      </c>
      <c r="D1312" t="s">
        <v>31</v>
      </c>
      <c r="E1312" t="s">
        <v>27</v>
      </c>
      <c r="F1312" s="4">
        <v>0</v>
      </c>
      <c r="G1312" s="5">
        <v>4</v>
      </c>
      <c r="H1312" t="s">
        <v>28</v>
      </c>
      <c r="I1312" t="str">
        <f t="shared" si="80"/>
        <v>2024-11</v>
      </c>
      <c r="J1312" s="4">
        <f t="shared" si="81"/>
        <v>0</v>
      </c>
      <c r="K1312" t="str" cm="1">
        <f t="array" ref="K1312">_xlfn.IFS(G1312&lt;=5, "Small", G1312&lt;=15, "Medium", G1312&gt;15, "Large")</f>
        <v>Small</v>
      </c>
      <c r="L1312" t="str">
        <f t="shared" si="82"/>
        <v>Standard</v>
      </c>
      <c r="M1312" t="str">
        <f t="shared" si="83"/>
        <v>Weekday</v>
      </c>
    </row>
    <row r="1313" spans="1:13" x14ac:dyDescent="0.35">
      <c r="A1313" t="s">
        <v>1354</v>
      </c>
      <c r="B1313" s="1">
        <v>45500</v>
      </c>
      <c r="C1313" t="s">
        <v>160</v>
      </c>
      <c r="D1313" t="s">
        <v>26</v>
      </c>
      <c r="E1313" t="s">
        <v>18</v>
      </c>
      <c r="F1313" s="4">
        <v>2317.23</v>
      </c>
      <c r="G1313" s="5">
        <v>23</v>
      </c>
      <c r="H1313" t="s">
        <v>15</v>
      </c>
      <c r="I1313" t="str">
        <f t="shared" si="80"/>
        <v>2024-07</v>
      </c>
      <c r="J1313" s="4">
        <f t="shared" si="81"/>
        <v>100.74913043478261</v>
      </c>
      <c r="K1313" t="str" cm="1">
        <f t="array" ref="K1313">_xlfn.IFS(G1313&lt;=5, "Small", G1313&lt;=15, "Medium", G1313&gt;15, "Large")</f>
        <v>Large</v>
      </c>
      <c r="L1313" t="str">
        <f t="shared" si="82"/>
        <v>Standard</v>
      </c>
      <c r="M1313" t="str">
        <f t="shared" si="83"/>
        <v>Weekend</v>
      </c>
    </row>
    <row r="1314" spans="1:13" x14ac:dyDescent="0.35">
      <c r="A1314" t="s">
        <v>1355</v>
      </c>
      <c r="B1314" s="1">
        <v>45087</v>
      </c>
      <c r="C1314" t="s">
        <v>72</v>
      </c>
      <c r="D1314" t="s">
        <v>26</v>
      </c>
      <c r="E1314" t="s">
        <v>27</v>
      </c>
      <c r="F1314" s="4">
        <v>0</v>
      </c>
      <c r="G1314" s="5">
        <v>4</v>
      </c>
      <c r="H1314" t="s">
        <v>28</v>
      </c>
      <c r="I1314" t="str">
        <f t="shared" si="80"/>
        <v>2023-06</v>
      </c>
      <c r="J1314" s="4">
        <f t="shared" si="81"/>
        <v>0</v>
      </c>
      <c r="K1314" t="str" cm="1">
        <f t="array" ref="K1314">_xlfn.IFS(G1314&lt;=5, "Small", G1314&lt;=15, "Medium", G1314&gt;15, "Large")</f>
        <v>Small</v>
      </c>
      <c r="L1314" t="str">
        <f t="shared" si="82"/>
        <v>Standard</v>
      </c>
      <c r="M1314" t="str">
        <f t="shared" si="83"/>
        <v>Weekend</v>
      </c>
    </row>
    <row r="1315" spans="1:13" x14ac:dyDescent="0.35">
      <c r="A1315" t="s">
        <v>1356</v>
      </c>
      <c r="B1315" s="1">
        <v>45297</v>
      </c>
      <c r="C1315" t="s">
        <v>20</v>
      </c>
      <c r="D1315" t="s">
        <v>21</v>
      </c>
      <c r="E1315" t="s">
        <v>27</v>
      </c>
      <c r="F1315" s="4">
        <v>0</v>
      </c>
      <c r="G1315" s="5">
        <v>4</v>
      </c>
      <c r="H1315" t="s">
        <v>28</v>
      </c>
      <c r="I1315" t="str">
        <f t="shared" si="80"/>
        <v>2024-01</v>
      </c>
      <c r="J1315" s="4">
        <f t="shared" si="81"/>
        <v>0</v>
      </c>
      <c r="K1315" t="str" cm="1">
        <f t="array" ref="K1315">_xlfn.IFS(G1315&lt;=5, "Small", G1315&lt;=15, "Medium", G1315&gt;15, "Large")</f>
        <v>Small</v>
      </c>
      <c r="L1315" t="str">
        <f t="shared" si="82"/>
        <v>Standard</v>
      </c>
      <c r="M1315" t="str">
        <f t="shared" si="83"/>
        <v>Weekend</v>
      </c>
    </row>
    <row r="1316" spans="1:13" x14ac:dyDescent="0.35">
      <c r="A1316" t="s">
        <v>1357</v>
      </c>
      <c r="B1316" s="1">
        <v>45457</v>
      </c>
      <c r="C1316" t="s">
        <v>89</v>
      </c>
      <c r="D1316" t="s">
        <v>21</v>
      </c>
      <c r="E1316" t="s">
        <v>11</v>
      </c>
      <c r="F1316" s="4">
        <v>7222.56</v>
      </c>
      <c r="G1316" s="5">
        <v>2</v>
      </c>
      <c r="H1316" t="s">
        <v>15</v>
      </c>
      <c r="I1316" t="str">
        <f t="shared" si="80"/>
        <v>2024-06</v>
      </c>
      <c r="J1316" s="4">
        <f t="shared" si="81"/>
        <v>3611.28</v>
      </c>
      <c r="K1316" t="str" cm="1">
        <f t="array" ref="K1316">_xlfn.IFS(G1316&lt;=5, "Small", G1316&lt;=15, "Medium", G1316&gt;15, "Large")</f>
        <v>Small</v>
      </c>
      <c r="L1316" t="str">
        <f t="shared" si="82"/>
        <v>Standard</v>
      </c>
      <c r="M1316" t="str">
        <f t="shared" si="83"/>
        <v>Weekday</v>
      </c>
    </row>
    <row r="1317" spans="1:13" x14ac:dyDescent="0.35">
      <c r="A1317" t="s">
        <v>1358</v>
      </c>
      <c r="B1317" s="1">
        <v>44938</v>
      </c>
      <c r="C1317" t="s">
        <v>37</v>
      </c>
      <c r="D1317" t="s">
        <v>21</v>
      </c>
      <c r="E1317" t="s">
        <v>27</v>
      </c>
      <c r="F1317" s="4">
        <v>32683.19</v>
      </c>
      <c r="G1317" s="5">
        <v>4</v>
      </c>
      <c r="H1317" t="s">
        <v>15</v>
      </c>
      <c r="I1317" t="str">
        <f t="shared" si="80"/>
        <v>2023-01</v>
      </c>
      <c r="J1317" s="4">
        <f t="shared" si="81"/>
        <v>8170.7974999999997</v>
      </c>
      <c r="K1317" t="str" cm="1">
        <f t="array" ref="K1317">_xlfn.IFS(G1317&lt;=5, "Small", G1317&lt;=15, "Medium", G1317&gt;15, "Large")</f>
        <v>Small</v>
      </c>
      <c r="L1317" t="str">
        <f t="shared" si="82"/>
        <v>VIP</v>
      </c>
      <c r="M1317" t="str">
        <f t="shared" si="83"/>
        <v>Weekday</v>
      </c>
    </row>
    <row r="1318" spans="1:13" x14ac:dyDescent="0.35">
      <c r="A1318" t="s">
        <v>1359</v>
      </c>
      <c r="B1318" s="1">
        <v>45218</v>
      </c>
      <c r="C1318" t="s">
        <v>69</v>
      </c>
      <c r="D1318" t="s">
        <v>31</v>
      </c>
      <c r="E1318" t="s">
        <v>11</v>
      </c>
      <c r="F1318" s="4">
        <v>15775.14</v>
      </c>
      <c r="G1318" s="5">
        <v>2</v>
      </c>
      <c r="H1318" t="s">
        <v>15</v>
      </c>
      <c r="I1318" t="str">
        <f t="shared" si="80"/>
        <v>2023-10</v>
      </c>
      <c r="J1318" s="4">
        <f t="shared" si="81"/>
        <v>7887.57</v>
      </c>
      <c r="K1318" t="str" cm="1">
        <f t="array" ref="K1318">_xlfn.IFS(G1318&lt;=5, "Small", G1318&lt;=15, "Medium", G1318&gt;15, "Large")</f>
        <v>Small</v>
      </c>
      <c r="L1318" t="str">
        <f t="shared" si="82"/>
        <v>Standard</v>
      </c>
      <c r="M1318" t="str">
        <f t="shared" si="83"/>
        <v>Weekday</v>
      </c>
    </row>
    <row r="1319" spans="1:13" x14ac:dyDescent="0.35">
      <c r="A1319" t="s">
        <v>1360</v>
      </c>
      <c r="B1319" s="1">
        <v>45493</v>
      </c>
      <c r="C1319" t="s">
        <v>89</v>
      </c>
      <c r="D1319" t="s">
        <v>21</v>
      </c>
      <c r="E1319" t="s">
        <v>27</v>
      </c>
      <c r="F1319" s="4">
        <v>0</v>
      </c>
      <c r="G1319" s="5">
        <v>5</v>
      </c>
      <c r="H1319" t="s">
        <v>12</v>
      </c>
      <c r="I1319" t="str">
        <f t="shared" si="80"/>
        <v>2024-07</v>
      </c>
      <c r="J1319" s="4">
        <f t="shared" si="81"/>
        <v>0</v>
      </c>
      <c r="K1319" t="str" cm="1">
        <f t="array" ref="K1319">_xlfn.IFS(G1319&lt;=5, "Small", G1319&lt;=15, "Medium", G1319&gt;15, "Large")</f>
        <v>Small</v>
      </c>
      <c r="L1319" t="str">
        <f t="shared" si="82"/>
        <v>Standard</v>
      </c>
      <c r="M1319" t="str">
        <f t="shared" si="83"/>
        <v>Weekend</v>
      </c>
    </row>
    <row r="1320" spans="1:13" x14ac:dyDescent="0.35">
      <c r="A1320" t="s">
        <v>1361</v>
      </c>
      <c r="B1320" s="1">
        <v>45425</v>
      </c>
      <c r="C1320" t="s">
        <v>253</v>
      </c>
      <c r="D1320" t="s">
        <v>21</v>
      </c>
      <c r="E1320" t="s">
        <v>11</v>
      </c>
      <c r="F1320" s="4">
        <v>13917.92</v>
      </c>
      <c r="G1320" s="5">
        <v>5</v>
      </c>
      <c r="H1320" t="s">
        <v>15</v>
      </c>
      <c r="I1320" t="str">
        <f t="shared" si="80"/>
        <v>2024-05</v>
      </c>
      <c r="J1320" s="4">
        <f t="shared" si="81"/>
        <v>2783.5839999999998</v>
      </c>
      <c r="K1320" t="str" cm="1">
        <f t="array" ref="K1320">_xlfn.IFS(G1320&lt;=5, "Small", G1320&lt;=15, "Medium", G1320&gt;15, "Large")</f>
        <v>Small</v>
      </c>
      <c r="L1320" t="str">
        <f t="shared" si="82"/>
        <v>Standard</v>
      </c>
      <c r="M1320" t="str">
        <f t="shared" si="83"/>
        <v>Weekday</v>
      </c>
    </row>
    <row r="1321" spans="1:13" x14ac:dyDescent="0.35">
      <c r="A1321" t="s">
        <v>1362</v>
      </c>
      <c r="B1321" s="1">
        <v>45054</v>
      </c>
      <c r="C1321" t="s">
        <v>74</v>
      </c>
      <c r="D1321" t="s">
        <v>31</v>
      </c>
      <c r="E1321" t="s">
        <v>27</v>
      </c>
      <c r="F1321" s="4">
        <v>44639.25</v>
      </c>
      <c r="G1321" s="5">
        <v>4</v>
      </c>
      <c r="H1321" t="s">
        <v>15</v>
      </c>
      <c r="I1321" t="str">
        <f t="shared" si="80"/>
        <v>2023-05</v>
      </c>
      <c r="J1321" s="4">
        <f t="shared" si="81"/>
        <v>11159.8125</v>
      </c>
      <c r="K1321" t="str" cm="1">
        <f t="array" ref="K1321">_xlfn.IFS(G1321&lt;=5, "Small", G1321&lt;=15, "Medium", G1321&gt;15, "Large")</f>
        <v>Small</v>
      </c>
      <c r="L1321" t="str">
        <f t="shared" si="82"/>
        <v>VIP</v>
      </c>
      <c r="M1321" t="str">
        <f t="shared" si="83"/>
        <v>Weekday</v>
      </c>
    </row>
    <row r="1322" spans="1:13" x14ac:dyDescent="0.35">
      <c r="A1322" t="s">
        <v>1363</v>
      </c>
      <c r="B1322" s="1">
        <v>45465</v>
      </c>
      <c r="C1322" t="s">
        <v>20</v>
      </c>
      <c r="D1322" t="s">
        <v>21</v>
      </c>
      <c r="E1322" t="s">
        <v>27</v>
      </c>
      <c r="F1322" s="4">
        <v>0</v>
      </c>
      <c r="G1322" s="5">
        <v>4</v>
      </c>
      <c r="H1322" t="s">
        <v>28</v>
      </c>
      <c r="I1322" t="str">
        <f t="shared" si="80"/>
        <v>2024-06</v>
      </c>
      <c r="J1322" s="4">
        <f t="shared" si="81"/>
        <v>0</v>
      </c>
      <c r="K1322" t="str" cm="1">
        <f t="array" ref="K1322">_xlfn.IFS(G1322&lt;=5, "Small", G1322&lt;=15, "Medium", G1322&gt;15, "Large")</f>
        <v>Small</v>
      </c>
      <c r="L1322" t="str">
        <f t="shared" si="82"/>
        <v>Standard</v>
      </c>
      <c r="M1322" t="str">
        <f t="shared" si="83"/>
        <v>Weekend</v>
      </c>
    </row>
    <row r="1323" spans="1:13" x14ac:dyDescent="0.35">
      <c r="A1323" t="s">
        <v>1364</v>
      </c>
      <c r="B1323" s="1">
        <v>45552</v>
      </c>
      <c r="C1323" t="s">
        <v>17</v>
      </c>
      <c r="D1323" t="s">
        <v>10</v>
      </c>
      <c r="E1323" t="s">
        <v>18</v>
      </c>
      <c r="F1323" s="4">
        <v>0</v>
      </c>
      <c r="G1323" s="5">
        <v>13</v>
      </c>
      <c r="H1323" t="s">
        <v>28</v>
      </c>
      <c r="I1323" t="str">
        <f t="shared" si="80"/>
        <v>2024-09</v>
      </c>
      <c r="J1323" s="4">
        <f t="shared" si="81"/>
        <v>0</v>
      </c>
      <c r="K1323" t="str" cm="1">
        <f t="array" ref="K1323">_xlfn.IFS(G1323&lt;=5, "Small", G1323&lt;=15, "Medium", G1323&gt;15, "Large")</f>
        <v>Medium</v>
      </c>
      <c r="L1323" t="str">
        <f t="shared" si="82"/>
        <v>Standard</v>
      </c>
      <c r="M1323" t="str">
        <f t="shared" si="83"/>
        <v>Weekday</v>
      </c>
    </row>
    <row r="1324" spans="1:13" x14ac:dyDescent="0.35">
      <c r="A1324" t="s">
        <v>1365</v>
      </c>
      <c r="B1324" s="1">
        <v>45560</v>
      </c>
      <c r="C1324" t="s">
        <v>84</v>
      </c>
      <c r="D1324" t="s">
        <v>26</v>
      </c>
      <c r="E1324" t="s">
        <v>18</v>
      </c>
      <c r="F1324" s="4">
        <v>289.97000000000003</v>
      </c>
      <c r="G1324" s="5">
        <v>22</v>
      </c>
      <c r="H1324" t="s">
        <v>15</v>
      </c>
      <c r="I1324" t="str">
        <f t="shared" si="80"/>
        <v>2024-09</v>
      </c>
      <c r="J1324" s="4">
        <f t="shared" si="81"/>
        <v>13.180454545454547</v>
      </c>
      <c r="K1324" t="str" cm="1">
        <f t="array" ref="K1324">_xlfn.IFS(G1324&lt;=5, "Small", G1324&lt;=15, "Medium", G1324&gt;15, "Large")</f>
        <v>Large</v>
      </c>
      <c r="L1324" t="str">
        <f t="shared" si="82"/>
        <v>Standard</v>
      </c>
      <c r="M1324" t="str">
        <f t="shared" si="83"/>
        <v>Weekday</v>
      </c>
    </row>
    <row r="1325" spans="1:13" x14ac:dyDescent="0.35">
      <c r="A1325" t="s">
        <v>1366</v>
      </c>
      <c r="B1325" s="1">
        <v>45505</v>
      </c>
      <c r="C1325" t="s">
        <v>177</v>
      </c>
      <c r="D1325" t="s">
        <v>26</v>
      </c>
      <c r="E1325" t="s">
        <v>27</v>
      </c>
      <c r="F1325" s="4">
        <v>14058.88</v>
      </c>
      <c r="G1325" s="5">
        <v>1</v>
      </c>
      <c r="H1325" t="s">
        <v>15</v>
      </c>
      <c r="I1325" t="str">
        <f t="shared" si="80"/>
        <v>2024-08</v>
      </c>
      <c r="J1325" s="4">
        <f t="shared" si="81"/>
        <v>14058.88</v>
      </c>
      <c r="K1325" t="str" cm="1">
        <f t="array" ref="K1325">_xlfn.IFS(G1325&lt;=5, "Small", G1325&lt;=15, "Medium", G1325&gt;15, "Large")</f>
        <v>Small</v>
      </c>
      <c r="L1325" t="str">
        <f t="shared" si="82"/>
        <v>Standard</v>
      </c>
      <c r="M1325" t="str">
        <f t="shared" si="83"/>
        <v>Weekday</v>
      </c>
    </row>
    <row r="1326" spans="1:13" x14ac:dyDescent="0.35">
      <c r="A1326" t="s">
        <v>1367</v>
      </c>
      <c r="B1326" s="1">
        <v>45047</v>
      </c>
      <c r="C1326" t="s">
        <v>177</v>
      </c>
      <c r="D1326" t="s">
        <v>26</v>
      </c>
      <c r="E1326" t="s">
        <v>27</v>
      </c>
      <c r="F1326" s="4">
        <v>17300.13</v>
      </c>
      <c r="G1326" s="5">
        <v>2</v>
      </c>
      <c r="H1326" t="s">
        <v>15</v>
      </c>
      <c r="I1326" t="str">
        <f t="shared" si="80"/>
        <v>2023-05</v>
      </c>
      <c r="J1326" s="4">
        <f t="shared" si="81"/>
        <v>8650.0650000000005</v>
      </c>
      <c r="K1326" t="str" cm="1">
        <f t="array" ref="K1326">_xlfn.IFS(G1326&lt;=5, "Small", G1326&lt;=15, "Medium", G1326&gt;15, "Large")</f>
        <v>Small</v>
      </c>
      <c r="L1326" t="str">
        <f t="shared" si="82"/>
        <v>Standard</v>
      </c>
      <c r="M1326" t="str">
        <f t="shared" si="83"/>
        <v>Weekday</v>
      </c>
    </row>
    <row r="1327" spans="1:13" x14ac:dyDescent="0.35">
      <c r="A1327" t="s">
        <v>1368</v>
      </c>
      <c r="B1327" s="1">
        <v>45423</v>
      </c>
      <c r="C1327" t="s">
        <v>42</v>
      </c>
      <c r="D1327" t="s">
        <v>10</v>
      </c>
      <c r="E1327" t="s">
        <v>27</v>
      </c>
      <c r="F1327" s="4">
        <v>23574.92</v>
      </c>
      <c r="G1327" s="5">
        <v>2</v>
      </c>
      <c r="H1327" t="s">
        <v>15</v>
      </c>
      <c r="I1327" t="str">
        <f t="shared" si="80"/>
        <v>2024-05</v>
      </c>
      <c r="J1327" s="4">
        <f t="shared" si="81"/>
        <v>11787.46</v>
      </c>
      <c r="K1327" t="str" cm="1">
        <f t="array" ref="K1327">_xlfn.IFS(G1327&lt;=5, "Small", G1327&lt;=15, "Medium", G1327&gt;15, "Large")</f>
        <v>Small</v>
      </c>
      <c r="L1327" t="str">
        <f t="shared" si="82"/>
        <v>Standard</v>
      </c>
      <c r="M1327" t="str">
        <f t="shared" si="83"/>
        <v>Weekend</v>
      </c>
    </row>
    <row r="1328" spans="1:13" x14ac:dyDescent="0.35">
      <c r="A1328" t="s">
        <v>1369</v>
      </c>
      <c r="B1328" s="1">
        <v>45345</v>
      </c>
      <c r="C1328" t="s">
        <v>91</v>
      </c>
      <c r="D1328" t="s">
        <v>26</v>
      </c>
      <c r="E1328" t="s">
        <v>18</v>
      </c>
      <c r="F1328" s="4">
        <v>1049.0899999999999</v>
      </c>
      <c r="G1328" s="5">
        <v>17</v>
      </c>
      <c r="H1328" t="s">
        <v>15</v>
      </c>
      <c r="I1328" t="str">
        <f t="shared" si="80"/>
        <v>2024-02</v>
      </c>
      <c r="J1328" s="4">
        <f t="shared" si="81"/>
        <v>61.711176470588228</v>
      </c>
      <c r="K1328" t="str" cm="1">
        <f t="array" ref="K1328">_xlfn.IFS(G1328&lt;=5, "Small", G1328&lt;=15, "Medium", G1328&gt;15, "Large")</f>
        <v>Large</v>
      </c>
      <c r="L1328" t="str">
        <f t="shared" si="82"/>
        <v>Standard</v>
      </c>
      <c r="M1328" t="str">
        <f t="shared" si="83"/>
        <v>Weekday</v>
      </c>
    </row>
    <row r="1329" spans="1:13" x14ac:dyDescent="0.35">
      <c r="A1329" t="s">
        <v>1370</v>
      </c>
      <c r="B1329" s="1">
        <v>45369</v>
      </c>
      <c r="C1329" t="s">
        <v>53</v>
      </c>
      <c r="D1329" t="s">
        <v>31</v>
      </c>
      <c r="E1329" t="s">
        <v>27</v>
      </c>
      <c r="F1329" s="4">
        <v>6642.76</v>
      </c>
      <c r="G1329" s="5">
        <v>1</v>
      </c>
      <c r="H1329" t="s">
        <v>15</v>
      </c>
      <c r="I1329" t="str">
        <f t="shared" si="80"/>
        <v>2024-03</v>
      </c>
      <c r="J1329" s="4">
        <f t="shared" si="81"/>
        <v>6642.76</v>
      </c>
      <c r="K1329" t="str" cm="1">
        <f t="array" ref="K1329">_xlfn.IFS(G1329&lt;=5, "Small", G1329&lt;=15, "Medium", G1329&gt;15, "Large")</f>
        <v>Small</v>
      </c>
      <c r="L1329" t="str">
        <f t="shared" si="82"/>
        <v>Standard</v>
      </c>
      <c r="M1329" t="str">
        <f t="shared" si="83"/>
        <v>Weekday</v>
      </c>
    </row>
    <row r="1330" spans="1:13" x14ac:dyDescent="0.35">
      <c r="A1330" t="s">
        <v>1371</v>
      </c>
      <c r="B1330" s="1">
        <v>45598</v>
      </c>
      <c r="C1330" t="s">
        <v>25</v>
      </c>
      <c r="D1330" t="s">
        <v>26</v>
      </c>
      <c r="E1330" t="s">
        <v>27</v>
      </c>
      <c r="F1330" s="4">
        <v>21488.21</v>
      </c>
      <c r="G1330" s="5">
        <v>1</v>
      </c>
      <c r="H1330" t="s">
        <v>15</v>
      </c>
      <c r="I1330" t="str">
        <f t="shared" si="80"/>
        <v>2024-11</v>
      </c>
      <c r="J1330" s="4">
        <f t="shared" si="81"/>
        <v>21488.21</v>
      </c>
      <c r="K1330" t="str" cm="1">
        <f t="array" ref="K1330">_xlfn.IFS(G1330&lt;=5, "Small", G1330&lt;=15, "Medium", G1330&gt;15, "Large")</f>
        <v>Small</v>
      </c>
      <c r="L1330" t="str">
        <f t="shared" si="82"/>
        <v>Standard</v>
      </c>
      <c r="M1330" t="str">
        <f t="shared" si="83"/>
        <v>Weekend</v>
      </c>
    </row>
    <row r="1331" spans="1:13" x14ac:dyDescent="0.35">
      <c r="A1331" t="s">
        <v>1372</v>
      </c>
      <c r="B1331" s="1">
        <v>45101</v>
      </c>
      <c r="C1331" t="s">
        <v>20</v>
      </c>
      <c r="D1331" t="s">
        <v>21</v>
      </c>
      <c r="E1331" t="s">
        <v>18</v>
      </c>
      <c r="F1331" s="4">
        <v>1864.14</v>
      </c>
      <c r="G1331" s="5">
        <v>25</v>
      </c>
      <c r="H1331" t="s">
        <v>15</v>
      </c>
      <c r="I1331" t="str">
        <f t="shared" si="80"/>
        <v>2023-06</v>
      </c>
      <c r="J1331" s="4">
        <f t="shared" si="81"/>
        <v>74.565600000000003</v>
      </c>
      <c r="K1331" t="str" cm="1">
        <f t="array" ref="K1331">_xlfn.IFS(G1331&lt;=5, "Small", G1331&lt;=15, "Medium", G1331&gt;15, "Large")</f>
        <v>Large</v>
      </c>
      <c r="L1331" t="str">
        <f t="shared" si="82"/>
        <v>Standard</v>
      </c>
      <c r="M1331" t="str">
        <f t="shared" si="83"/>
        <v>Weekend</v>
      </c>
    </row>
    <row r="1332" spans="1:13" x14ac:dyDescent="0.35">
      <c r="A1332" t="s">
        <v>1373</v>
      </c>
      <c r="B1332" s="1">
        <v>45456</v>
      </c>
      <c r="C1332" t="s">
        <v>97</v>
      </c>
      <c r="D1332" t="s">
        <v>21</v>
      </c>
      <c r="E1332" t="s">
        <v>27</v>
      </c>
      <c r="F1332" s="4">
        <v>3629.94</v>
      </c>
      <c r="G1332" s="5">
        <v>1</v>
      </c>
      <c r="H1332" t="s">
        <v>15</v>
      </c>
      <c r="I1332" t="str">
        <f t="shared" si="80"/>
        <v>2024-06</v>
      </c>
      <c r="J1332" s="4">
        <f t="shared" si="81"/>
        <v>3629.94</v>
      </c>
      <c r="K1332" t="str" cm="1">
        <f t="array" ref="K1332">_xlfn.IFS(G1332&lt;=5, "Small", G1332&lt;=15, "Medium", G1332&gt;15, "Large")</f>
        <v>Small</v>
      </c>
      <c r="L1332" t="str">
        <f t="shared" si="82"/>
        <v>Standard</v>
      </c>
      <c r="M1332" t="str">
        <f t="shared" si="83"/>
        <v>Weekday</v>
      </c>
    </row>
    <row r="1333" spans="1:13" x14ac:dyDescent="0.35">
      <c r="A1333" t="s">
        <v>1374</v>
      </c>
      <c r="B1333" s="1">
        <v>45514</v>
      </c>
      <c r="C1333" t="s">
        <v>115</v>
      </c>
      <c r="D1333" t="s">
        <v>10</v>
      </c>
      <c r="E1333" t="s">
        <v>18</v>
      </c>
      <c r="F1333" s="4">
        <v>3178.74</v>
      </c>
      <c r="G1333" s="5">
        <v>15</v>
      </c>
      <c r="H1333" t="s">
        <v>15</v>
      </c>
      <c r="I1333" t="str">
        <f t="shared" si="80"/>
        <v>2024-08</v>
      </c>
      <c r="J1333" s="4">
        <f t="shared" si="81"/>
        <v>211.916</v>
      </c>
      <c r="K1333" t="str" cm="1">
        <f t="array" ref="K1333">_xlfn.IFS(G1333&lt;=5, "Small", G1333&lt;=15, "Medium", G1333&gt;15, "Large")</f>
        <v>Medium</v>
      </c>
      <c r="L1333" t="str">
        <f t="shared" si="82"/>
        <v>Standard</v>
      </c>
      <c r="M1333" t="str">
        <f t="shared" si="83"/>
        <v>Weekend</v>
      </c>
    </row>
    <row r="1334" spans="1:13" x14ac:dyDescent="0.35">
      <c r="A1334" t="s">
        <v>1375</v>
      </c>
      <c r="B1334" s="1">
        <v>45249</v>
      </c>
      <c r="C1334" t="s">
        <v>78</v>
      </c>
      <c r="D1334" t="s">
        <v>31</v>
      </c>
      <c r="E1334" t="s">
        <v>27</v>
      </c>
      <c r="F1334" s="4">
        <v>22769.81</v>
      </c>
      <c r="G1334" s="5">
        <v>2</v>
      </c>
      <c r="H1334" t="s">
        <v>15</v>
      </c>
      <c r="I1334" t="str">
        <f t="shared" si="80"/>
        <v>2023-11</v>
      </c>
      <c r="J1334" s="4">
        <f t="shared" si="81"/>
        <v>11384.905000000001</v>
      </c>
      <c r="K1334" t="str" cm="1">
        <f t="array" ref="K1334">_xlfn.IFS(G1334&lt;=5, "Small", G1334&lt;=15, "Medium", G1334&gt;15, "Large")</f>
        <v>Small</v>
      </c>
      <c r="L1334" t="str">
        <f t="shared" si="82"/>
        <v>Standard</v>
      </c>
      <c r="M1334" t="str">
        <f t="shared" si="83"/>
        <v>Weekend</v>
      </c>
    </row>
    <row r="1335" spans="1:13" x14ac:dyDescent="0.35">
      <c r="A1335" t="s">
        <v>1376</v>
      </c>
      <c r="B1335" s="1">
        <v>45383</v>
      </c>
      <c r="C1335" t="s">
        <v>72</v>
      </c>
      <c r="D1335" t="s">
        <v>26</v>
      </c>
      <c r="E1335" t="s">
        <v>18</v>
      </c>
      <c r="F1335" s="4">
        <v>1483.21</v>
      </c>
      <c r="G1335" s="5">
        <v>19</v>
      </c>
      <c r="H1335" t="s">
        <v>15</v>
      </c>
      <c r="I1335" t="str">
        <f t="shared" si="80"/>
        <v>2024-04</v>
      </c>
      <c r="J1335" s="4">
        <f t="shared" si="81"/>
        <v>78.063684210526318</v>
      </c>
      <c r="K1335" t="str" cm="1">
        <f t="array" ref="K1335">_xlfn.IFS(G1335&lt;=5, "Small", G1335&lt;=15, "Medium", G1335&gt;15, "Large")</f>
        <v>Large</v>
      </c>
      <c r="L1335" t="str">
        <f t="shared" si="82"/>
        <v>Standard</v>
      </c>
      <c r="M1335" t="str">
        <f t="shared" si="83"/>
        <v>Weekday</v>
      </c>
    </row>
    <row r="1336" spans="1:13" x14ac:dyDescent="0.35">
      <c r="A1336" t="s">
        <v>1377</v>
      </c>
      <c r="B1336" s="1">
        <v>45338</v>
      </c>
      <c r="C1336" t="s">
        <v>175</v>
      </c>
      <c r="D1336" t="s">
        <v>10</v>
      </c>
      <c r="E1336" t="s">
        <v>11</v>
      </c>
      <c r="F1336" s="4">
        <v>4195.7</v>
      </c>
      <c r="G1336" s="5">
        <v>5</v>
      </c>
      <c r="H1336" t="s">
        <v>15</v>
      </c>
      <c r="I1336" t="str">
        <f t="shared" si="80"/>
        <v>2024-02</v>
      </c>
      <c r="J1336" s="4">
        <f t="shared" si="81"/>
        <v>839.14</v>
      </c>
      <c r="K1336" t="str" cm="1">
        <f t="array" ref="K1336">_xlfn.IFS(G1336&lt;=5, "Small", G1336&lt;=15, "Medium", G1336&gt;15, "Large")</f>
        <v>Small</v>
      </c>
      <c r="L1336" t="str">
        <f t="shared" si="82"/>
        <v>Standard</v>
      </c>
      <c r="M1336" t="str">
        <f t="shared" si="83"/>
        <v>Weekday</v>
      </c>
    </row>
    <row r="1337" spans="1:13" x14ac:dyDescent="0.35">
      <c r="A1337" t="s">
        <v>1378</v>
      </c>
      <c r="B1337" s="1">
        <v>45381</v>
      </c>
      <c r="C1337" t="s">
        <v>241</v>
      </c>
      <c r="D1337" t="s">
        <v>31</v>
      </c>
      <c r="E1337" t="s">
        <v>11</v>
      </c>
      <c r="F1337" s="4">
        <v>0</v>
      </c>
      <c r="G1337" s="5">
        <v>7</v>
      </c>
      <c r="H1337" t="s">
        <v>28</v>
      </c>
      <c r="I1337" t="str">
        <f t="shared" si="80"/>
        <v>2024-03</v>
      </c>
      <c r="J1337" s="4">
        <f t="shared" si="81"/>
        <v>0</v>
      </c>
      <c r="K1337" t="str" cm="1">
        <f t="array" ref="K1337">_xlfn.IFS(G1337&lt;=5, "Small", G1337&lt;=15, "Medium", G1337&gt;15, "Large")</f>
        <v>Medium</v>
      </c>
      <c r="L1337" t="str">
        <f t="shared" si="82"/>
        <v>Standard</v>
      </c>
      <c r="M1337" t="str">
        <f t="shared" si="83"/>
        <v>Weekend</v>
      </c>
    </row>
    <row r="1338" spans="1:13" x14ac:dyDescent="0.35">
      <c r="A1338" t="s">
        <v>1379</v>
      </c>
      <c r="B1338" s="1">
        <v>45165</v>
      </c>
      <c r="C1338" t="s">
        <v>40</v>
      </c>
      <c r="D1338" t="s">
        <v>26</v>
      </c>
      <c r="E1338" t="s">
        <v>11</v>
      </c>
      <c r="F1338" s="4">
        <v>0</v>
      </c>
      <c r="G1338" s="5">
        <v>5</v>
      </c>
      <c r="H1338" t="s">
        <v>12</v>
      </c>
      <c r="I1338" t="str">
        <f t="shared" si="80"/>
        <v>2023-08</v>
      </c>
      <c r="J1338" s="4">
        <f t="shared" si="81"/>
        <v>0</v>
      </c>
      <c r="K1338" t="str" cm="1">
        <f t="array" ref="K1338">_xlfn.IFS(G1338&lt;=5, "Small", G1338&lt;=15, "Medium", G1338&gt;15, "Large")</f>
        <v>Small</v>
      </c>
      <c r="L1338" t="str">
        <f t="shared" si="82"/>
        <v>Standard</v>
      </c>
      <c r="M1338" t="str">
        <f t="shared" si="83"/>
        <v>Weekend</v>
      </c>
    </row>
    <row r="1339" spans="1:13" x14ac:dyDescent="0.35">
      <c r="A1339" t="s">
        <v>1380</v>
      </c>
      <c r="B1339" s="1">
        <v>44968</v>
      </c>
      <c r="C1339" t="s">
        <v>58</v>
      </c>
      <c r="D1339" t="s">
        <v>31</v>
      </c>
      <c r="E1339" t="s">
        <v>18</v>
      </c>
      <c r="F1339" s="4">
        <v>165.99</v>
      </c>
      <c r="G1339" s="5">
        <v>17</v>
      </c>
      <c r="H1339" t="s">
        <v>15</v>
      </c>
      <c r="I1339" t="str">
        <f t="shared" si="80"/>
        <v>2023-02</v>
      </c>
      <c r="J1339" s="4">
        <f t="shared" si="81"/>
        <v>9.7641176470588249</v>
      </c>
      <c r="K1339" t="str" cm="1">
        <f t="array" ref="K1339">_xlfn.IFS(G1339&lt;=5, "Small", G1339&lt;=15, "Medium", G1339&gt;15, "Large")</f>
        <v>Large</v>
      </c>
      <c r="L1339" t="str">
        <f t="shared" si="82"/>
        <v>Standard</v>
      </c>
      <c r="M1339" t="str">
        <f t="shared" si="83"/>
        <v>Weekend</v>
      </c>
    </row>
    <row r="1340" spans="1:13" x14ac:dyDescent="0.35">
      <c r="A1340" t="s">
        <v>1381</v>
      </c>
      <c r="B1340" s="1">
        <v>45149</v>
      </c>
      <c r="C1340" t="s">
        <v>37</v>
      </c>
      <c r="D1340" t="s">
        <v>21</v>
      </c>
      <c r="E1340" t="s">
        <v>11</v>
      </c>
      <c r="F1340" s="4">
        <v>3360.37</v>
      </c>
      <c r="G1340" s="5">
        <v>2</v>
      </c>
      <c r="H1340" t="s">
        <v>15</v>
      </c>
      <c r="I1340" t="str">
        <f t="shared" si="80"/>
        <v>2023-08</v>
      </c>
      <c r="J1340" s="4">
        <f t="shared" si="81"/>
        <v>1680.1849999999999</v>
      </c>
      <c r="K1340" t="str" cm="1">
        <f t="array" ref="K1340">_xlfn.IFS(G1340&lt;=5, "Small", G1340&lt;=15, "Medium", G1340&gt;15, "Large")</f>
        <v>Small</v>
      </c>
      <c r="L1340" t="str">
        <f t="shared" si="82"/>
        <v>Standard</v>
      </c>
      <c r="M1340" t="str">
        <f t="shared" si="83"/>
        <v>Weekday</v>
      </c>
    </row>
    <row r="1341" spans="1:13" x14ac:dyDescent="0.35">
      <c r="A1341" t="s">
        <v>1382</v>
      </c>
      <c r="B1341" s="1">
        <v>45316</v>
      </c>
      <c r="C1341" t="s">
        <v>115</v>
      </c>
      <c r="D1341" t="s">
        <v>10</v>
      </c>
      <c r="E1341" t="s">
        <v>11</v>
      </c>
      <c r="F1341" s="4">
        <v>6684.39</v>
      </c>
      <c r="G1341" s="5">
        <v>2</v>
      </c>
      <c r="H1341" t="s">
        <v>15</v>
      </c>
      <c r="I1341" t="str">
        <f t="shared" si="80"/>
        <v>2024-01</v>
      </c>
      <c r="J1341" s="4">
        <f t="shared" si="81"/>
        <v>3342.1950000000002</v>
      </c>
      <c r="K1341" t="str" cm="1">
        <f t="array" ref="K1341">_xlfn.IFS(G1341&lt;=5, "Small", G1341&lt;=15, "Medium", G1341&gt;15, "Large")</f>
        <v>Small</v>
      </c>
      <c r="L1341" t="str">
        <f t="shared" si="82"/>
        <v>Standard</v>
      </c>
      <c r="M1341" t="str">
        <f t="shared" si="83"/>
        <v>Weekday</v>
      </c>
    </row>
    <row r="1342" spans="1:13" x14ac:dyDescent="0.35">
      <c r="A1342" t="s">
        <v>1383</v>
      </c>
      <c r="B1342" s="1">
        <v>45000</v>
      </c>
      <c r="C1342" t="s">
        <v>72</v>
      </c>
      <c r="D1342" t="s">
        <v>26</v>
      </c>
      <c r="E1342" t="s">
        <v>11</v>
      </c>
      <c r="F1342" s="4">
        <v>10832.28</v>
      </c>
      <c r="G1342" s="5">
        <v>5</v>
      </c>
      <c r="H1342" t="s">
        <v>15</v>
      </c>
      <c r="I1342" t="str">
        <f t="shared" si="80"/>
        <v>2023-03</v>
      </c>
      <c r="J1342" s="4">
        <f t="shared" si="81"/>
        <v>2166.4560000000001</v>
      </c>
      <c r="K1342" t="str" cm="1">
        <f t="array" ref="K1342">_xlfn.IFS(G1342&lt;=5, "Small", G1342&lt;=15, "Medium", G1342&gt;15, "Large")</f>
        <v>Small</v>
      </c>
      <c r="L1342" t="str">
        <f t="shared" si="82"/>
        <v>Standard</v>
      </c>
      <c r="M1342" t="str">
        <f t="shared" si="83"/>
        <v>Weekday</v>
      </c>
    </row>
    <row r="1343" spans="1:13" x14ac:dyDescent="0.35">
      <c r="A1343" t="s">
        <v>1384</v>
      </c>
      <c r="B1343" s="1">
        <v>45186</v>
      </c>
      <c r="C1343" t="s">
        <v>45</v>
      </c>
      <c r="D1343" t="s">
        <v>21</v>
      </c>
      <c r="E1343" t="s">
        <v>11</v>
      </c>
      <c r="F1343" s="4">
        <v>17602.169999999998</v>
      </c>
      <c r="G1343" s="5">
        <v>6</v>
      </c>
      <c r="H1343" t="s">
        <v>15</v>
      </c>
      <c r="I1343" t="str">
        <f t="shared" si="80"/>
        <v>2023-09</v>
      </c>
      <c r="J1343" s="4">
        <f t="shared" si="81"/>
        <v>2933.6949999999997</v>
      </c>
      <c r="K1343" t="str" cm="1">
        <f t="array" ref="K1343">_xlfn.IFS(G1343&lt;=5, "Small", G1343&lt;=15, "Medium", G1343&gt;15, "Large")</f>
        <v>Medium</v>
      </c>
      <c r="L1343" t="str">
        <f t="shared" si="82"/>
        <v>Standard</v>
      </c>
      <c r="M1343" t="str">
        <f t="shared" si="83"/>
        <v>Weekend</v>
      </c>
    </row>
    <row r="1344" spans="1:13" x14ac:dyDescent="0.35">
      <c r="A1344" t="s">
        <v>960</v>
      </c>
      <c r="B1344" s="1">
        <v>45245</v>
      </c>
      <c r="C1344" t="s">
        <v>30</v>
      </c>
      <c r="D1344" t="s">
        <v>31</v>
      </c>
      <c r="E1344" t="s">
        <v>11</v>
      </c>
      <c r="F1344" s="4">
        <v>10491.6</v>
      </c>
      <c r="G1344" s="5">
        <v>7</v>
      </c>
      <c r="H1344" t="s">
        <v>15</v>
      </c>
      <c r="I1344" t="str">
        <f t="shared" si="80"/>
        <v>2023-11</v>
      </c>
      <c r="J1344" s="4">
        <f t="shared" si="81"/>
        <v>1498.8</v>
      </c>
      <c r="K1344" t="str" cm="1">
        <f t="array" ref="K1344">_xlfn.IFS(G1344&lt;=5, "Small", G1344&lt;=15, "Medium", G1344&gt;15, "Large")</f>
        <v>Medium</v>
      </c>
      <c r="L1344" t="str">
        <f t="shared" si="82"/>
        <v>Standard</v>
      </c>
      <c r="M1344" t="str">
        <f t="shared" si="83"/>
        <v>Weekday</v>
      </c>
    </row>
    <row r="1345" spans="1:13" x14ac:dyDescent="0.35">
      <c r="A1345" t="s">
        <v>1385</v>
      </c>
      <c r="B1345" s="1">
        <v>45037</v>
      </c>
      <c r="C1345" t="s">
        <v>62</v>
      </c>
      <c r="D1345" t="s">
        <v>21</v>
      </c>
      <c r="E1345" t="s">
        <v>11</v>
      </c>
      <c r="F1345" s="4">
        <v>8164.36</v>
      </c>
      <c r="G1345" s="5">
        <v>2</v>
      </c>
      <c r="H1345" t="s">
        <v>15</v>
      </c>
      <c r="I1345" t="str">
        <f t="shared" si="80"/>
        <v>2023-04</v>
      </c>
      <c r="J1345" s="4">
        <f t="shared" si="81"/>
        <v>4082.18</v>
      </c>
      <c r="K1345" t="str" cm="1">
        <f t="array" ref="K1345">_xlfn.IFS(G1345&lt;=5, "Small", G1345&lt;=15, "Medium", G1345&gt;15, "Large")</f>
        <v>Small</v>
      </c>
      <c r="L1345" t="str">
        <f t="shared" si="82"/>
        <v>Standard</v>
      </c>
      <c r="M1345" t="str">
        <f t="shared" si="83"/>
        <v>Weekday</v>
      </c>
    </row>
    <row r="1346" spans="1:13" x14ac:dyDescent="0.35">
      <c r="A1346" t="s">
        <v>1386</v>
      </c>
      <c r="B1346" s="1">
        <v>45372</v>
      </c>
      <c r="C1346" t="s">
        <v>55</v>
      </c>
      <c r="D1346" t="s">
        <v>10</v>
      </c>
      <c r="E1346" t="s">
        <v>27</v>
      </c>
      <c r="F1346" s="4">
        <v>4116.82</v>
      </c>
      <c r="G1346" s="5">
        <v>4</v>
      </c>
      <c r="H1346" t="s">
        <v>15</v>
      </c>
      <c r="I1346" t="str">
        <f t="shared" si="80"/>
        <v>2024-03</v>
      </c>
      <c r="J1346" s="4">
        <f t="shared" si="81"/>
        <v>1029.2049999999999</v>
      </c>
      <c r="K1346" t="str" cm="1">
        <f t="array" ref="K1346">_xlfn.IFS(G1346&lt;=5, "Small", G1346&lt;=15, "Medium", G1346&gt;15, "Large")</f>
        <v>Small</v>
      </c>
      <c r="L1346" t="str">
        <f t="shared" si="82"/>
        <v>Standard</v>
      </c>
      <c r="M1346" t="str">
        <f t="shared" si="83"/>
        <v>Weekday</v>
      </c>
    </row>
    <row r="1347" spans="1:13" x14ac:dyDescent="0.35">
      <c r="A1347" t="s">
        <v>1387</v>
      </c>
      <c r="B1347" s="1">
        <v>45527</v>
      </c>
      <c r="C1347" t="s">
        <v>162</v>
      </c>
      <c r="D1347" t="s">
        <v>26</v>
      </c>
      <c r="E1347" t="s">
        <v>27</v>
      </c>
      <c r="F1347" s="4">
        <v>0</v>
      </c>
      <c r="G1347" s="5">
        <v>3</v>
      </c>
      <c r="H1347" t="s">
        <v>12</v>
      </c>
      <c r="I1347" t="str">
        <f t="shared" ref="I1347:I1410" si="84">TEXT(B1347, "YYYY-MM")</f>
        <v>2024-08</v>
      </c>
      <c r="J1347" s="4">
        <f t="shared" ref="J1347:J1410" si="85">IFERROR(F1347/G1347, 0)</f>
        <v>0</v>
      </c>
      <c r="K1347" t="str" cm="1">
        <f t="array" ref="K1347">_xlfn.IFS(G1347&lt;=5, "Small", G1347&lt;=15, "Medium", G1347&gt;15, "Large")</f>
        <v>Small</v>
      </c>
      <c r="L1347" t="str">
        <f t="shared" ref="L1347:L1410" si="86">IF(F1347&gt;_xlfn.PERCENTILE.INC($F$2:$F$10000, 0.9), "VIP", "Standard")</f>
        <v>Standard</v>
      </c>
      <c r="M1347" t="str">
        <f t="shared" ref="M1347:M1410" si="87">IF(WEEKDAY(B1347, 2)&gt;5, "Weekend", "Weekday")</f>
        <v>Weekday</v>
      </c>
    </row>
    <row r="1348" spans="1:13" x14ac:dyDescent="0.35">
      <c r="A1348" t="s">
        <v>1388</v>
      </c>
      <c r="B1348" s="1">
        <v>45379</v>
      </c>
      <c r="C1348" t="s">
        <v>69</v>
      </c>
      <c r="D1348" t="s">
        <v>31</v>
      </c>
      <c r="E1348" t="s">
        <v>18</v>
      </c>
      <c r="F1348" s="4">
        <v>1445.54</v>
      </c>
      <c r="G1348" s="5">
        <v>7</v>
      </c>
      <c r="H1348" t="s">
        <v>15</v>
      </c>
      <c r="I1348" t="str">
        <f t="shared" si="84"/>
        <v>2024-03</v>
      </c>
      <c r="J1348" s="4">
        <f t="shared" si="85"/>
        <v>206.50571428571428</v>
      </c>
      <c r="K1348" t="str" cm="1">
        <f t="array" ref="K1348">_xlfn.IFS(G1348&lt;=5, "Small", G1348&lt;=15, "Medium", G1348&gt;15, "Large")</f>
        <v>Medium</v>
      </c>
      <c r="L1348" t="str">
        <f t="shared" si="86"/>
        <v>Standard</v>
      </c>
      <c r="M1348" t="str">
        <f t="shared" si="87"/>
        <v>Weekday</v>
      </c>
    </row>
    <row r="1349" spans="1:13" x14ac:dyDescent="0.35">
      <c r="A1349" t="s">
        <v>1389</v>
      </c>
      <c r="B1349" s="1">
        <v>44988</v>
      </c>
      <c r="C1349" t="s">
        <v>37</v>
      </c>
      <c r="D1349" t="s">
        <v>21</v>
      </c>
      <c r="E1349" t="s">
        <v>11</v>
      </c>
      <c r="F1349" s="4">
        <v>861.71</v>
      </c>
      <c r="G1349" s="5">
        <v>7</v>
      </c>
      <c r="H1349" t="s">
        <v>15</v>
      </c>
      <c r="I1349" t="str">
        <f t="shared" si="84"/>
        <v>2023-03</v>
      </c>
      <c r="J1349" s="4">
        <f t="shared" si="85"/>
        <v>123.10142857142857</v>
      </c>
      <c r="K1349" t="str" cm="1">
        <f t="array" ref="K1349">_xlfn.IFS(G1349&lt;=5, "Small", G1349&lt;=15, "Medium", G1349&gt;15, "Large")</f>
        <v>Medium</v>
      </c>
      <c r="L1349" t="str">
        <f t="shared" si="86"/>
        <v>Standard</v>
      </c>
      <c r="M1349" t="str">
        <f t="shared" si="87"/>
        <v>Weekday</v>
      </c>
    </row>
    <row r="1350" spans="1:13" x14ac:dyDescent="0.35">
      <c r="A1350" t="s">
        <v>1390</v>
      </c>
      <c r="B1350" s="1">
        <v>45250</v>
      </c>
      <c r="C1350" t="s">
        <v>37</v>
      </c>
      <c r="D1350" t="s">
        <v>21</v>
      </c>
      <c r="E1350" t="s">
        <v>27</v>
      </c>
      <c r="F1350" s="4">
        <v>24563.439999999999</v>
      </c>
      <c r="G1350" s="5">
        <v>5</v>
      </c>
      <c r="H1350" t="s">
        <v>15</v>
      </c>
      <c r="I1350" t="str">
        <f t="shared" si="84"/>
        <v>2023-11</v>
      </c>
      <c r="J1350" s="4">
        <f t="shared" si="85"/>
        <v>4912.6880000000001</v>
      </c>
      <c r="K1350" t="str" cm="1">
        <f t="array" ref="K1350">_xlfn.IFS(G1350&lt;=5, "Small", G1350&lt;=15, "Medium", G1350&gt;15, "Large")</f>
        <v>Small</v>
      </c>
      <c r="L1350" t="str">
        <f t="shared" si="86"/>
        <v>Standard</v>
      </c>
      <c r="M1350" t="str">
        <f t="shared" si="87"/>
        <v>Weekday</v>
      </c>
    </row>
    <row r="1351" spans="1:13" x14ac:dyDescent="0.35">
      <c r="A1351" t="s">
        <v>1391</v>
      </c>
      <c r="B1351" s="1">
        <v>45282</v>
      </c>
      <c r="C1351" t="s">
        <v>241</v>
      </c>
      <c r="D1351" t="s">
        <v>31</v>
      </c>
      <c r="E1351" t="s">
        <v>18</v>
      </c>
      <c r="F1351" s="4">
        <v>124.11</v>
      </c>
      <c r="G1351" s="5">
        <v>7</v>
      </c>
      <c r="H1351" t="s">
        <v>15</v>
      </c>
      <c r="I1351" t="str">
        <f t="shared" si="84"/>
        <v>2023-12</v>
      </c>
      <c r="J1351" s="4">
        <f t="shared" si="85"/>
        <v>17.73</v>
      </c>
      <c r="K1351" t="str" cm="1">
        <f t="array" ref="K1351">_xlfn.IFS(G1351&lt;=5, "Small", G1351&lt;=15, "Medium", G1351&gt;15, "Large")</f>
        <v>Medium</v>
      </c>
      <c r="L1351" t="str">
        <f t="shared" si="86"/>
        <v>Standard</v>
      </c>
      <c r="M1351" t="str">
        <f t="shared" si="87"/>
        <v>Weekday</v>
      </c>
    </row>
    <row r="1352" spans="1:13" x14ac:dyDescent="0.35">
      <c r="A1352" t="s">
        <v>1392</v>
      </c>
      <c r="B1352" s="1">
        <v>45277</v>
      </c>
      <c r="C1352" t="s">
        <v>166</v>
      </c>
      <c r="D1352" t="s">
        <v>26</v>
      </c>
      <c r="E1352" t="s">
        <v>27</v>
      </c>
      <c r="F1352" s="4">
        <v>33705.14</v>
      </c>
      <c r="G1352" s="5">
        <v>1</v>
      </c>
      <c r="H1352" t="s">
        <v>15</v>
      </c>
      <c r="I1352" t="str">
        <f t="shared" si="84"/>
        <v>2023-12</v>
      </c>
      <c r="J1352" s="4">
        <f t="shared" si="85"/>
        <v>33705.14</v>
      </c>
      <c r="K1352" t="str" cm="1">
        <f t="array" ref="K1352">_xlfn.IFS(G1352&lt;=5, "Small", G1352&lt;=15, "Medium", G1352&gt;15, "Large")</f>
        <v>Small</v>
      </c>
      <c r="L1352" t="str">
        <f t="shared" si="86"/>
        <v>VIP</v>
      </c>
      <c r="M1352" t="str">
        <f t="shared" si="87"/>
        <v>Weekend</v>
      </c>
    </row>
    <row r="1353" spans="1:13" x14ac:dyDescent="0.35">
      <c r="A1353" t="s">
        <v>1393</v>
      </c>
      <c r="B1353" s="1">
        <v>45458</v>
      </c>
      <c r="C1353" t="s">
        <v>48</v>
      </c>
      <c r="D1353" t="s">
        <v>31</v>
      </c>
      <c r="E1353" t="s">
        <v>18</v>
      </c>
      <c r="F1353" s="4">
        <v>185.42</v>
      </c>
      <c r="G1353" s="5">
        <v>13</v>
      </c>
      <c r="H1353" t="s">
        <v>15</v>
      </c>
      <c r="I1353" t="str">
        <f t="shared" si="84"/>
        <v>2024-06</v>
      </c>
      <c r="J1353" s="4">
        <f t="shared" si="85"/>
        <v>14.263076923076921</v>
      </c>
      <c r="K1353" t="str" cm="1">
        <f t="array" ref="K1353">_xlfn.IFS(G1353&lt;=5, "Small", G1353&lt;=15, "Medium", G1353&gt;15, "Large")</f>
        <v>Medium</v>
      </c>
      <c r="L1353" t="str">
        <f t="shared" si="86"/>
        <v>Standard</v>
      </c>
      <c r="M1353" t="str">
        <f t="shared" si="87"/>
        <v>Weekend</v>
      </c>
    </row>
    <row r="1354" spans="1:13" x14ac:dyDescent="0.35">
      <c r="A1354" t="s">
        <v>1394</v>
      </c>
      <c r="B1354" s="1">
        <v>45145</v>
      </c>
      <c r="C1354" t="s">
        <v>78</v>
      </c>
      <c r="D1354" t="s">
        <v>31</v>
      </c>
      <c r="E1354" t="s">
        <v>11</v>
      </c>
      <c r="F1354" s="4">
        <v>1419.03</v>
      </c>
      <c r="G1354" s="5">
        <v>5</v>
      </c>
      <c r="H1354" t="s">
        <v>15</v>
      </c>
      <c r="I1354" t="str">
        <f t="shared" si="84"/>
        <v>2023-08</v>
      </c>
      <c r="J1354" s="4">
        <f t="shared" si="85"/>
        <v>283.80599999999998</v>
      </c>
      <c r="K1354" t="str" cm="1">
        <f t="array" ref="K1354">_xlfn.IFS(G1354&lt;=5, "Small", G1354&lt;=15, "Medium", G1354&gt;15, "Large")</f>
        <v>Small</v>
      </c>
      <c r="L1354" t="str">
        <f t="shared" si="86"/>
        <v>Standard</v>
      </c>
      <c r="M1354" t="str">
        <f t="shared" si="87"/>
        <v>Weekday</v>
      </c>
    </row>
    <row r="1355" spans="1:13" x14ac:dyDescent="0.35">
      <c r="A1355" t="s">
        <v>1395</v>
      </c>
      <c r="B1355" s="1">
        <v>45649</v>
      </c>
      <c r="C1355" t="s">
        <v>55</v>
      </c>
      <c r="D1355" t="s">
        <v>10</v>
      </c>
      <c r="E1355" t="s">
        <v>11</v>
      </c>
      <c r="F1355" s="4">
        <v>17650.330000000002</v>
      </c>
      <c r="G1355" s="5">
        <v>4</v>
      </c>
      <c r="H1355" t="s">
        <v>15</v>
      </c>
      <c r="I1355" t="str">
        <f t="shared" si="84"/>
        <v>2024-12</v>
      </c>
      <c r="J1355" s="4">
        <f t="shared" si="85"/>
        <v>4412.5825000000004</v>
      </c>
      <c r="K1355" t="str" cm="1">
        <f t="array" ref="K1355">_xlfn.IFS(G1355&lt;=5, "Small", G1355&lt;=15, "Medium", G1355&gt;15, "Large")</f>
        <v>Small</v>
      </c>
      <c r="L1355" t="str">
        <f t="shared" si="86"/>
        <v>Standard</v>
      </c>
      <c r="M1355" t="str">
        <f t="shared" si="87"/>
        <v>Weekday</v>
      </c>
    </row>
    <row r="1356" spans="1:13" x14ac:dyDescent="0.35">
      <c r="A1356" t="s">
        <v>1396</v>
      </c>
      <c r="B1356" s="1">
        <v>45518</v>
      </c>
      <c r="C1356" t="s">
        <v>9</v>
      </c>
      <c r="D1356" t="s">
        <v>10</v>
      </c>
      <c r="E1356" t="s">
        <v>11</v>
      </c>
      <c r="F1356" s="4">
        <v>1471.97</v>
      </c>
      <c r="G1356" s="5">
        <v>3</v>
      </c>
      <c r="H1356" t="s">
        <v>15</v>
      </c>
      <c r="I1356" t="str">
        <f t="shared" si="84"/>
        <v>2024-08</v>
      </c>
      <c r="J1356" s="4">
        <f t="shared" si="85"/>
        <v>490.65666666666669</v>
      </c>
      <c r="K1356" t="str" cm="1">
        <f t="array" ref="K1356">_xlfn.IFS(G1356&lt;=5, "Small", G1356&lt;=15, "Medium", G1356&gt;15, "Large")</f>
        <v>Small</v>
      </c>
      <c r="L1356" t="str">
        <f t="shared" si="86"/>
        <v>Standard</v>
      </c>
      <c r="M1356" t="str">
        <f t="shared" si="87"/>
        <v>Weekday</v>
      </c>
    </row>
    <row r="1357" spans="1:13" x14ac:dyDescent="0.35">
      <c r="A1357" t="s">
        <v>1397</v>
      </c>
      <c r="B1357" s="1">
        <v>45054</v>
      </c>
      <c r="C1357" t="s">
        <v>53</v>
      </c>
      <c r="D1357" t="s">
        <v>31</v>
      </c>
      <c r="E1357" t="s">
        <v>27</v>
      </c>
      <c r="F1357" s="4">
        <v>12857.38</v>
      </c>
      <c r="G1357" s="5">
        <v>5</v>
      </c>
      <c r="H1357" t="s">
        <v>15</v>
      </c>
      <c r="I1357" t="str">
        <f t="shared" si="84"/>
        <v>2023-05</v>
      </c>
      <c r="J1357" s="4">
        <f t="shared" si="85"/>
        <v>2571.4759999999997</v>
      </c>
      <c r="K1357" t="str" cm="1">
        <f t="array" ref="K1357">_xlfn.IFS(G1357&lt;=5, "Small", G1357&lt;=15, "Medium", G1357&gt;15, "Large")</f>
        <v>Small</v>
      </c>
      <c r="L1357" t="str">
        <f t="shared" si="86"/>
        <v>Standard</v>
      </c>
      <c r="M1357" t="str">
        <f t="shared" si="87"/>
        <v>Weekday</v>
      </c>
    </row>
    <row r="1358" spans="1:13" x14ac:dyDescent="0.35">
      <c r="A1358" t="s">
        <v>1398</v>
      </c>
      <c r="B1358" s="1">
        <v>44967</v>
      </c>
      <c r="C1358" t="s">
        <v>42</v>
      </c>
      <c r="D1358" t="s">
        <v>10</v>
      </c>
      <c r="E1358" t="s">
        <v>11</v>
      </c>
      <c r="F1358" s="4">
        <v>0</v>
      </c>
      <c r="G1358" s="5">
        <v>5</v>
      </c>
      <c r="H1358" t="s">
        <v>12</v>
      </c>
      <c r="I1358" t="str">
        <f t="shared" si="84"/>
        <v>2023-02</v>
      </c>
      <c r="J1358" s="4">
        <f t="shared" si="85"/>
        <v>0</v>
      </c>
      <c r="K1358" t="str" cm="1">
        <f t="array" ref="K1358">_xlfn.IFS(G1358&lt;=5, "Small", G1358&lt;=15, "Medium", G1358&gt;15, "Large")</f>
        <v>Small</v>
      </c>
      <c r="L1358" t="str">
        <f t="shared" si="86"/>
        <v>Standard</v>
      </c>
      <c r="M1358" t="str">
        <f t="shared" si="87"/>
        <v>Weekday</v>
      </c>
    </row>
    <row r="1359" spans="1:13" x14ac:dyDescent="0.35">
      <c r="A1359" t="s">
        <v>1399</v>
      </c>
      <c r="B1359" s="1">
        <v>45320</v>
      </c>
      <c r="C1359" t="s">
        <v>37</v>
      </c>
      <c r="D1359" t="s">
        <v>21</v>
      </c>
      <c r="E1359" t="s">
        <v>18</v>
      </c>
      <c r="F1359" s="4">
        <v>2088.85</v>
      </c>
      <c r="G1359" s="5">
        <v>26</v>
      </c>
      <c r="H1359" t="s">
        <v>15</v>
      </c>
      <c r="I1359" t="str">
        <f t="shared" si="84"/>
        <v>2024-01</v>
      </c>
      <c r="J1359" s="4">
        <f t="shared" si="85"/>
        <v>80.340384615384608</v>
      </c>
      <c r="K1359" t="str" cm="1">
        <f t="array" ref="K1359">_xlfn.IFS(G1359&lt;=5, "Small", G1359&lt;=15, "Medium", G1359&gt;15, "Large")</f>
        <v>Large</v>
      </c>
      <c r="L1359" t="str">
        <f t="shared" si="86"/>
        <v>Standard</v>
      </c>
      <c r="M1359" t="str">
        <f t="shared" si="87"/>
        <v>Weekday</v>
      </c>
    </row>
    <row r="1360" spans="1:13" x14ac:dyDescent="0.35">
      <c r="A1360" t="s">
        <v>1400</v>
      </c>
      <c r="B1360" s="1">
        <v>45279</v>
      </c>
      <c r="C1360" t="s">
        <v>62</v>
      </c>
      <c r="D1360" t="s">
        <v>10</v>
      </c>
      <c r="E1360" t="s">
        <v>11</v>
      </c>
      <c r="F1360" s="4">
        <v>15652.42</v>
      </c>
      <c r="G1360" s="5">
        <v>4</v>
      </c>
      <c r="H1360" t="s">
        <v>15</v>
      </c>
      <c r="I1360" t="str">
        <f t="shared" si="84"/>
        <v>2023-12</v>
      </c>
      <c r="J1360" s="4">
        <f t="shared" si="85"/>
        <v>3913.105</v>
      </c>
      <c r="K1360" t="str" cm="1">
        <f t="array" ref="K1360">_xlfn.IFS(G1360&lt;=5, "Small", G1360&lt;=15, "Medium", G1360&gt;15, "Large")</f>
        <v>Small</v>
      </c>
      <c r="L1360" t="str">
        <f t="shared" si="86"/>
        <v>Standard</v>
      </c>
      <c r="M1360" t="str">
        <f t="shared" si="87"/>
        <v>Weekday</v>
      </c>
    </row>
    <row r="1361" spans="1:13" x14ac:dyDescent="0.35">
      <c r="A1361" t="s">
        <v>1401</v>
      </c>
      <c r="B1361" s="1">
        <v>45135</v>
      </c>
      <c r="C1361" t="s">
        <v>241</v>
      </c>
      <c r="D1361" t="s">
        <v>31</v>
      </c>
      <c r="E1361" t="s">
        <v>18</v>
      </c>
      <c r="F1361" s="4">
        <v>1714.51</v>
      </c>
      <c r="G1361" s="5">
        <v>12</v>
      </c>
      <c r="H1361" t="s">
        <v>15</v>
      </c>
      <c r="I1361" t="str">
        <f t="shared" si="84"/>
        <v>2023-07</v>
      </c>
      <c r="J1361" s="4">
        <f t="shared" si="85"/>
        <v>142.87583333333333</v>
      </c>
      <c r="K1361" t="str" cm="1">
        <f t="array" ref="K1361">_xlfn.IFS(G1361&lt;=5, "Small", G1361&lt;=15, "Medium", G1361&gt;15, "Large")</f>
        <v>Medium</v>
      </c>
      <c r="L1361" t="str">
        <f t="shared" si="86"/>
        <v>Standard</v>
      </c>
      <c r="M1361" t="str">
        <f t="shared" si="87"/>
        <v>Weekday</v>
      </c>
    </row>
    <row r="1362" spans="1:13" x14ac:dyDescent="0.35">
      <c r="A1362" t="s">
        <v>1402</v>
      </c>
      <c r="B1362" s="1">
        <v>45104</v>
      </c>
      <c r="C1362" t="s">
        <v>82</v>
      </c>
      <c r="D1362" t="s">
        <v>10</v>
      </c>
      <c r="E1362" t="s">
        <v>11</v>
      </c>
      <c r="F1362" s="4">
        <v>3816.35</v>
      </c>
      <c r="G1362" s="5">
        <v>7</v>
      </c>
      <c r="H1362" t="s">
        <v>15</v>
      </c>
      <c r="I1362" t="str">
        <f t="shared" si="84"/>
        <v>2023-06</v>
      </c>
      <c r="J1362" s="4">
        <f t="shared" si="85"/>
        <v>545.19285714285718</v>
      </c>
      <c r="K1362" t="str" cm="1">
        <f t="array" ref="K1362">_xlfn.IFS(G1362&lt;=5, "Small", G1362&lt;=15, "Medium", G1362&gt;15, "Large")</f>
        <v>Medium</v>
      </c>
      <c r="L1362" t="str">
        <f t="shared" si="86"/>
        <v>Standard</v>
      </c>
      <c r="M1362" t="str">
        <f t="shared" si="87"/>
        <v>Weekday</v>
      </c>
    </row>
    <row r="1363" spans="1:13" x14ac:dyDescent="0.35">
      <c r="A1363" t="s">
        <v>1403</v>
      </c>
      <c r="B1363" s="1">
        <v>45374</v>
      </c>
      <c r="C1363" t="s">
        <v>25</v>
      </c>
      <c r="D1363" t="s">
        <v>26</v>
      </c>
      <c r="E1363" t="s">
        <v>27</v>
      </c>
      <c r="F1363" s="4">
        <v>0</v>
      </c>
      <c r="G1363" s="5">
        <v>5</v>
      </c>
      <c r="H1363" t="s">
        <v>28</v>
      </c>
      <c r="I1363" t="str">
        <f t="shared" si="84"/>
        <v>2024-03</v>
      </c>
      <c r="J1363" s="4">
        <f t="shared" si="85"/>
        <v>0</v>
      </c>
      <c r="K1363" t="str" cm="1">
        <f t="array" ref="K1363">_xlfn.IFS(G1363&lt;=5, "Small", G1363&lt;=15, "Medium", G1363&gt;15, "Large")</f>
        <v>Small</v>
      </c>
      <c r="L1363" t="str">
        <f t="shared" si="86"/>
        <v>Standard</v>
      </c>
      <c r="M1363" t="str">
        <f t="shared" si="87"/>
        <v>Weekend</v>
      </c>
    </row>
    <row r="1364" spans="1:13" x14ac:dyDescent="0.35">
      <c r="A1364" t="s">
        <v>1404</v>
      </c>
      <c r="B1364" s="1">
        <v>44983</v>
      </c>
      <c r="C1364" t="s">
        <v>33</v>
      </c>
      <c r="D1364" t="s">
        <v>10</v>
      </c>
      <c r="E1364" t="s">
        <v>11</v>
      </c>
      <c r="F1364" s="4">
        <v>15648.94</v>
      </c>
      <c r="G1364" s="5">
        <v>7</v>
      </c>
      <c r="H1364" t="s">
        <v>15</v>
      </c>
      <c r="I1364" t="str">
        <f t="shared" si="84"/>
        <v>2023-02</v>
      </c>
      <c r="J1364" s="4">
        <f t="shared" si="85"/>
        <v>2235.5628571428574</v>
      </c>
      <c r="K1364" t="str" cm="1">
        <f t="array" ref="K1364">_xlfn.IFS(G1364&lt;=5, "Small", G1364&lt;=15, "Medium", G1364&gt;15, "Large")</f>
        <v>Medium</v>
      </c>
      <c r="L1364" t="str">
        <f t="shared" si="86"/>
        <v>Standard</v>
      </c>
      <c r="M1364" t="str">
        <f t="shared" si="87"/>
        <v>Weekend</v>
      </c>
    </row>
    <row r="1365" spans="1:13" x14ac:dyDescent="0.35">
      <c r="A1365" t="s">
        <v>1405</v>
      </c>
      <c r="B1365" s="1">
        <v>44956</v>
      </c>
      <c r="C1365" t="s">
        <v>74</v>
      </c>
      <c r="D1365" t="s">
        <v>31</v>
      </c>
      <c r="E1365" t="s">
        <v>11</v>
      </c>
      <c r="F1365" s="4">
        <v>16276.88</v>
      </c>
      <c r="G1365" s="5">
        <v>5</v>
      </c>
      <c r="H1365" t="s">
        <v>15</v>
      </c>
      <c r="I1365" t="str">
        <f t="shared" si="84"/>
        <v>2023-01</v>
      </c>
      <c r="J1365" s="4">
        <f t="shared" si="85"/>
        <v>3255.3759999999997</v>
      </c>
      <c r="K1365" t="str" cm="1">
        <f t="array" ref="K1365">_xlfn.IFS(G1365&lt;=5, "Small", G1365&lt;=15, "Medium", G1365&gt;15, "Large")</f>
        <v>Small</v>
      </c>
      <c r="L1365" t="str">
        <f t="shared" si="86"/>
        <v>Standard</v>
      </c>
      <c r="M1365" t="str">
        <f t="shared" si="87"/>
        <v>Weekday</v>
      </c>
    </row>
    <row r="1366" spans="1:13" x14ac:dyDescent="0.35">
      <c r="A1366" t="s">
        <v>1406</v>
      </c>
      <c r="B1366" s="1">
        <v>45289</v>
      </c>
      <c r="C1366" t="s">
        <v>162</v>
      </c>
      <c r="D1366" t="s">
        <v>26</v>
      </c>
      <c r="E1366" t="s">
        <v>18</v>
      </c>
      <c r="F1366" s="4">
        <v>2756.31</v>
      </c>
      <c r="G1366" s="5">
        <v>28</v>
      </c>
      <c r="H1366" t="s">
        <v>15</v>
      </c>
      <c r="I1366" t="str">
        <f t="shared" si="84"/>
        <v>2023-12</v>
      </c>
      <c r="J1366" s="4">
        <f t="shared" si="85"/>
        <v>98.439642857142857</v>
      </c>
      <c r="K1366" t="str" cm="1">
        <f t="array" ref="K1366">_xlfn.IFS(G1366&lt;=5, "Small", G1366&lt;=15, "Medium", G1366&gt;15, "Large")</f>
        <v>Large</v>
      </c>
      <c r="L1366" t="str">
        <f t="shared" si="86"/>
        <v>Standard</v>
      </c>
      <c r="M1366" t="str">
        <f t="shared" si="87"/>
        <v>Weekday</v>
      </c>
    </row>
    <row r="1367" spans="1:13" x14ac:dyDescent="0.35">
      <c r="A1367" t="s">
        <v>1407</v>
      </c>
      <c r="B1367" s="1">
        <v>45361</v>
      </c>
      <c r="C1367" t="s">
        <v>33</v>
      </c>
      <c r="D1367" t="s">
        <v>10</v>
      </c>
      <c r="E1367" t="s">
        <v>27</v>
      </c>
      <c r="F1367" s="4">
        <v>24909.97</v>
      </c>
      <c r="G1367" s="5">
        <v>3</v>
      </c>
      <c r="H1367" t="s">
        <v>15</v>
      </c>
      <c r="I1367" t="str">
        <f t="shared" si="84"/>
        <v>2024-03</v>
      </c>
      <c r="J1367" s="4">
        <f t="shared" si="85"/>
        <v>8303.3233333333337</v>
      </c>
      <c r="K1367" t="str" cm="1">
        <f t="array" ref="K1367">_xlfn.IFS(G1367&lt;=5, "Small", G1367&lt;=15, "Medium", G1367&gt;15, "Large")</f>
        <v>Small</v>
      </c>
      <c r="L1367" t="str">
        <f t="shared" si="86"/>
        <v>Standard</v>
      </c>
      <c r="M1367" t="str">
        <f t="shared" si="87"/>
        <v>Weekend</v>
      </c>
    </row>
    <row r="1368" spans="1:13" x14ac:dyDescent="0.35">
      <c r="A1368" t="s">
        <v>1408</v>
      </c>
      <c r="B1368" s="1">
        <v>44946</v>
      </c>
      <c r="C1368" t="s">
        <v>48</v>
      </c>
      <c r="D1368" t="s">
        <v>31</v>
      </c>
      <c r="E1368" t="s">
        <v>27</v>
      </c>
      <c r="F1368" s="4">
        <v>0</v>
      </c>
      <c r="G1368" s="5">
        <v>1</v>
      </c>
      <c r="H1368" t="s">
        <v>12</v>
      </c>
      <c r="I1368" t="str">
        <f t="shared" si="84"/>
        <v>2023-01</v>
      </c>
      <c r="J1368" s="4">
        <f t="shared" si="85"/>
        <v>0</v>
      </c>
      <c r="K1368" t="str" cm="1">
        <f t="array" ref="K1368">_xlfn.IFS(G1368&lt;=5, "Small", G1368&lt;=15, "Medium", G1368&gt;15, "Large")</f>
        <v>Small</v>
      </c>
      <c r="L1368" t="str">
        <f t="shared" si="86"/>
        <v>Standard</v>
      </c>
      <c r="M1368" t="str">
        <f t="shared" si="87"/>
        <v>Weekday</v>
      </c>
    </row>
    <row r="1369" spans="1:13" x14ac:dyDescent="0.35">
      <c r="A1369" t="s">
        <v>1409</v>
      </c>
      <c r="B1369" s="1">
        <v>45207</v>
      </c>
      <c r="C1369" t="s">
        <v>53</v>
      </c>
      <c r="D1369" t="s">
        <v>31</v>
      </c>
      <c r="E1369" t="s">
        <v>18</v>
      </c>
      <c r="F1369" s="4">
        <v>1924.01</v>
      </c>
      <c r="G1369" s="5">
        <v>29</v>
      </c>
      <c r="H1369" t="s">
        <v>15</v>
      </c>
      <c r="I1369" t="str">
        <f t="shared" si="84"/>
        <v>2023-10</v>
      </c>
      <c r="J1369" s="4">
        <f t="shared" si="85"/>
        <v>66.345172413793108</v>
      </c>
      <c r="K1369" t="str" cm="1">
        <f t="array" ref="K1369">_xlfn.IFS(G1369&lt;=5, "Small", G1369&lt;=15, "Medium", G1369&gt;15, "Large")</f>
        <v>Large</v>
      </c>
      <c r="L1369" t="str">
        <f t="shared" si="86"/>
        <v>Standard</v>
      </c>
      <c r="M1369" t="str">
        <f t="shared" si="87"/>
        <v>Weekend</v>
      </c>
    </row>
    <row r="1370" spans="1:13" x14ac:dyDescent="0.35">
      <c r="A1370" t="s">
        <v>1410</v>
      </c>
      <c r="B1370" s="1">
        <v>45450</v>
      </c>
      <c r="C1370" t="s">
        <v>55</v>
      </c>
      <c r="D1370" t="s">
        <v>10</v>
      </c>
      <c r="E1370" t="s">
        <v>11</v>
      </c>
      <c r="F1370" s="4">
        <v>2212.25</v>
      </c>
      <c r="G1370" s="5">
        <v>5</v>
      </c>
      <c r="H1370" t="s">
        <v>15</v>
      </c>
      <c r="I1370" t="str">
        <f t="shared" si="84"/>
        <v>2024-06</v>
      </c>
      <c r="J1370" s="4">
        <f t="shared" si="85"/>
        <v>442.45</v>
      </c>
      <c r="K1370" t="str" cm="1">
        <f t="array" ref="K1370">_xlfn.IFS(G1370&lt;=5, "Small", G1370&lt;=15, "Medium", G1370&gt;15, "Large")</f>
        <v>Small</v>
      </c>
      <c r="L1370" t="str">
        <f t="shared" si="86"/>
        <v>Standard</v>
      </c>
      <c r="M1370" t="str">
        <f t="shared" si="87"/>
        <v>Weekday</v>
      </c>
    </row>
    <row r="1371" spans="1:13" x14ac:dyDescent="0.35">
      <c r="A1371" t="s">
        <v>1411</v>
      </c>
      <c r="B1371" s="1">
        <v>45414</v>
      </c>
      <c r="C1371" t="s">
        <v>30</v>
      </c>
      <c r="D1371" t="s">
        <v>31</v>
      </c>
      <c r="E1371" t="s">
        <v>18</v>
      </c>
      <c r="F1371" s="4">
        <v>1610.94</v>
      </c>
      <c r="G1371" s="5">
        <v>3</v>
      </c>
      <c r="H1371" t="s">
        <v>15</v>
      </c>
      <c r="I1371" t="str">
        <f t="shared" si="84"/>
        <v>2024-05</v>
      </c>
      <c r="J1371" s="4">
        <f t="shared" si="85"/>
        <v>536.98</v>
      </c>
      <c r="K1371" t="str" cm="1">
        <f t="array" ref="K1371">_xlfn.IFS(G1371&lt;=5, "Small", G1371&lt;=15, "Medium", G1371&gt;15, "Large")</f>
        <v>Small</v>
      </c>
      <c r="L1371" t="str">
        <f t="shared" si="86"/>
        <v>Standard</v>
      </c>
      <c r="M1371" t="str">
        <f t="shared" si="87"/>
        <v>Weekday</v>
      </c>
    </row>
    <row r="1372" spans="1:13" x14ac:dyDescent="0.35">
      <c r="A1372" t="s">
        <v>1412</v>
      </c>
      <c r="B1372" s="1">
        <v>45326</v>
      </c>
      <c r="C1372" t="s">
        <v>55</v>
      </c>
      <c r="D1372" t="s">
        <v>10</v>
      </c>
      <c r="E1372" t="s">
        <v>11</v>
      </c>
      <c r="F1372" s="4">
        <v>16311.73</v>
      </c>
      <c r="G1372" s="5">
        <v>1</v>
      </c>
      <c r="H1372" t="s">
        <v>15</v>
      </c>
      <c r="I1372" t="str">
        <f t="shared" si="84"/>
        <v>2024-02</v>
      </c>
      <c r="J1372" s="4">
        <f t="shared" si="85"/>
        <v>16311.73</v>
      </c>
      <c r="K1372" t="str" cm="1">
        <f t="array" ref="K1372">_xlfn.IFS(G1372&lt;=5, "Small", G1372&lt;=15, "Medium", G1372&gt;15, "Large")</f>
        <v>Small</v>
      </c>
      <c r="L1372" t="str">
        <f t="shared" si="86"/>
        <v>Standard</v>
      </c>
      <c r="M1372" t="str">
        <f t="shared" si="87"/>
        <v>Weekend</v>
      </c>
    </row>
    <row r="1373" spans="1:13" x14ac:dyDescent="0.35">
      <c r="A1373" t="s">
        <v>1413</v>
      </c>
      <c r="B1373" s="1">
        <v>45385</v>
      </c>
      <c r="C1373" t="s">
        <v>33</v>
      </c>
      <c r="D1373" t="s">
        <v>10</v>
      </c>
      <c r="E1373" t="s">
        <v>11</v>
      </c>
      <c r="F1373" s="4">
        <v>0</v>
      </c>
      <c r="G1373" s="5">
        <v>8</v>
      </c>
      <c r="H1373" t="s">
        <v>12</v>
      </c>
      <c r="I1373" t="str">
        <f t="shared" si="84"/>
        <v>2024-04</v>
      </c>
      <c r="J1373" s="4">
        <f t="shared" si="85"/>
        <v>0</v>
      </c>
      <c r="K1373" t="str" cm="1">
        <f t="array" ref="K1373">_xlfn.IFS(G1373&lt;=5, "Small", G1373&lt;=15, "Medium", G1373&gt;15, "Large")</f>
        <v>Medium</v>
      </c>
      <c r="L1373" t="str">
        <f t="shared" si="86"/>
        <v>Standard</v>
      </c>
      <c r="M1373" t="str">
        <f t="shared" si="87"/>
        <v>Weekday</v>
      </c>
    </row>
    <row r="1374" spans="1:13" x14ac:dyDescent="0.35">
      <c r="A1374" t="s">
        <v>1414</v>
      </c>
      <c r="B1374" s="1">
        <v>45556</v>
      </c>
      <c r="C1374" t="s">
        <v>35</v>
      </c>
      <c r="D1374" t="s">
        <v>21</v>
      </c>
      <c r="E1374" t="s">
        <v>27</v>
      </c>
      <c r="F1374" s="4">
        <v>22115.05</v>
      </c>
      <c r="G1374" s="5">
        <v>2</v>
      </c>
      <c r="H1374" t="s">
        <v>15</v>
      </c>
      <c r="I1374" t="str">
        <f t="shared" si="84"/>
        <v>2024-09</v>
      </c>
      <c r="J1374" s="4">
        <f t="shared" si="85"/>
        <v>11057.525</v>
      </c>
      <c r="K1374" t="str" cm="1">
        <f t="array" ref="K1374">_xlfn.IFS(G1374&lt;=5, "Small", G1374&lt;=15, "Medium", G1374&gt;15, "Large")</f>
        <v>Small</v>
      </c>
      <c r="L1374" t="str">
        <f t="shared" si="86"/>
        <v>Standard</v>
      </c>
      <c r="M1374" t="str">
        <f t="shared" si="87"/>
        <v>Weekend</v>
      </c>
    </row>
    <row r="1375" spans="1:13" x14ac:dyDescent="0.35">
      <c r="A1375" t="s">
        <v>1415</v>
      </c>
      <c r="B1375" s="1">
        <v>45309</v>
      </c>
      <c r="C1375" t="s">
        <v>48</v>
      </c>
      <c r="D1375" t="s">
        <v>31</v>
      </c>
      <c r="E1375" t="s">
        <v>27</v>
      </c>
      <c r="F1375" s="4">
        <v>24559.07</v>
      </c>
      <c r="G1375" s="5">
        <v>4</v>
      </c>
      <c r="H1375" t="s">
        <v>15</v>
      </c>
      <c r="I1375" t="str">
        <f t="shared" si="84"/>
        <v>2024-01</v>
      </c>
      <c r="J1375" s="4">
        <f t="shared" si="85"/>
        <v>6139.7674999999999</v>
      </c>
      <c r="K1375" t="str" cm="1">
        <f t="array" ref="K1375">_xlfn.IFS(G1375&lt;=5, "Small", G1375&lt;=15, "Medium", G1375&gt;15, "Large")</f>
        <v>Small</v>
      </c>
      <c r="L1375" t="str">
        <f t="shared" si="86"/>
        <v>Standard</v>
      </c>
      <c r="M1375" t="str">
        <f t="shared" si="87"/>
        <v>Weekday</v>
      </c>
    </row>
    <row r="1376" spans="1:13" x14ac:dyDescent="0.35">
      <c r="A1376" t="s">
        <v>1416</v>
      </c>
      <c r="B1376" s="1">
        <v>45145</v>
      </c>
      <c r="C1376" t="s">
        <v>64</v>
      </c>
      <c r="D1376" t="s">
        <v>10</v>
      </c>
      <c r="E1376" t="s">
        <v>18</v>
      </c>
      <c r="F1376" s="4">
        <v>0</v>
      </c>
      <c r="G1376" s="5">
        <v>20</v>
      </c>
      <c r="H1376" t="s">
        <v>12</v>
      </c>
      <c r="I1376" t="str">
        <f t="shared" si="84"/>
        <v>2023-08</v>
      </c>
      <c r="J1376" s="4">
        <f t="shared" si="85"/>
        <v>0</v>
      </c>
      <c r="K1376" t="str" cm="1">
        <f t="array" ref="K1376">_xlfn.IFS(G1376&lt;=5, "Small", G1376&lt;=15, "Medium", G1376&gt;15, "Large")</f>
        <v>Large</v>
      </c>
      <c r="L1376" t="str">
        <f t="shared" si="86"/>
        <v>Standard</v>
      </c>
      <c r="M1376" t="str">
        <f t="shared" si="87"/>
        <v>Weekday</v>
      </c>
    </row>
    <row r="1377" spans="1:13" x14ac:dyDescent="0.35">
      <c r="A1377" t="s">
        <v>1417</v>
      </c>
      <c r="B1377" s="1">
        <v>45111</v>
      </c>
      <c r="C1377" t="s">
        <v>74</v>
      </c>
      <c r="D1377" t="s">
        <v>31</v>
      </c>
      <c r="E1377" t="s">
        <v>18</v>
      </c>
      <c r="F1377" s="4">
        <v>0</v>
      </c>
      <c r="G1377" s="5">
        <v>20</v>
      </c>
      <c r="H1377" t="s">
        <v>28</v>
      </c>
      <c r="I1377" t="str">
        <f t="shared" si="84"/>
        <v>2023-07</v>
      </c>
      <c r="J1377" s="4">
        <f t="shared" si="85"/>
        <v>0</v>
      </c>
      <c r="K1377" t="str" cm="1">
        <f t="array" ref="K1377">_xlfn.IFS(G1377&lt;=5, "Small", G1377&lt;=15, "Medium", G1377&gt;15, "Large")</f>
        <v>Large</v>
      </c>
      <c r="L1377" t="str">
        <f t="shared" si="86"/>
        <v>Standard</v>
      </c>
      <c r="M1377" t="str">
        <f t="shared" si="87"/>
        <v>Weekday</v>
      </c>
    </row>
    <row r="1378" spans="1:13" x14ac:dyDescent="0.35">
      <c r="A1378" t="s">
        <v>1418</v>
      </c>
      <c r="B1378" s="1">
        <v>45013</v>
      </c>
      <c r="C1378" t="s">
        <v>72</v>
      </c>
      <c r="D1378" t="s">
        <v>26</v>
      </c>
      <c r="E1378" t="s">
        <v>18</v>
      </c>
      <c r="F1378" s="4">
        <v>221.68</v>
      </c>
      <c r="G1378" s="5">
        <v>3</v>
      </c>
      <c r="H1378" t="s">
        <v>15</v>
      </c>
      <c r="I1378" t="str">
        <f t="shared" si="84"/>
        <v>2023-03</v>
      </c>
      <c r="J1378" s="4">
        <f t="shared" si="85"/>
        <v>73.893333333333331</v>
      </c>
      <c r="K1378" t="str" cm="1">
        <f t="array" ref="K1378">_xlfn.IFS(G1378&lt;=5, "Small", G1378&lt;=15, "Medium", G1378&gt;15, "Large")</f>
        <v>Small</v>
      </c>
      <c r="L1378" t="str">
        <f t="shared" si="86"/>
        <v>Standard</v>
      </c>
      <c r="M1378" t="str">
        <f t="shared" si="87"/>
        <v>Weekday</v>
      </c>
    </row>
    <row r="1379" spans="1:13" x14ac:dyDescent="0.35">
      <c r="A1379" t="s">
        <v>1419</v>
      </c>
      <c r="B1379" s="1">
        <v>45627</v>
      </c>
      <c r="C1379" t="s">
        <v>64</v>
      </c>
      <c r="D1379" t="s">
        <v>10</v>
      </c>
      <c r="E1379" t="s">
        <v>27</v>
      </c>
      <c r="F1379" s="4">
        <v>7152.5</v>
      </c>
      <c r="G1379" s="5">
        <v>5</v>
      </c>
      <c r="H1379" t="s">
        <v>15</v>
      </c>
      <c r="I1379" t="str">
        <f t="shared" si="84"/>
        <v>2024-12</v>
      </c>
      <c r="J1379" s="4">
        <f t="shared" si="85"/>
        <v>1430.5</v>
      </c>
      <c r="K1379" t="str" cm="1">
        <f t="array" ref="K1379">_xlfn.IFS(G1379&lt;=5, "Small", G1379&lt;=15, "Medium", G1379&gt;15, "Large")</f>
        <v>Small</v>
      </c>
      <c r="L1379" t="str">
        <f t="shared" si="86"/>
        <v>Standard</v>
      </c>
      <c r="M1379" t="str">
        <f t="shared" si="87"/>
        <v>Weekend</v>
      </c>
    </row>
    <row r="1380" spans="1:13" x14ac:dyDescent="0.35">
      <c r="A1380" t="s">
        <v>1420</v>
      </c>
      <c r="B1380" s="1">
        <v>45201</v>
      </c>
      <c r="C1380" t="s">
        <v>25</v>
      </c>
      <c r="D1380" t="s">
        <v>26</v>
      </c>
      <c r="E1380" t="s">
        <v>27</v>
      </c>
      <c r="F1380" s="4">
        <v>20012.689999999999</v>
      </c>
      <c r="G1380" s="5">
        <v>4</v>
      </c>
      <c r="H1380" t="s">
        <v>15</v>
      </c>
      <c r="I1380" t="str">
        <f t="shared" si="84"/>
        <v>2023-10</v>
      </c>
      <c r="J1380" s="4">
        <f t="shared" si="85"/>
        <v>5003.1724999999997</v>
      </c>
      <c r="K1380" t="str" cm="1">
        <f t="array" ref="K1380">_xlfn.IFS(G1380&lt;=5, "Small", G1380&lt;=15, "Medium", G1380&gt;15, "Large")</f>
        <v>Small</v>
      </c>
      <c r="L1380" t="str">
        <f t="shared" si="86"/>
        <v>Standard</v>
      </c>
      <c r="M1380" t="str">
        <f t="shared" si="87"/>
        <v>Weekday</v>
      </c>
    </row>
    <row r="1381" spans="1:13" x14ac:dyDescent="0.35">
      <c r="A1381" t="s">
        <v>1421</v>
      </c>
      <c r="B1381" s="1">
        <v>45242</v>
      </c>
      <c r="C1381" t="s">
        <v>97</v>
      </c>
      <c r="D1381" t="s">
        <v>21</v>
      </c>
      <c r="E1381" t="s">
        <v>11</v>
      </c>
      <c r="F1381" s="4">
        <v>2109.5</v>
      </c>
      <c r="G1381" s="5">
        <v>2</v>
      </c>
      <c r="H1381" t="s">
        <v>15</v>
      </c>
      <c r="I1381" t="str">
        <f t="shared" si="84"/>
        <v>2023-11</v>
      </c>
      <c r="J1381" s="4">
        <f t="shared" si="85"/>
        <v>1054.75</v>
      </c>
      <c r="K1381" t="str" cm="1">
        <f t="array" ref="K1381">_xlfn.IFS(G1381&lt;=5, "Small", G1381&lt;=15, "Medium", G1381&gt;15, "Large")</f>
        <v>Small</v>
      </c>
      <c r="L1381" t="str">
        <f t="shared" si="86"/>
        <v>Standard</v>
      </c>
      <c r="M1381" t="str">
        <f t="shared" si="87"/>
        <v>Weekend</v>
      </c>
    </row>
    <row r="1382" spans="1:13" x14ac:dyDescent="0.35">
      <c r="A1382" t="s">
        <v>1422</v>
      </c>
      <c r="B1382" s="1">
        <v>45498</v>
      </c>
      <c r="C1382" t="s">
        <v>62</v>
      </c>
      <c r="D1382" t="s">
        <v>10</v>
      </c>
      <c r="E1382" t="s">
        <v>18</v>
      </c>
      <c r="F1382" s="4">
        <v>0</v>
      </c>
      <c r="G1382" s="5">
        <v>10</v>
      </c>
      <c r="H1382" t="s">
        <v>28</v>
      </c>
      <c r="I1382" t="str">
        <f t="shared" si="84"/>
        <v>2024-07</v>
      </c>
      <c r="J1382" s="4">
        <f t="shared" si="85"/>
        <v>0</v>
      </c>
      <c r="K1382" t="str" cm="1">
        <f t="array" ref="K1382">_xlfn.IFS(G1382&lt;=5, "Small", G1382&lt;=15, "Medium", G1382&gt;15, "Large")</f>
        <v>Medium</v>
      </c>
      <c r="L1382" t="str">
        <f t="shared" si="86"/>
        <v>Standard</v>
      </c>
      <c r="M1382" t="str">
        <f t="shared" si="87"/>
        <v>Weekday</v>
      </c>
    </row>
    <row r="1383" spans="1:13" x14ac:dyDescent="0.35">
      <c r="A1383" t="s">
        <v>1423</v>
      </c>
      <c r="B1383" s="1">
        <v>45336</v>
      </c>
      <c r="C1383" t="s">
        <v>25</v>
      </c>
      <c r="D1383" t="s">
        <v>26</v>
      </c>
      <c r="E1383" t="s">
        <v>18</v>
      </c>
      <c r="F1383" s="4">
        <v>2159.66</v>
      </c>
      <c r="G1383" s="5">
        <v>22</v>
      </c>
      <c r="H1383" t="s">
        <v>15</v>
      </c>
      <c r="I1383" t="str">
        <f t="shared" si="84"/>
        <v>2024-02</v>
      </c>
      <c r="J1383" s="4">
        <f t="shared" si="85"/>
        <v>98.166363636363627</v>
      </c>
      <c r="K1383" t="str" cm="1">
        <f t="array" ref="K1383">_xlfn.IFS(G1383&lt;=5, "Small", G1383&lt;=15, "Medium", G1383&gt;15, "Large")</f>
        <v>Large</v>
      </c>
      <c r="L1383" t="str">
        <f t="shared" si="86"/>
        <v>Standard</v>
      </c>
      <c r="M1383" t="str">
        <f t="shared" si="87"/>
        <v>Weekday</v>
      </c>
    </row>
    <row r="1384" spans="1:13" x14ac:dyDescent="0.35">
      <c r="A1384" t="s">
        <v>1424</v>
      </c>
      <c r="B1384" s="1">
        <v>45151</v>
      </c>
      <c r="C1384" t="s">
        <v>55</v>
      </c>
      <c r="D1384" t="s">
        <v>10</v>
      </c>
      <c r="E1384" t="s">
        <v>27</v>
      </c>
      <c r="F1384" s="4">
        <v>0</v>
      </c>
      <c r="G1384" s="5">
        <v>4</v>
      </c>
      <c r="H1384" t="s">
        <v>28</v>
      </c>
      <c r="I1384" t="str">
        <f t="shared" si="84"/>
        <v>2023-08</v>
      </c>
      <c r="J1384" s="4">
        <f t="shared" si="85"/>
        <v>0</v>
      </c>
      <c r="K1384" t="str" cm="1">
        <f t="array" ref="K1384">_xlfn.IFS(G1384&lt;=5, "Small", G1384&lt;=15, "Medium", G1384&gt;15, "Large")</f>
        <v>Small</v>
      </c>
      <c r="L1384" t="str">
        <f t="shared" si="86"/>
        <v>Standard</v>
      </c>
      <c r="M1384" t="str">
        <f t="shared" si="87"/>
        <v>Weekend</v>
      </c>
    </row>
    <row r="1385" spans="1:13" x14ac:dyDescent="0.35">
      <c r="A1385" t="s">
        <v>1425</v>
      </c>
      <c r="B1385" s="1">
        <v>45181</v>
      </c>
      <c r="C1385" t="s">
        <v>50</v>
      </c>
      <c r="D1385" t="s">
        <v>31</v>
      </c>
      <c r="E1385" t="s">
        <v>18</v>
      </c>
      <c r="F1385" s="4">
        <v>1892.65</v>
      </c>
      <c r="G1385" s="5">
        <v>5</v>
      </c>
      <c r="H1385" t="s">
        <v>15</v>
      </c>
      <c r="I1385" t="str">
        <f t="shared" si="84"/>
        <v>2023-09</v>
      </c>
      <c r="J1385" s="4">
        <f t="shared" si="85"/>
        <v>378.53000000000003</v>
      </c>
      <c r="K1385" t="str" cm="1">
        <f t="array" ref="K1385">_xlfn.IFS(G1385&lt;=5, "Small", G1385&lt;=15, "Medium", G1385&gt;15, "Large")</f>
        <v>Small</v>
      </c>
      <c r="L1385" t="str">
        <f t="shared" si="86"/>
        <v>Standard</v>
      </c>
      <c r="M1385" t="str">
        <f t="shared" si="87"/>
        <v>Weekday</v>
      </c>
    </row>
    <row r="1386" spans="1:13" x14ac:dyDescent="0.35">
      <c r="A1386" t="s">
        <v>1426</v>
      </c>
      <c r="B1386" s="1">
        <v>45446</v>
      </c>
      <c r="C1386" t="s">
        <v>69</v>
      </c>
      <c r="D1386" t="s">
        <v>31</v>
      </c>
      <c r="E1386" t="s">
        <v>18</v>
      </c>
      <c r="F1386" s="4">
        <v>3297.63</v>
      </c>
      <c r="G1386" s="5">
        <v>15</v>
      </c>
      <c r="H1386" t="s">
        <v>15</v>
      </c>
      <c r="I1386" t="str">
        <f t="shared" si="84"/>
        <v>2024-06</v>
      </c>
      <c r="J1386" s="4">
        <f t="shared" si="85"/>
        <v>219.84200000000001</v>
      </c>
      <c r="K1386" t="str" cm="1">
        <f t="array" ref="K1386">_xlfn.IFS(G1386&lt;=5, "Small", G1386&lt;=15, "Medium", G1386&gt;15, "Large")</f>
        <v>Medium</v>
      </c>
      <c r="L1386" t="str">
        <f t="shared" si="86"/>
        <v>Standard</v>
      </c>
      <c r="M1386" t="str">
        <f t="shared" si="87"/>
        <v>Weekday</v>
      </c>
    </row>
    <row r="1387" spans="1:13" x14ac:dyDescent="0.35">
      <c r="A1387" t="s">
        <v>1427</v>
      </c>
      <c r="B1387" s="1">
        <v>45456</v>
      </c>
      <c r="C1387" t="s">
        <v>78</v>
      </c>
      <c r="D1387" t="s">
        <v>31</v>
      </c>
      <c r="E1387" t="s">
        <v>27</v>
      </c>
      <c r="F1387" s="4">
        <v>2875.84</v>
      </c>
      <c r="G1387" s="5">
        <v>4</v>
      </c>
      <c r="H1387" t="s">
        <v>15</v>
      </c>
      <c r="I1387" t="str">
        <f t="shared" si="84"/>
        <v>2024-06</v>
      </c>
      <c r="J1387" s="4">
        <f t="shared" si="85"/>
        <v>718.96</v>
      </c>
      <c r="K1387" t="str" cm="1">
        <f t="array" ref="K1387">_xlfn.IFS(G1387&lt;=5, "Small", G1387&lt;=15, "Medium", G1387&gt;15, "Large")</f>
        <v>Small</v>
      </c>
      <c r="L1387" t="str">
        <f t="shared" si="86"/>
        <v>Standard</v>
      </c>
      <c r="M1387" t="str">
        <f t="shared" si="87"/>
        <v>Weekday</v>
      </c>
    </row>
    <row r="1388" spans="1:13" x14ac:dyDescent="0.35">
      <c r="A1388" t="s">
        <v>1428</v>
      </c>
      <c r="B1388" s="1">
        <v>44960</v>
      </c>
      <c r="C1388" t="s">
        <v>35</v>
      </c>
      <c r="D1388" t="s">
        <v>31</v>
      </c>
      <c r="E1388" t="s">
        <v>11</v>
      </c>
      <c r="F1388" s="4">
        <v>17094.18</v>
      </c>
      <c r="G1388" s="5">
        <v>6</v>
      </c>
      <c r="H1388" t="s">
        <v>15</v>
      </c>
      <c r="I1388" t="str">
        <f t="shared" si="84"/>
        <v>2023-02</v>
      </c>
      <c r="J1388" s="4">
        <f t="shared" si="85"/>
        <v>2849.03</v>
      </c>
      <c r="K1388" t="str" cm="1">
        <f t="array" ref="K1388">_xlfn.IFS(G1388&lt;=5, "Small", G1388&lt;=15, "Medium", G1388&gt;15, "Large")</f>
        <v>Medium</v>
      </c>
      <c r="L1388" t="str">
        <f t="shared" si="86"/>
        <v>Standard</v>
      </c>
      <c r="M1388" t="str">
        <f t="shared" si="87"/>
        <v>Weekday</v>
      </c>
    </row>
    <row r="1389" spans="1:13" x14ac:dyDescent="0.35">
      <c r="A1389" t="s">
        <v>1429</v>
      </c>
      <c r="B1389" s="1">
        <v>45520</v>
      </c>
      <c r="C1389" t="s">
        <v>97</v>
      </c>
      <c r="D1389" t="s">
        <v>21</v>
      </c>
      <c r="E1389" t="s">
        <v>18</v>
      </c>
      <c r="F1389" s="4">
        <v>2268.3200000000002</v>
      </c>
      <c r="G1389" s="5">
        <v>20</v>
      </c>
      <c r="H1389" t="s">
        <v>15</v>
      </c>
      <c r="I1389" t="str">
        <f t="shared" si="84"/>
        <v>2024-08</v>
      </c>
      <c r="J1389" s="4">
        <f t="shared" si="85"/>
        <v>113.41600000000001</v>
      </c>
      <c r="K1389" t="str" cm="1">
        <f t="array" ref="K1389">_xlfn.IFS(G1389&lt;=5, "Small", G1389&lt;=15, "Medium", G1389&gt;15, "Large")</f>
        <v>Large</v>
      </c>
      <c r="L1389" t="str">
        <f t="shared" si="86"/>
        <v>Standard</v>
      </c>
      <c r="M1389" t="str">
        <f t="shared" si="87"/>
        <v>Weekday</v>
      </c>
    </row>
    <row r="1390" spans="1:13" x14ac:dyDescent="0.35">
      <c r="A1390" t="s">
        <v>1430</v>
      </c>
      <c r="B1390" s="1">
        <v>45581</v>
      </c>
      <c r="C1390" t="s">
        <v>35</v>
      </c>
      <c r="D1390" t="s">
        <v>31</v>
      </c>
      <c r="E1390" t="s">
        <v>27</v>
      </c>
      <c r="F1390" s="4">
        <v>35576.32</v>
      </c>
      <c r="G1390" s="5">
        <v>2</v>
      </c>
      <c r="H1390" t="s">
        <v>15</v>
      </c>
      <c r="I1390" t="str">
        <f t="shared" si="84"/>
        <v>2024-10</v>
      </c>
      <c r="J1390" s="4">
        <f t="shared" si="85"/>
        <v>17788.16</v>
      </c>
      <c r="K1390" t="str" cm="1">
        <f t="array" ref="K1390">_xlfn.IFS(G1390&lt;=5, "Small", G1390&lt;=15, "Medium", G1390&gt;15, "Large")</f>
        <v>Small</v>
      </c>
      <c r="L1390" t="str">
        <f t="shared" si="86"/>
        <v>VIP</v>
      </c>
      <c r="M1390" t="str">
        <f t="shared" si="87"/>
        <v>Weekday</v>
      </c>
    </row>
    <row r="1391" spans="1:13" x14ac:dyDescent="0.35">
      <c r="A1391" t="s">
        <v>1431</v>
      </c>
      <c r="B1391" s="1">
        <v>45084</v>
      </c>
      <c r="C1391" t="s">
        <v>48</v>
      </c>
      <c r="D1391" t="s">
        <v>31</v>
      </c>
      <c r="E1391" t="s">
        <v>27</v>
      </c>
      <c r="F1391" s="4">
        <v>22362.66</v>
      </c>
      <c r="G1391" s="5">
        <v>3</v>
      </c>
      <c r="H1391" t="s">
        <v>15</v>
      </c>
      <c r="I1391" t="str">
        <f t="shared" si="84"/>
        <v>2023-06</v>
      </c>
      <c r="J1391" s="4">
        <f t="shared" si="85"/>
        <v>7454.22</v>
      </c>
      <c r="K1391" t="str" cm="1">
        <f t="array" ref="K1391">_xlfn.IFS(G1391&lt;=5, "Small", G1391&lt;=15, "Medium", G1391&gt;15, "Large")</f>
        <v>Small</v>
      </c>
      <c r="L1391" t="str">
        <f t="shared" si="86"/>
        <v>Standard</v>
      </c>
      <c r="M1391" t="str">
        <f t="shared" si="87"/>
        <v>Weekday</v>
      </c>
    </row>
    <row r="1392" spans="1:13" x14ac:dyDescent="0.35">
      <c r="A1392" t="s">
        <v>1432</v>
      </c>
      <c r="B1392" s="1">
        <v>45568</v>
      </c>
      <c r="C1392" t="s">
        <v>48</v>
      </c>
      <c r="D1392" t="s">
        <v>31</v>
      </c>
      <c r="E1392" t="s">
        <v>11</v>
      </c>
      <c r="F1392" s="4">
        <v>13924.06</v>
      </c>
      <c r="G1392" s="5">
        <v>3</v>
      </c>
      <c r="H1392" t="s">
        <v>15</v>
      </c>
      <c r="I1392" t="str">
        <f t="shared" si="84"/>
        <v>2024-10</v>
      </c>
      <c r="J1392" s="4">
        <f t="shared" si="85"/>
        <v>4641.3533333333335</v>
      </c>
      <c r="K1392" t="str" cm="1">
        <f t="array" ref="K1392">_xlfn.IFS(G1392&lt;=5, "Small", G1392&lt;=15, "Medium", G1392&gt;15, "Large")</f>
        <v>Small</v>
      </c>
      <c r="L1392" t="str">
        <f t="shared" si="86"/>
        <v>Standard</v>
      </c>
      <c r="M1392" t="str">
        <f t="shared" si="87"/>
        <v>Weekday</v>
      </c>
    </row>
    <row r="1393" spans="1:13" x14ac:dyDescent="0.35">
      <c r="A1393" t="s">
        <v>1433</v>
      </c>
      <c r="B1393" s="1">
        <v>45477</v>
      </c>
      <c r="C1393" t="s">
        <v>53</v>
      </c>
      <c r="D1393" t="s">
        <v>31</v>
      </c>
      <c r="E1393" t="s">
        <v>11</v>
      </c>
      <c r="F1393" s="4">
        <v>10312.01</v>
      </c>
      <c r="G1393" s="5">
        <v>8</v>
      </c>
      <c r="H1393" t="s">
        <v>15</v>
      </c>
      <c r="I1393" t="str">
        <f t="shared" si="84"/>
        <v>2024-07</v>
      </c>
      <c r="J1393" s="4">
        <f t="shared" si="85"/>
        <v>1289.00125</v>
      </c>
      <c r="K1393" t="str" cm="1">
        <f t="array" ref="K1393">_xlfn.IFS(G1393&lt;=5, "Small", G1393&lt;=15, "Medium", G1393&gt;15, "Large")</f>
        <v>Medium</v>
      </c>
      <c r="L1393" t="str">
        <f t="shared" si="86"/>
        <v>Standard</v>
      </c>
      <c r="M1393" t="str">
        <f t="shared" si="87"/>
        <v>Weekday</v>
      </c>
    </row>
    <row r="1394" spans="1:13" x14ac:dyDescent="0.35">
      <c r="A1394" t="s">
        <v>1434</v>
      </c>
      <c r="B1394" s="1">
        <v>45156</v>
      </c>
      <c r="C1394" t="s">
        <v>253</v>
      </c>
      <c r="D1394" t="s">
        <v>21</v>
      </c>
      <c r="E1394" t="s">
        <v>11</v>
      </c>
      <c r="F1394" s="4">
        <v>12915.51</v>
      </c>
      <c r="G1394" s="5">
        <v>5</v>
      </c>
      <c r="H1394" t="s">
        <v>15</v>
      </c>
      <c r="I1394" t="str">
        <f t="shared" si="84"/>
        <v>2023-08</v>
      </c>
      <c r="J1394" s="4">
        <f t="shared" si="85"/>
        <v>2583.1019999999999</v>
      </c>
      <c r="K1394" t="str" cm="1">
        <f t="array" ref="K1394">_xlfn.IFS(G1394&lt;=5, "Small", G1394&lt;=15, "Medium", G1394&gt;15, "Large")</f>
        <v>Small</v>
      </c>
      <c r="L1394" t="str">
        <f t="shared" si="86"/>
        <v>Standard</v>
      </c>
      <c r="M1394" t="str">
        <f t="shared" si="87"/>
        <v>Weekday</v>
      </c>
    </row>
    <row r="1395" spans="1:13" x14ac:dyDescent="0.35">
      <c r="A1395" t="s">
        <v>1435</v>
      </c>
      <c r="B1395" s="1">
        <v>45587</v>
      </c>
      <c r="C1395" t="s">
        <v>37</v>
      </c>
      <c r="D1395" t="s">
        <v>21</v>
      </c>
      <c r="E1395" t="s">
        <v>27</v>
      </c>
      <c r="F1395" s="4">
        <v>13817.69</v>
      </c>
      <c r="G1395" s="5">
        <v>5</v>
      </c>
      <c r="H1395" t="s">
        <v>15</v>
      </c>
      <c r="I1395" t="str">
        <f t="shared" si="84"/>
        <v>2024-10</v>
      </c>
      <c r="J1395" s="4">
        <f t="shared" si="85"/>
        <v>2763.538</v>
      </c>
      <c r="K1395" t="str" cm="1">
        <f t="array" ref="K1395">_xlfn.IFS(G1395&lt;=5, "Small", G1395&lt;=15, "Medium", G1395&gt;15, "Large")</f>
        <v>Small</v>
      </c>
      <c r="L1395" t="str">
        <f t="shared" si="86"/>
        <v>Standard</v>
      </c>
      <c r="M1395" t="str">
        <f t="shared" si="87"/>
        <v>Weekday</v>
      </c>
    </row>
    <row r="1396" spans="1:13" x14ac:dyDescent="0.35">
      <c r="A1396" t="s">
        <v>1436</v>
      </c>
      <c r="B1396" s="1">
        <v>45003</v>
      </c>
      <c r="C1396" t="s">
        <v>82</v>
      </c>
      <c r="D1396" t="s">
        <v>10</v>
      </c>
      <c r="E1396" t="s">
        <v>11</v>
      </c>
      <c r="F1396" s="4">
        <v>12025.26</v>
      </c>
      <c r="G1396" s="5">
        <v>3</v>
      </c>
      <c r="H1396" t="s">
        <v>15</v>
      </c>
      <c r="I1396" t="str">
        <f t="shared" si="84"/>
        <v>2023-03</v>
      </c>
      <c r="J1396" s="4">
        <f t="shared" si="85"/>
        <v>4008.42</v>
      </c>
      <c r="K1396" t="str" cm="1">
        <f t="array" ref="K1396">_xlfn.IFS(G1396&lt;=5, "Small", G1396&lt;=15, "Medium", G1396&gt;15, "Large")</f>
        <v>Small</v>
      </c>
      <c r="L1396" t="str">
        <f t="shared" si="86"/>
        <v>Standard</v>
      </c>
      <c r="M1396" t="str">
        <f t="shared" si="87"/>
        <v>Weekend</v>
      </c>
    </row>
    <row r="1397" spans="1:13" x14ac:dyDescent="0.35">
      <c r="A1397" t="s">
        <v>1437</v>
      </c>
      <c r="B1397" s="1">
        <v>45414</v>
      </c>
      <c r="C1397" t="s">
        <v>64</v>
      </c>
      <c r="D1397" t="s">
        <v>10</v>
      </c>
      <c r="E1397" t="s">
        <v>18</v>
      </c>
      <c r="F1397" s="4">
        <v>3275.26</v>
      </c>
      <c r="G1397" s="5">
        <v>18</v>
      </c>
      <c r="H1397" t="s">
        <v>15</v>
      </c>
      <c r="I1397" t="str">
        <f t="shared" si="84"/>
        <v>2024-05</v>
      </c>
      <c r="J1397" s="4">
        <f t="shared" si="85"/>
        <v>181.95888888888891</v>
      </c>
      <c r="K1397" t="str" cm="1">
        <f t="array" ref="K1397">_xlfn.IFS(G1397&lt;=5, "Small", G1397&lt;=15, "Medium", G1397&gt;15, "Large")</f>
        <v>Large</v>
      </c>
      <c r="L1397" t="str">
        <f t="shared" si="86"/>
        <v>Standard</v>
      </c>
      <c r="M1397" t="str">
        <f t="shared" si="87"/>
        <v>Weekday</v>
      </c>
    </row>
    <row r="1398" spans="1:13" x14ac:dyDescent="0.35">
      <c r="A1398" t="s">
        <v>1438</v>
      </c>
      <c r="B1398" s="1">
        <v>45146</v>
      </c>
      <c r="C1398" t="s">
        <v>97</v>
      </c>
      <c r="D1398" t="s">
        <v>26</v>
      </c>
      <c r="E1398" t="s">
        <v>18</v>
      </c>
      <c r="F1398" s="4">
        <v>1978.44</v>
      </c>
      <c r="G1398" s="5">
        <v>25</v>
      </c>
      <c r="H1398" t="s">
        <v>15</v>
      </c>
      <c r="I1398" t="str">
        <f t="shared" si="84"/>
        <v>2023-08</v>
      </c>
      <c r="J1398" s="4">
        <f t="shared" si="85"/>
        <v>79.137600000000006</v>
      </c>
      <c r="K1398" t="str" cm="1">
        <f t="array" ref="K1398">_xlfn.IFS(G1398&lt;=5, "Small", G1398&lt;=15, "Medium", G1398&gt;15, "Large")</f>
        <v>Large</v>
      </c>
      <c r="L1398" t="str">
        <f t="shared" si="86"/>
        <v>Standard</v>
      </c>
      <c r="M1398" t="str">
        <f t="shared" si="87"/>
        <v>Weekday</v>
      </c>
    </row>
    <row r="1399" spans="1:13" x14ac:dyDescent="0.35">
      <c r="A1399" t="s">
        <v>1439</v>
      </c>
      <c r="B1399" s="1">
        <v>45404</v>
      </c>
      <c r="C1399" t="s">
        <v>91</v>
      </c>
      <c r="D1399" t="s">
        <v>26</v>
      </c>
      <c r="E1399" t="s">
        <v>11</v>
      </c>
      <c r="F1399" s="4">
        <v>13792.24</v>
      </c>
      <c r="G1399" s="5">
        <v>5</v>
      </c>
      <c r="H1399" t="s">
        <v>15</v>
      </c>
      <c r="I1399" t="str">
        <f t="shared" si="84"/>
        <v>2024-04</v>
      </c>
      <c r="J1399" s="4">
        <f t="shared" si="85"/>
        <v>2758.4479999999999</v>
      </c>
      <c r="K1399" t="str" cm="1">
        <f t="array" ref="K1399">_xlfn.IFS(G1399&lt;=5, "Small", G1399&lt;=15, "Medium", G1399&gt;15, "Large")</f>
        <v>Small</v>
      </c>
      <c r="L1399" t="str">
        <f t="shared" si="86"/>
        <v>Standard</v>
      </c>
      <c r="M1399" t="str">
        <f t="shared" si="87"/>
        <v>Weekday</v>
      </c>
    </row>
    <row r="1400" spans="1:13" x14ac:dyDescent="0.35">
      <c r="A1400" t="s">
        <v>1440</v>
      </c>
      <c r="B1400" s="1">
        <v>45599</v>
      </c>
      <c r="C1400" t="s">
        <v>64</v>
      </c>
      <c r="D1400" t="s">
        <v>10</v>
      </c>
      <c r="E1400" t="s">
        <v>11</v>
      </c>
      <c r="F1400" s="4">
        <v>13097.01</v>
      </c>
      <c r="G1400" s="5">
        <v>7</v>
      </c>
      <c r="H1400" t="s">
        <v>15</v>
      </c>
      <c r="I1400" t="str">
        <f t="shared" si="84"/>
        <v>2024-11</v>
      </c>
      <c r="J1400" s="4">
        <f t="shared" si="85"/>
        <v>1871.0014285714285</v>
      </c>
      <c r="K1400" t="str" cm="1">
        <f t="array" ref="K1400">_xlfn.IFS(G1400&lt;=5, "Small", G1400&lt;=15, "Medium", G1400&gt;15, "Large")</f>
        <v>Medium</v>
      </c>
      <c r="L1400" t="str">
        <f t="shared" si="86"/>
        <v>Standard</v>
      </c>
      <c r="M1400" t="str">
        <f t="shared" si="87"/>
        <v>Weekend</v>
      </c>
    </row>
    <row r="1401" spans="1:13" x14ac:dyDescent="0.35">
      <c r="A1401" t="s">
        <v>1441</v>
      </c>
      <c r="B1401" s="1">
        <v>45521</v>
      </c>
      <c r="C1401" t="s">
        <v>30</v>
      </c>
      <c r="D1401" t="s">
        <v>31</v>
      </c>
      <c r="E1401" t="s">
        <v>18</v>
      </c>
      <c r="F1401" s="4">
        <v>3023.35</v>
      </c>
      <c r="G1401" s="5">
        <v>6</v>
      </c>
      <c r="H1401" t="s">
        <v>15</v>
      </c>
      <c r="I1401" t="str">
        <f t="shared" si="84"/>
        <v>2024-08</v>
      </c>
      <c r="J1401" s="4">
        <f t="shared" si="85"/>
        <v>503.89166666666665</v>
      </c>
      <c r="K1401" t="str" cm="1">
        <f t="array" ref="K1401">_xlfn.IFS(G1401&lt;=5, "Small", G1401&lt;=15, "Medium", G1401&gt;15, "Large")</f>
        <v>Medium</v>
      </c>
      <c r="L1401" t="str">
        <f t="shared" si="86"/>
        <v>Standard</v>
      </c>
      <c r="M1401" t="str">
        <f t="shared" si="87"/>
        <v>Weekend</v>
      </c>
    </row>
    <row r="1402" spans="1:13" x14ac:dyDescent="0.35">
      <c r="A1402" t="s">
        <v>1442</v>
      </c>
      <c r="B1402" s="1">
        <v>45282</v>
      </c>
      <c r="C1402" t="s">
        <v>17</v>
      </c>
      <c r="D1402" t="s">
        <v>10</v>
      </c>
      <c r="E1402" t="s">
        <v>27</v>
      </c>
      <c r="F1402" s="4">
        <v>0</v>
      </c>
      <c r="G1402" s="5">
        <v>1</v>
      </c>
      <c r="H1402" t="s">
        <v>28</v>
      </c>
      <c r="I1402" t="str">
        <f t="shared" si="84"/>
        <v>2023-12</v>
      </c>
      <c r="J1402" s="4">
        <f t="shared" si="85"/>
        <v>0</v>
      </c>
      <c r="K1402" t="str" cm="1">
        <f t="array" ref="K1402">_xlfn.IFS(G1402&lt;=5, "Small", G1402&lt;=15, "Medium", G1402&gt;15, "Large")</f>
        <v>Small</v>
      </c>
      <c r="L1402" t="str">
        <f t="shared" si="86"/>
        <v>Standard</v>
      </c>
      <c r="M1402" t="str">
        <f t="shared" si="87"/>
        <v>Weekday</v>
      </c>
    </row>
    <row r="1403" spans="1:13" x14ac:dyDescent="0.35">
      <c r="A1403" t="s">
        <v>1443</v>
      </c>
      <c r="B1403" s="1">
        <v>45004</v>
      </c>
      <c r="C1403" t="s">
        <v>62</v>
      </c>
      <c r="D1403" t="s">
        <v>10</v>
      </c>
      <c r="E1403" t="s">
        <v>18</v>
      </c>
      <c r="F1403" s="4">
        <v>157.62</v>
      </c>
      <c r="G1403" s="5">
        <v>19</v>
      </c>
      <c r="H1403" t="s">
        <v>15</v>
      </c>
      <c r="I1403" t="str">
        <f t="shared" si="84"/>
        <v>2023-03</v>
      </c>
      <c r="J1403" s="4">
        <f t="shared" si="85"/>
        <v>8.295789473684211</v>
      </c>
      <c r="K1403" t="str" cm="1">
        <f t="array" ref="K1403">_xlfn.IFS(G1403&lt;=5, "Small", G1403&lt;=15, "Medium", G1403&gt;15, "Large")</f>
        <v>Large</v>
      </c>
      <c r="L1403" t="str">
        <f t="shared" si="86"/>
        <v>Standard</v>
      </c>
      <c r="M1403" t="str">
        <f t="shared" si="87"/>
        <v>Weekend</v>
      </c>
    </row>
    <row r="1404" spans="1:13" x14ac:dyDescent="0.35">
      <c r="A1404" t="s">
        <v>1444</v>
      </c>
      <c r="B1404" s="1">
        <v>45056</v>
      </c>
      <c r="C1404" t="s">
        <v>37</v>
      </c>
      <c r="D1404" t="s">
        <v>21</v>
      </c>
      <c r="E1404" t="s">
        <v>18</v>
      </c>
      <c r="F1404" s="4">
        <v>1313.83</v>
      </c>
      <c r="G1404" s="5">
        <v>13</v>
      </c>
      <c r="H1404" t="s">
        <v>15</v>
      </c>
      <c r="I1404" t="str">
        <f t="shared" si="84"/>
        <v>2023-05</v>
      </c>
      <c r="J1404" s="4">
        <f t="shared" si="85"/>
        <v>101.06384615384614</v>
      </c>
      <c r="K1404" t="str" cm="1">
        <f t="array" ref="K1404">_xlfn.IFS(G1404&lt;=5, "Small", G1404&lt;=15, "Medium", G1404&gt;15, "Large")</f>
        <v>Medium</v>
      </c>
      <c r="L1404" t="str">
        <f t="shared" si="86"/>
        <v>Standard</v>
      </c>
      <c r="M1404" t="str">
        <f t="shared" si="87"/>
        <v>Weekday</v>
      </c>
    </row>
    <row r="1405" spans="1:13" x14ac:dyDescent="0.35">
      <c r="A1405" t="s">
        <v>1445</v>
      </c>
      <c r="B1405" s="1">
        <v>45464</v>
      </c>
      <c r="C1405" t="s">
        <v>253</v>
      </c>
      <c r="D1405" t="s">
        <v>21</v>
      </c>
      <c r="E1405" t="s">
        <v>27</v>
      </c>
      <c r="F1405" s="4">
        <v>0</v>
      </c>
      <c r="G1405" s="5">
        <v>1</v>
      </c>
      <c r="H1405" t="s">
        <v>12</v>
      </c>
      <c r="I1405" t="str">
        <f t="shared" si="84"/>
        <v>2024-06</v>
      </c>
      <c r="J1405" s="4">
        <f t="shared" si="85"/>
        <v>0</v>
      </c>
      <c r="K1405" t="str" cm="1">
        <f t="array" ref="K1405">_xlfn.IFS(G1405&lt;=5, "Small", G1405&lt;=15, "Medium", G1405&gt;15, "Large")</f>
        <v>Small</v>
      </c>
      <c r="L1405" t="str">
        <f t="shared" si="86"/>
        <v>Standard</v>
      </c>
      <c r="M1405" t="str">
        <f t="shared" si="87"/>
        <v>Weekday</v>
      </c>
    </row>
    <row r="1406" spans="1:13" x14ac:dyDescent="0.35">
      <c r="A1406" t="s">
        <v>1446</v>
      </c>
      <c r="B1406" s="1">
        <v>45310</v>
      </c>
      <c r="C1406" t="s">
        <v>25</v>
      </c>
      <c r="D1406" t="s">
        <v>26</v>
      </c>
      <c r="E1406" t="s">
        <v>11</v>
      </c>
      <c r="F1406" s="4">
        <v>16943.04</v>
      </c>
      <c r="G1406" s="5">
        <v>6</v>
      </c>
      <c r="H1406" t="s">
        <v>15</v>
      </c>
      <c r="I1406" t="str">
        <f t="shared" si="84"/>
        <v>2024-01</v>
      </c>
      <c r="J1406" s="4">
        <f t="shared" si="85"/>
        <v>2823.84</v>
      </c>
      <c r="K1406" t="str" cm="1">
        <f t="array" ref="K1406">_xlfn.IFS(G1406&lt;=5, "Small", G1406&lt;=15, "Medium", G1406&gt;15, "Large")</f>
        <v>Medium</v>
      </c>
      <c r="L1406" t="str">
        <f t="shared" si="86"/>
        <v>Standard</v>
      </c>
      <c r="M1406" t="str">
        <f t="shared" si="87"/>
        <v>Weekday</v>
      </c>
    </row>
    <row r="1407" spans="1:13" x14ac:dyDescent="0.35">
      <c r="A1407" t="s">
        <v>1134</v>
      </c>
      <c r="B1407" s="1">
        <v>45490</v>
      </c>
      <c r="C1407" t="s">
        <v>30</v>
      </c>
      <c r="D1407" t="s">
        <v>21</v>
      </c>
      <c r="E1407" t="s">
        <v>27</v>
      </c>
      <c r="F1407" s="4">
        <v>41745.42</v>
      </c>
      <c r="G1407" s="5">
        <v>2</v>
      </c>
      <c r="H1407" t="s">
        <v>15</v>
      </c>
      <c r="I1407" t="str">
        <f t="shared" si="84"/>
        <v>2024-07</v>
      </c>
      <c r="J1407" s="4">
        <f t="shared" si="85"/>
        <v>20872.71</v>
      </c>
      <c r="K1407" t="str" cm="1">
        <f t="array" ref="K1407">_xlfn.IFS(G1407&lt;=5, "Small", G1407&lt;=15, "Medium", G1407&gt;15, "Large")</f>
        <v>Small</v>
      </c>
      <c r="L1407" t="str">
        <f t="shared" si="86"/>
        <v>VIP</v>
      </c>
      <c r="M1407" t="str">
        <f t="shared" si="87"/>
        <v>Weekday</v>
      </c>
    </row>
    <row r="1408" spans="1:13" x14ac:dyDescent="0.35">
      <c r="A1408" t="s">
        <v>1447</v>
      </c>
      <c r="B1408" s="1">
        <v>45313</v>
      </c>
      <c r="C1408" t="s">
        <v>60</v>
      </c>
      <c r="D1408" t="s">
        <v>21</v>
      </c>
      <c r="E1408" t="s">
        <v>11</v>
      </c>
      <c r="F1408" s="4">
        <v>16384.990000000002</v>
      </c>
      <c r="G1408" s="5">
        <v>4</v>
      </c>
      <c r="H1408" t="s">
        <v>15</v>
      </c>
      <c r="I1408" t="str">
        <f t="shared" si="84"/>
        <v>2024-01</v>
      </c>
      <c r="J1408" s="4">
        <f t="shared" si="85"/>
        <v>4096.2475000000004</v>
      </c>
      <c r="K1408" t="str" cm="1">
        <f t="array" ref="K1408">_xlfn.IFS(G1408&lt;=5, "Small", G1408&lt;=15, "Medium", G1408&gt;15, "Large")</f>
        <v>Small</v>
      </c>
      <c r="L1408" t="str">
        <f t="shared" si="86"/>
        <v>Standard</v>
      </c>
      <c r="M1408" t="str">
        <f t="shared" si="87"/>
        <v>Weekday</v>
      </c>
    </row>
    <row r="1409" spans="1:13" x14ac:dyDescent="0.35">
      <c r="A1409" t="s">
        <v>1448</v>
      </c>
      <c r="B1409" s="1">
        <v>45600</v>
      </c>
      <c r="C1409" t="s">
        <v>55</v>
      </c>
      <c r="D1409" t="s">
        <v>31</v>
      </c>
      <c r="E1409" t="s">
        <v>18</v>
      </c>
      <c r="F1409" s="4">
        <v>2680.31</v>
      </c>
      <c r="G1409" s="5">
        <v>30</v>
      </c>
      <c r="H1409" t="s">
        <v>15</v>
      </c>
      <c r="I1409" t="str">
        <f t="shared" si="84"/>
        <v>2024-11</v>
      </c>
      <c r="J1409" s="4">
        <f t="shared" si="85"/>
        <v>89.343666666666664</v>
      </c>
      <c r="K1409" t="str" cm="1">
        <f t="array" ref="K1409">_xlfn.IFS(G1409&lt;=5, "Small", G1409&lt;=15, "Medium", G1409&gt;15, "Large")</f>
        <v>Large</v>
      </c>
      <c r="L1409" t="str">
        <f t="shared" si="86"/>
        <v>Standard</v>
      </c>
      <c r="M1409" t="str">
        <f t="shared" si="87"/>
        <v>Weekday</v>
      </c>
    </row>
    <row r="1410" spans="1:13" x14ac:dyDescent="0.35">
      <c r="A1410" t="s">
        <v>1449</v>
      </c>
      <c r="B1410" s="1">
        <v>45010</v>
      </c>
      <c r="C1410" t="s">
        <v>82</v>
      </c>
      <c r="D1410" t="s">
        <v>10</v>
      </c>
      <c r="E1410" t="s">
        <v>11</v>
      </c>
      <c r="F1410" s="4">
        <v>5791.1</v>
      </c>
      <c r="G1410" s="5">
        <v>7</v>
      </c>
      <c r="H1410" t="s">
        <v>15</v>
      </c>
      <c r="I1410" t="str">
        <f t="shared" si="84"/>
        <v>2023-03</v>
      </c>
      <c r="J1410" s="4">
        <f t="shared" si="85"/>
        <v>827.30000000000007</v>
      </c>
      <c r="K1410" t="str" cm="1">
        <f t="array" ref="K1410">_xlfn.IFS(G1410&lt;=5, "Small", G1410&lt;=15, "Medium", G1410&gt;15, "Large")</f>
        <v>Medium</v>
      </c>
      <c r="L1410" t="str">
        <f t="shared" si="86"/>
        <v>Standard</v>
      </c>
      <c r="M1410" t="str">
        <f t="shared" si="87"/>
        <v>Weekend</v>
      </c>
    </row>
    <row r="1411" spans="1:13" x14ac:dyDescent="0.35">
      <c r="A1411" t="s">
        <v>1450</v>
      </c>
      <c r="B1411" s="1">
        <v>45045</v>
      </c>
      <c r="C1411" t="s">
        <v>20</v>
      </c>
      <c r="D1411" t="s">
        <v>21</v>
      </c>
      <c r="E1411" t="s">
        <v>11</v>
      </c>
      <c r="F1411" s="4">
        <v>17187.009999999998</v>
      </c>
      <c r="G1411" s="5">
        <v>1</v>
      </c>
      <c r="H1411" t="s">
        <v>15</v>
      </c>
      <c r="I1411" t="str">
        <f t="shared" ref="I1411:I1474" si="88">TEXT(B1411, "YYYY-MM")</f>
        <v>2023-04</v>
      </c>
      <c r="J1411" s="4">
        <f t="shared" ref="J1411:J1474" si="89">IFERROR(F1411/G1411, 0)</f>
        <v>17187.009999999998</v>
      </c>
      <c r="K1411" t="str" cm="1">
        <f t="array" ref="K1411">_xlfn.IFS(G1411&lt;=5, "Small", G1411&lt;=15, "Medium", G1411&gt;15, "Large")</f>
        <v>Small</v>
      </c>
      <c r="L1411" t="str">
        <f t="shared" ref="L1411:L1474" si="90">IF(F1411&gt;_xlfn.PERCENTILE.INC($F$2:$F$10000, 0.9), "VIP", "Standard")</f>
        <v>Standard</v>
      </c>
      <c r="M1411" t="str">
        <f t="shared" ref="M1411:M1474" si="91">IF(WEEKDAY(B1411, 2)&gt;5, "Weekend", "Weekday")</f>
        <v>Weekend</v>
      </c>
    </row>
    <row r="1412" spans="1:13" x14ac:dyDescent="0.35">
      <c r="A1412" t="s">
        <v>1451</v>
      </c>
      <c r="B1412" s="1">
        <v>45422</v>
      </c>
      <c r="C1412" t="s">
        <v>69</v>
      </c>
      <c r="D1412" t="s">
        <v>26</v>
      </c>
      <c r="E1412" t="s">
        <v>27</v>
      </c>
      <c r="F1412" s="4">
        <v>3578.46</v>
      </c>
      <c r="G1412" s="5">
        <v>3</v>
      </c>
      <c r="H1412" t="s">
        <v>15</v>
      </c>
      <c r="I1412" t="str">
        <f t="shared" si="88"/>
        <v>2024-05</v>
      </c>
      <c r="J1412" s="4">
        <f t="shared" si="89"/>
        <v>1192.82</v>
      </c>
      <c r="K1412" t="str" cm="1">
        <f t="array" ref="K1412">_xlfn.IFS(G1412&lt;=5, "Small", G1412&lt;=15, "Medium", G1412&gt;15, "Large")</f>
        <v>Small</v>
      </c>
      <c r="L1412" t="str">
        <f t="shared" si="90"/>
        <v>Standard</v>
      </c>
      <c r="M1412" t="str">
        <f t="shared" si="91"/>
        <v>Weekday</v>
      </c>
    </row>
    <row r="1413" spans="1:13" x14ac:dyDescent="0.35">
      <c r="A1413" t="s">
        <v>1452</v>
      </c>
      <c r="B1413" s="1">
        <v>45542</v>
      </c>
      <c r="C1413" t="s">
        <v>37</v>
      </c>
      <c r="D1413" t="s">
        <v>21</v>
      </c>
      <c r="E1413" t="s">
        <v>11</v>
      </c>
      <c r="F1413" s="4">
        <v>16409.96</v>
      </c>
      <c r="G1413" s="5">
        <v>7</v>
      </c>
      <c r="H1413" t="s">
        <v>15</v>
      </c>
      <c r="I1413" t="str">
        <f t="shared" si="88"/>
        <v>2024-09</v>
      </c>
      <c r="J1413" s="4">
        <f t="shared" si="89"/>
        <v>2344.2799999999997</v>
      </c>
      <c r="K1413" t="str" cm="1">
        <f t="array" ref="K1413">_xlfn.IFS(G1413&lt;=5, "Small", G1413&lt;=15, "Medium", G1413&gt;15, "Large")</f>
        <v>Medium</v>
      </c>
      <c r="L1413" t="str">
        <f t="shared" si="90"/>
        <v>Standard</v>
      </c>
      <c r="M1413" t="str">
        <f t="shared" si="91"/>
        <v>Weekend</v>
      </c>
    </row>
    <row r="1414" spans="1:13" x14ac:dyDescent="0.35">
      <c r="A1414" t="s">
        <v>1453</v>
      </c>
      <c r="B1414" s="1">
        <v>45294</v>
      </c>
      <c r="C1414" t="s">
        <v>55</v>
      </c>
      <c r="D1414" t="s">
        <v>10</v>
      </c>
      <c r="E1414" t="s">
        <v>27</v>
      </c>
      <c r="F1414" s="4">
        <v>2218.58</v>
      </c>
      <c r="G1414" s="5">
        <v>5</v>
      </c>
      <c r="H1414" t="s">
        <v>15</v>
      </c>
      <c r="I1414" t="str">
        <f t="shared" si="88"/>
        <v>2024-01</v>
      </c>
      <c r="J1414" s="4">
        <f t="shared" si="89"/>
        <v>443.71600000000001</v>
      </c>
      <c r="K1414" t="str" cm="1">
        <f t="array" ref="K1414">_xlfn.IFS(G1414&lt;=5, "Small", G1414&lt;=15, "Medium", G1414&gt;15, "Large")</f>
        <v>Small</v>
      </c>
      <c r="L1414" t="str">
        <f t="shared" si="90"/>
        <v>Standard</v>
      </c>
      <c r="M1414" t="str">
        <f t="shared" si="91"/>
        <v>Weekday</v>
      </c>
    </row>
    <row r="1415" spans="1:13" x14ac:dyDescent="0.35">
      <c r="A1415" t="s">
        <v>1454</v>
      </c>
      <c r="B1415" s="1">
        <v>45648</v>
      </c>
      <c r="C1415" t="s">
        <v>17</v>
      </c>
      <c r="D1415" t="s">
        <v>10</v>
      </c>
      <c r="E1415" t="s">
        <v>11</v>
      </c>
      <c r="F1415" s="4">
        <v>5641.24</v>
      </c>
      <c r="G1415" s="5">
        <v>3</v>
      </c>
      <c r="H1415" t="s">
        <v>15</v>
      </c>
      <c r="I1415" t="str">
        <f t="shared" si="88"/>
        <v>2024-12</v>
      </c>
      <c r="J1415" s="4">
        <f t="shared" si="89"/>
        <v>1880.4133333333332</v>
      </c>
      <c r="K1415" t="str" cm="1">
        <f t="array" ref="K1415">_xlfn.IFS(G1415&lt;=5, "Small", G1415&lt;=15, "Medium", G1415&gt;15, "Large")</f>
        <v>Small</v>
      </c>
      <c r="L1415" t="str">
        <f t="shared" si="90"/>
        <v>Standard</v>
      </c>
      <c r="M1415" t="str">
        <f t="shared" si="91"/>
        <v>Weekend</v>
      </c>
    </row>
    <row r="1416" spans="1:13" x14ac:dyDescent="0.35">
      <c r="A1416" t="s">
        <v>1455</v>
      </c>
      <c r="B1416" s="1">
        <v>45579</v>
      </c>
      <c r="C1416" t="s">
        <v>89</v>
      </c>
      <c r="D1416" t="s">
        <v>21</v>
      </c>
      <c r="E1416" t="s">
        <v>27</v>
      </c>
      <c r="F1416" s="4">
        <v>22893.74</v>
      </c>
      <c r="G1416" s="5">
        <v>4</v>
      </c>
      <c r="H1416" t="s">
        <v>15</v>
      </c>
      <c r="I1416" t="str">
        <f t="shared" si="88"/>
        <v>2024-10</v>
      </c>
      <c r="J1416" s="4">
        <f t="shared" si="89"/>
        <v>5723.4350000000004</v>
      </c>
      <c r="K1416" t="str" cm="1">
        <f t="array" ref="K1416">_xlfn.IFS(G1416&lt;=5, "Small", G1416&lt;=15, "Medium", G1416&gt;15, "Large")</f>
        <v>Small</v>
      </c>
      <c r="L1416" t="str">
        <f t="shared" si="90"/>
        <v>Standard</v>
      </c>
      <c r="M1416" t="str">
        <f t="shared" si="91"/>
        <v>Weekday</v>
      </c>
    </row>
    <row r="1417" spans="1:13" x14ac:dyDescent="0.35">
      <c r="A1417" t="s">
        <v>1456</v>
      </c>
      <c r="B1417" s="1">
        <v>45192</v>
      </c>
      <c r="C1417" t="s">
        <v>42</v>
      </c>
      <c r="D1417" t="s">
        <v>10</v>
      </c>
      <c r="E1417" t="s">
        <v>18</v>
      </c>
      <c r="F1417" s="4">
        <v>1270.79</v>
      </c>
      <c r="G1417" s="5">
        <v>5</v>
      </c>
      <c r="H1417" t="s">
        <v>15</v>
      </c>
      <c r="I1417" t="str">
        <f t="shared" si="88"/>
        <v>2023-09</v>
      </c>
      <c r="J1417" s="4">
        <f t="shared" si="89"/>
        <v>254.15799999999999</v>
      </c>
      <c r="K1417" t="str" cm="1">
        <f t="array" ref="K1417">_xlfn.IFS(G1417&lt;=5, "Small", G1417&lt;=15, "Medium", G1417&gt;15, "Large")</f>
        <v>Small</v>
      </c>
      <c r="L1417" t="str">
        <f t="shared" si="90"/>
        <v>Standard</v>
      </c>
      <c r="M1417" t="str">
        <f t="shared" si="91"/>
        <v>Weekend</v>
      </c>
    </row>
    <row r="1418" spans="1:13" x14ac:dyDescent="0.35">
      <c r="A1418" t="s">
        <v>1457</v>
      </c>
      <c r="B1418" s="1">
        <v>45143</v>
      </c>
      <c r="C1418" t="s">
        <v>126</v>
      </c>
      <c r="D1418" t="s">
        <v>21</v>
      </c>
      <c r="E1418" t="s">
        <v>11</v>
      </c>
      <c r="F1418" s="4">
        <v>6107.77</v>
      </c>
      <c r="G1418" s="5">
        <v>1</v>
      </c>
      <c r="H1418" t="s">
        <v>15</v>
      </c>
      <c r="I1418" t="str">
        <f t="shared" si="88"/>
        <v>2023-08</v>
      </c>
      <c r="J1418" s="4">
        <f t="shared" si="89"/>
        <v>6107.77</v>
      </c>
      <c r="K1418" t="str" cm="1">
        <f t="array" ref="K1418">_xlfn.IFS(G1418&lt;=5, "Small", G1418&lt;=15, "Medium", G1418&gt;15, "Large")</f>
        <v>Small</v>
      </c>
      <c r="L1418" t="str">
        <f t="shared" si="90"/>
        <v>Standard</v>
      </c>
      <c r="M1418" t="str">
        <f t="shared" si="91"/>
        <v>Weekend</v>
      </c>
    </row>
    <row r="1419" spans="1:13" x14ac:dyDescent="0.35">
      <c r="A1419" t="s">
        <v>1458</v>
      </c>
      <c r="B1419" s="1">
        <v>44960</v>
      </c>
      <c r="C1419" t="s">
        <v>74</v>
      </c>
      <c r="D1419" t="s">
        <v>31</v>
      </c>
      <c r="E1419" t="s">
        <v>11</v>
      </c>
      <c r="F1419" s="4">
        <v>16614.04</v>
      </c>
      <c r="G1419" s="5">
        <v>2</v>
      </c>
      <c r="H1419" t="s">
        <v>15</v>
      </c>
      <c r="I1419" t="str">
        <f t="shared" si="88"/>
        <v>2023-02</v>
      </c>
      <c r="J1419" s="4">
        <f t="shared" si="89"/>
        <v>8307.02</v>
      </c>
      <c r="K1419" t="str" cm="1">
        <f t="array" ref="K1419">_xlfn.IFS(G1419&lt;=5, "Small", G1419&lt;=15, "Medium", G1419&gt;15, "Large")</f>
        <v>Small</v>
      </c>
      <c r="L1419" t="str">
        <f t="shared" si="90"/>
        <v>Standard</v>
      </c>
      <c r="M1419" t="str">
        <f t="shared" si="91"/>
        <v>Weekday</v>
      </c>
    </row>
    <row r="1420" spans="1:13" x14ac:dyDescent="0.35">
      <c r="A1420" t="s">
        <v>1459</v>
      </c>
      <c r="B1420" s="1">
        <v>45121</v>
      </c>
      <c r="C1420" t="s">
        <v>9</v>
      </c>
      <c r="D1420" t="s">
        <v>10</v>
      </c>
      <c r="E1420" t="s">
        <v>27</v>
      </c>
      <c r="F1420" s="4">
        <v>0</v>
      </c>
      <c r="G1420" s="5">
        <v>4</v>
      </c>
      <c r="H1420" t="s">
        <v>28</v>
      </c>
      <c r="I1420" t="str">
        <f t="shared" si="88"/>
        <v>2023-07</v>
      </c>
      <c r="J1420" s="4">
        <f t="shared" si="89"/>
        <v>0</v>
      </c>
      <c r="K1420" t="str" cm="1">
        <f t="array" ref="K1420">_xlfn.IFS(G1420&lt;=5, "Small", G1420&lt;=15, "Medium", G1420&gt;15, "Large")</f>
        <v>Small</v>
      </c>
      <c r="L1420" t="str">
        <f t="shared" si="90"/>
        <v>Standard</v>
      </c>
      <c r="M1420" t="str">
        <f t="shared" si="91"/>
        <v>Weekday</v>
      </c>
    </row>
    <row r="1421" spans="1:13" x14ac:dyDescent="0.35">
      <c r="A1421" t="s">
        <v>1460</v>
      </c>
      <c r="B1421" s="1">
        <v>45324</v>
      </c>
      <c r="C1421" t="s">
        <v>9</v>
      </c>
      <c r="D1421" t="s">
        <v>10</v>
      </c>
      <c r="E1421" t="s">
        <v>11</v>
      </c>
      <c r="F1421" s="4">
        <v>17214.22</v>
      </c>
      <c r="G1421" s="5">
        <v>5</v>
      </c>
      <c r="H1421" t="s">
        <v>15</v>
      </c>
      <c r="I1421" t="str">
        <f t="shared" si="88"/>
        <v>2024-02</v>
      </c>
      <c r="J1421" s="4">
        <f t="shared" si="89"/>
        <v>3442.8440000000001</v>
      </c>
      <c r="K1421" t="str" cm="1">
        <f t="array" ref="K1421">_xlfn.IFS(G1421&lt;=5, "Small", G1421&lt;=15, "Medium", G1421&gt;15, "Large")</f>
        <v>Small</v>
      </c>
      <c r="L1421" t="str">
        <f t="shared" si="90"/>
        <v>Standard</v>
      </c>
      <c r="M1421" t="str">
        <f t="shared" si="91"/>
        <v>Weekday</v>
      </c>
    </row>
    <row r="1422" spans="1:13" x14ac:dyDescent="0.35">
      <c r="A1422" t="s">
        <v>1461</v>
      </c>
      <c r="B1422" s="1">
        <v>45366</v>
      </c>
      <c r="C1422" t="s">
        <v>17</v>
      </c>
      <c r="D1422" t="s">
        <v>10</v>
      </c>
      <c r="E1422" t="s">
        <v>11</v>
      </c>
      <c r="F1422" s="4">
        <v>7084.7</v>
      </c>
      <c r="G1422" s="5">
        <v>1</v>
      </c>
      <c r="H1422" t="s">
        <v>15</v>
      </c>
      <c r="I1422" t="str">
        <f t="shared" si="88"/>
        <v>2024-03</v>
      </c>
      <c r="J1422" s="4">
        <f t="shared" si="89"/>
        <v>7084.7</v>
      </c>
      <c r="K1422" t="str" cm="1">
        <f t="array" ref="K1422">_xlfn.IFS(G1422&lt;=5, "Small", G1422&lt;=15, "Medium", G1422&gt;15, "Large")</f>
        <v>Small</v>
      </c>
      <c r="L1422" t="str">
        <f t="shared" si="90"/>
        <v>Standard</v>
      </c>
      <c r="M1422" t="str">
        <f t="shared" si="91"/>
        <v>Weekday</v>
      </c>
    </row>
    <row r="1423" spans="1:13" x14ac:dyDescent="0.35">
      <c r="A1423" t="s">
        <v>1462</v>
      </c>
      <c r="B1423" s="1">
        <v>45169</v>
      </c>
      <c r="C1423" t="s">
        <v>14</v>
      </c>
      <c r="D1423" t="s">
        <v>10</v>
      </c>
      <c r="E1423" t="s">
        <v>18</v>
      </c>
      <c r="F1423" s="4">
        <v>0</v>
      </c>
      <c r="G1423" s="5">
        <v>28</v>
      </c>
      <c r="H1423" t="s">
        <v>28</v>
      </c>
      <c r="I1423" t="str">
        <f t="shared" si="88"/>
        <v>2023-08</v>
      </c>
      <c r="J1423" s="4">
        <f t="shared" si="89"/>
        <v>0</v>
      </c>
      <c r="K1423" t="str" cm="1">
        <f t="array" ref="K1423">_xlfn.IFS(G1423&lt;=5, "Small", G1423&lt;=15, "Medium", G1423&gt;15, "Large")</f>
        <v>Large</v>
      </c>
      <c r="L1423" t="str">
        <f t="shared" si="90"/>
        <v>Standard</v>
      </c>
      <c r="M1423" t="str">
        <f t="shared" si="91"/>
        <v>Weekday</v>
      </c>
    </row>
    <row r="1424" spans="1:13" x14ac:dyDescent="0.35">
      <c r="A1424" t="s">
        <v>1463</v>
      </c>
      <c r="B1424" s="1">
        <v>45000</v>
      </c>
      <c r="C1424" t="s">
        <v>115</v>
      </c>
      <c r="D1424" t="s">
        <v>31</v>
      </c>
      <c r="E1424" t="s">
        <v>27</v>
      </c>
      <c r="F1424" s="4">
        <v>4668.42</v>
      </c>
      <c r="G1424" s="5">
        <v>1</v>
      </c>
      <c r="H1424" t="s">
        <v>15</v>
      </c>
      <c r="I1424" t="str">
        <f t="shared" si="88"/>
        <v>2023-03</v>
      </c>
      <c r="J1424" s="4">
        <f t="shared" si="89"/>
        <v>4668.42</v>
      </c>
      <c r="K1424" t="str" cm="1">
        <f t="array" ref="K1424">_xlfn.IFS(G1424&lt;=5, "Small", G1424&lt;=15, "Medium", G1424&gt;15, "Large")</f>
        <v>Small</v>
      </c>
      <c r="L1424" t="str">
        <f t="shared" si="90"/>
        <v>Standard</v>
      </c>
      <c r="M1424" t="str">
        <f t="shared" si="91"/>
        <v>Weekday</v>
      </c>
    </row>
    <row r="1425" spans="1:13" x14ac:dyDescent="0.35">
      <c r="A1425" t="s">
        <v>1464</v>
      </c>
      <c r="B1425" s="1">
        <v>45515</v>
      </c>
      <c r="C1425" t="s">
        <v>50</v>
      </c>
      <c r="D1425" t="s">
        <v>26</v>
      </c>
      <c r="E1425" t="s">
        <v>18</v>
      </c>
      <c r="F1425" s="4">
        <v>2522.86</v>
      </c>
      <c r="G1425" s="5">
        <v>15</v>
      </c>
      <c r="H1425" t="s">
        <v>15</v>
      </c>
      <c r="I1425" t="str">
        <f t="shared" si="88"/>
        <v>2024-08</v>
      </c>
      <c r="J1425" s="4">
        <f t="shared" si="89"/>
        <v>168.19066666666669</v>
      </c>
      <c r="K1425" t="str" cm="1">
        <f t="array" ref="K1425">_xlfn.IFS(G1425&lt;=5, "Small", G1425&lt;=15, "Medium", G1425&gt;15, "Large")</f>
        <v>Medium</v>
      </c>
      <c r="L1425" t="str">
        <f t="shared" si="90"/>
        <v>Standard</v>
      </c>
      <c r="M1425" t="str">
        <f t="shared" si="91"/>
        <v>Weekend</v>
      </c>
    </row>
    <row r="1426" spans="1:13" x14ac:dyDescent="0.35">
      <c r="A1426" t="s">
        <v>493</v>
      </c>
      <c r="B1426" s="1">
        <v>45429</v>
      </c>
      <c r="C1426" t="s">
        <v>30</v>
      </c>
      <c r="D1426" t="s">
        <v>31</v>
      </c>
      <c r="E1426" t="s">
        <v>18</v>
      </c>
      <c r="F1426" s="4">
        <v>1030.97</v>
      </c>
      <c r="G1426" s="5">
        <v>16</v>
      </c>
      <c r="H1426" t="s">
        <v>15</v>
      </c>
      <c r="I1426" t="str">
        <f t="shared" si="88"/>
        <v>2024-05</v>
      </c>
      <c r="J1426" s="4">
        <f t="shared" si="89"/>
        <v>64.435625000000002</v>
      </c>
      <c r="K1426" t="str" cm="1">
        <f t="array" ref="K1426">_xlfn.IFS(G1426&lt;=5, "Small", G1426&lt;=15, "Medium", G1426&gt;15, "Large")</f>
        <v>Large</v>
      </c>
      <c r="L1426" t="str">
        <f t="shared" si="90"/>
        <v>Standard</v>
      </c>
      <c r="M1426" t="str">
        <f t="shared" si="91"/>
        <v>Weekday</v>
      </c>
    </row>
    <row r="1427" spans="1:13" x14ac:dyDescent="0.35">
      <c r="A1427" t="s">
        <v>781</v>
      </c>
      <c r="B1427" s="1">
        <v>45485</v>
      </c>
      <c r="C1427" t="s">
        <v>33</v>
      </c>
      <c r="D1427" t="s">
        <v>10</v>
      </c>
      <c r="E1427" t="s">
        <v>27</v>
      </c>
      <c r="F1427" s="4">
        <v>2117.04</v>
      </c>
      <c r="G1427" s="5">
        <v>2</v>
      </c>
      <c r="H1427" t="s">
        <v>15</v>
      </c>
      <c r="I1427" t="str">
        <f t="shared" si="88"/>
        <v>2024-07</v>
      </c>
      <c r="J1427" s="4">
        <f t="shared" si="89"/>
        <v>1058.52</v>
      </c>
      <c r="K1427" t="str" cm="1">
        <f t="array" ref="K1427">_xlfn.IFS(G1427&lt;=5, "Small", G1427&lt;=15, "Medium", G1427&gt;15, "Large")</f>
        <v>Small</v>
      </c>
      <c r="L1427" t="str">
        <f t="shared" si="90"/>
        <v>Standard</v>
      </c>
      <c r="M1427" t="str">
        <f t="shared" si="91"/>
        <v>Weekday</v>
      </c>
    </row>
    <row r="1428" spans="1:13" x14ac:dyDescent="0.35">
      <c r="A1428" t="s">
        <v>1465</v>
      </c>
      <c r="B1428" s="1">
        <v>45232</v>
      </c>
      <c r="C1428" t="s">
        <v>23</v>
      </c>
      <c r="D1428" t="s">
        <v>21</v>
      </c>
      <c r="E1428" t="s">
        <v>11</v>
      </c>
      <c r="F1428" s="4">
        <v>9826.5</v>
      </c>
      <c r="G1428" s="5">
        <v>4</v>
      </c>
      <c r="H1428" t="s">
        <v>15</v>
      </c>
      <c r="I1428" t="str">
        <f t="shared" si="88"/>
        <v>2023-11</v>
      </c>
      <c r="J1428" s="4">
        <f t="shared" si="89"/>
        <v>2456.625</v>
      </c>
      <c r="K1428" t="str" cm="1">
        <f t="array" ref="K1428">_xlfn.IFS(G1428&lt;=5, "Small", G1428&lt;=15, "Medium", G1428&gt;15, "Large")</f>
        <v>Small</v>
      </c>
      <c r="L1428" t="str">
        <f t="shared" si="90"/>
        <v>Standard</v>
      </c>
      <c r="M1428" t="str">
        <f t="shared" si="91"/>
        <v>Weekday</v>
      </c>
    </row>
    <row r="1429" spans="1:13" x14ac:dyDescent="0.35">
      <c r="A1429" t="s">
        <v>1466</v>
      </c>
      <c r="B1429" s="1">
        <v>45426</v>
      </c>
      <c r="C1429" t="s">
        <v>62</v>
      </c>
      <c r="D1429" t="s">
        <v>26</v>
      </c>
      <c r="E1429" t="s">
        <v>27</v>
      </c>
      <c r="F1429" s="4">
        <v>1539.3</v>
      </c>
      <c r="G1429" s="5">
        <v>3</v>
      </c>
      <c r="H1429" t="s">
        <v>15</v>
      </c>
      <c r="I1429" t="str">
        <f t="shared" si="88"/>
        <v>2024-05</v>
      </c>
      <c r="J1429" s="4">
        <f t="shared" si="89"/>
        <v>513.1</v>
      </c>
      <c r="K1429" t="str" cm="1">
        <f t="array" ref="K1429">_xlfn.IFS(G1429&lt;=5, "Small", G1429&lt;=15, "Medium", G1429&gt;15, "Large")</f>
        <v>Small</v>
      </c>
      <c r="L1429" t="str">
        <f t="shared" si="90"/>
        <v>Standard</v>
      </c>
      <c r="M1429" t="str">
        <f t="shared" si="91"/>
        <v>Weekday</v>
      </c>
    </row>
    <row r="1430" spans="1:13" x14ac:dyDescent="0.35">
      <c r="A1430" t="s">
        <v>1467</v>
      </c>
      <c r="B1430" s="1">
        <v>45370</v>
      </c>
      <c r="C1430" t="s">
        <v>84</v>
      </c>
      <c r="D1430" t="s">
        <v>26</v>
      </c>
      <c r="E1430" t="s">
        <v>11</v>
      </c>
      <c r="F1430" s="4">
        <v>12819.36</v>
      </c>
      <c r="G1430" s="5">
        <v>7</v>
      </c>
      <c r="H1430" t="s">
        <v>15</v>
      </c>
      <c r="I1430" t="str">
        <f t="shared" si="88"/>
        <v>2024-03</v>
      </c>
      <c r="J1430" s="4">
        <f t="shared" si="89"/>
        <v>1831.3371428571429</v>
      </c>
      <c r="K1430" t="str" cm="1">
        <f t="array" ref="K1430">_xlfn.IFS(G1430&lt;=5, "Small", G1430&lt;=15, "Medium", G1430&gt;15, "Large")</f>
        <v>Medium</v>
      </c>
      <c r="L1430" t="str">
        <f t="shared" si="90"/>
        <v>Standard</v>
      </c>
      <c r="M1430" t="str">
        <f t="shared" si="91"/>
        <v>Weekday</v>
      </c>
    </row>
    <row r="1431" spans="1:13" x14ac:dyDescent="0.35">
      <c r="A1431" t="s">
        <v>1468</v>
      </c>
      <c r="B1431" s="1">
        <v>44971</v>
      </c>
      <c r="C1431" t="s">
        <v>53</v>
      </c>
      <c r="D1431" t="s">
        <v>31</v>
      </c>
      <c r="E1431" t="s">
        <v>27</v>
      </c>
      <c r="F1431" s="4">
        <v>14957.82</v>
      </c>
      <c r="G1431" s="5">
        <v>1</v>
      </c>
      <c r="H1431" t="s">
        <v>15</v>
      </c>
      <c r="I1431" t="str">
        <f t="shared" si="88"/>
        <v>2023-02</v>
      </c>
      <c r="J1431" s="4">
        <f t="shared" si="89"/>
        <v>14957.82</v>
      </c>
      <c r="K1431" t="str" cm="1">
        <f t="array" ref="K1431">_xlfn.IFS(G1431&lt;=5, "Small", G1431&lt;=15, "Medium", G1431&gt;15, "Large")</f>
        <v>Small</v>
      </c>
      <c r="L1431" t="str">
        <f t="shared" si="90"/>
        <v>Standard</v>
      </c>
      <c r="M1431" t="str">
        <f t="shared" si="91"/>
        <v>Weekday</v>
      </c>
    </row>
    <row r="1432" spans="1:13" x14ac:dyDescent="0.35">
      <c r="A1432" t="s">
        <v>1469</v>
      </c>
      <c r="B1432" s="1">
        <v>45484</v>
      </c>
      <c r="C1432" t="s">
        <v>25</v>
      </c>
      <c r="D1432" t="s">
        <v>26</v>
      </c>
      <c r="E1432" t="s">
        <v>18</v>
      </c>
      <c r="F1432" s="4">
        <v>1783.26</v>
      </c>
      <c r="G1432" s="5">
        <v>13</v>
      </c>
      <c r="H1432" t="s">
        <v>15</v>
      </c>
      <c r="I1432" t="str">
        <f t="shared" si="88"/>
        <v>2024-07</v>
      </c>
      <c r="J1432" s="4">
        <f t="shared" si="89"/>
        <v>137.17384615384614</v>
      </c>
      <c r="K1432" t="str" cm="1">
        <f t="array" ref="K1432">_xlfn.IFS(G1432&lt;=5, "Small", G1432&lt;=15, "Medium", G1432&gt;15, "Large")</f>
        <v>Medium</v>
      </c>
      <c r="L1432" t="str">
        <f t="shared" si="90"/>
        <v>Standard</v>
      </c>
      <c r="M1432" t="str">
        <f t="shared" si="91"/>
        <v>Weekday</v>
      </c>
    </row>
    <row r="1433" spans="1:13" x14ac:dyDescent="0.35">
      <c r="A1433" t="s">
        <v>1470</v>
      </c>
      <c r="B1433" s="1">
        <v>45316</v>
      </c>
      <c r="C1433" t="s">
        <v>175</v>
      </c>
      <c r="D1433" t="s">
        <v>21</v>
      </c>
      <c r="E1433" t="s">
        <v>18</v>
      </c>
      <c r="F1433" s="4">
        <v>2023.17</v>
      </c>
      <c r="G1433" s="5">
        <v>18</v>
      </c>
      <c r="H1433" t="s">
        <v>15</v>
      </c>
      <c r="I1433" t="str">
        <f t="shared" si="88"/>
        <v>2024-01</v>
      </c>
      <c r="J1433" s="4">
        <f t="shared" si="89"/>
        <v>112.39833333333334</v>
      </c>
      <c r="K1433" t="str" cm="1">
        <f t="array" ref="K1433">_xlfn.IFS(G1433&lt;=5, "Small", G1433&lt;=15, "Medium", G1433&gt;15, "Large")</f>
        <v>Large</v>
      </c>
      <c r="L1433" t="str">
        <f t="shared" si="90"/>
        <v>Standard</v>
      </c>
      <c r="M1433" t="str">
        <f t="shared" si="91"/>
        <v>Weekday</v>
      </c>
    </row>
    <row r="1434" spans="1:13" x14ac:dyDescent="0.35">
      <c r="A1434" t="s">
        <v>1471</v>
      </c>
      <c r="B1434" s="1">
        <v>45106</v>
      </c>
      <c r="C1434" t="s">
        <v>25</v>
      </c>
      <c r="D1434" t="s">
        <v>26</v>
      </c>
      <c r="E1434" t="s">
        <v>27</v>
      </c>
      <c r="F1434" s="4">
        <v>38395.089999999997</v>
      </c>
      <c r="G1434" s="5">
        <v>5</v>
      </c>
      <c r="H1434" t="s">
        <v>15</v>
      </c>
      <c r="I1434" t="str">
        <f t="shared" si="88"/>
        <v>2023-06</v>
      </c>
      <c r="J1434" s="4">
        <f t="shared" si="89"/>
        <v>7679.0179999999991</v>
      </c>
      <c r="K1434" t="str" cm="1">
        <f t="array" ref="K1434">_xlfn.IFS(G1434&lt;=5, "Small", G1434&lt;=15, "Medium", G1434&gt;15, "Large")</f>
        <v>Small</v>
      </c>
      <c r="L1434" t="str">
        <f t="shared" si="90"/>
        <v>VIP</v>
      </c>
      <c r="M1434" t="str">
        <f t="shared" si="91"/>
        <v>Weekday</v>
      </c>
    </row>
    <row r="1435" spans="1:13" x14ac:dyDescent="0.35">
      <c r="A1435" t="s">
        <v>1472</v>
      </c>
      <c r="B1435" s="1">
        <v>45294</v>
      </c>
      <c r="C1435" t="s">
        <v>45</v>
      </c>
      <c r="D1435" t="s">
        <v>21</v>
      </c>
      <c r="E1435" t="s">
        <v>27</v>
      </c>
      <c r="F1435" s="4">
        <v>37956.230000000003</v>
      </c>
      <c r="G1435" s="5">
        <v>5</v>
      </c>
      <c r="H1435" t="s">
        <v>15</v>
      </c>
      <c r="I1435" t="str">
        <f t="shared" si="88"/>
        <v>2024-01</v>
      </c>
      <c r="J1435" s="4">
        <f t="shared" si="89"/>
        <v>7591.246000000001</v>
      </c>
      <c r="K1435" t="str" cm="1">
        <f t="array" ref="K1435">_xlfn.IFS(G1435&lt;=5, "Small", G1435&lt;=15, "Medium", G1435&gt;15, "Large")</f>
        <v>Small</v>
      </c>
      <c r="L1435" t="str">
        <f t="shared" si="90"/>
        <v>VIP</v>
      </c>
      <c r="M1435" t="str">
        <f t="shared" si="91"/>
        <v>Weekday</v>
      </c>
    </row>
    <row r="1436" spans="1:13" x14ac:dyDescent="0.35">
      <c r="A1436" t="s">
        <v>1473</v>
      </c>
      <c r="B1436" s="1">
        <v>45203</v>
      </c>
      <c r="C1436" t="s">
        <v>177</v>
      </c>
      <c r="D1436" t="s">
        <v>26</v>
      </c>
      <c r="E1436" t="s">
        <v>11</v>
      </c>
      <c r="F1436" s="4">
        <v>3770.32</v>
      </c>
      <c r="G1436" s="5">
        <v>3</v>
      </c>
      <c r="H1436" t="s">
        <v>15</v>
      </c>
      <c r="I1436" t="str">
        <f t="shared" si="88"/>
        <v>2023-10</v>
      </c>
      <c r="J1436" s="4">
        <f t="shared" si="89"/>
        <v>1256.7733333333333</v>
      </c>
      <c r="K1436" t="str" cm="1">
        <f t="array" ref="K1436">_xlfn.IFS(G1436&lt;=5, "Small", G1436&lt;=15, "Medium", G1436&gt;15, "Large")</f>
        <v>Small</v>
      </c>
      <c r="L1436" t="str">
        <f t="shared" si="90"/>
        <v>Standard</v>
      </c>
      <c r="M1436" t="str">
        <f t="shared" si="91"/>
        <v>Weekday</v>
      </c>
    </row>
    <row r="1437" spans="1:13" x14ac:dyDescent="0.35">
      <c r="A1437" t="s">
        <v>1474</v>
      </c>
      <c r="B1437" s="1">
        <v>45074</v>
      </c>
      <c r="C1437" t="s">
        <v>160</v>
      </c>
      <c r="D1437" t="s">
        <v>26</v>
      </c>
      <c r="E1437" t="s">
        <v>18</v>
      </c>
      <c r="F1437" s="4">
        <v>1435.93</v>
      </c>
      <c r="G1437" s="5">
        <v>13</v>
      </c>
      <c r="H1437" t="s">
        <v>15</v>
      </c>
      <c r="I1437" t="str">
        <f t="shared" si="88"/>
        <v>2023-05</v>
      </c>
      <c r="J1437" s="4">
        <f t="shared" si="89"/>
        <v>110.45615384615385</v>
      </c>
      <c r="K1437" t="str" cm="1">
        <f t="array" ref="K1437">_xlfn.IFS(G1437&lt;=5, "Small", G1437&lt;=15, "Medium", G1437&gt;15, "Large")</f>
        <v>Medium</v>
      </c>
      <c r="L1437" t="str">
        <f t="shared" si="90"/>
        <v>Standard</v>
      </c>
      <c r="M1437" t="str">
        <f t="shared" si="91"/>
        <v>Weekend</v>
      </c>
    </row>
    <row r="1438" spans="1:13" x14ac:dyDescent="0.35">
      <c r="A1438" t="s">
        <v>1475</v>
      </c>
      <c r="B1438" s="1">
        <v>45463</v>
      </c>
      <c r="C1438" t="s">
        <v>42</v>
      </c>
      <c r="D1438" t="s">
        <v>10</v>
      </c>
      <c r="E1438" t="s">
        <v>11</v>
      </c>
      <c r="F1438" s="4">
        <v>6899.48</v>
      </c>
      <c r="G1438" s="5">
        <v>5</v>
      </c>
      <c r="H1438" t="s">
        <v>15</v>
      </c>
      <c r="I1438" t="str">
        <f t="shared" si="88"/>
        <v>2024-06</v>
      </c>
      <c r="J1438" s="4">
        <f t="shared" si="89"/>
        <v>1379.896</v>
      </c>
      <c r="K1438" t="str" cm="1">
        <f t="array" ref="K1438">_xlfn.IFS(G1438&lt;=5, "Small", G1438&lt;=15, "Medium", G1438&gt;15, "Large")</f>
        <v>Small</v>
      </c>
      <c r="L1438" t="str">
        <f t="shared" si="90"/>
        <v>Standard</v>
      </c>
      <c r="M1438" t="str">
        <f t="shared" si="91"/>
        <v>Weekday</v>
      </c>
    </row>
    <row r="1439" spans="1:13" x14ac:dyDescent="0.35">
      <c r="A1439" t="s">
        <v>1476</v>
      </c>
      <c r="B1439" s="1">
        <v>45225</v>
      </c>
      <c r="C1439" t="s">
        <v>162</v>
      </c>
      <c r="D1439" t="s">
        <v>26</v>
      </c>
      <c r="E1439" t="s">
        <v>18</v>
      </c>
      <c r="F1439" s="4">
        <v>416.81</v>
      </c>
      <c r="G1439" s="5">
        <v>29</v>
      </c>
      <c r="H1439" t="s">
        <v>15</v>
      </c>
      <c r="I1439" t="str">
        <f t="shared" si="88"/>
        <v>2023-10</v>
      </c>
      <c r="J1439" s="4">
        <f t="shared" si="89"/>
        <v>14.372758620689655</v>
      </c>
      <c r="K1439" t="str" cm="1">
        <f t="array" ref="K1439">_xlfn.IFS(G1439&lt;=5, "Small", G1439&lt;=15, "Medium", G1439&gt;15, "Large")</f>
        <v>Large</v>
      </c>
      <c r="L1439" t="str">
        <f t="shared" si="90"/>
        <v>Standard</v>
      </c>
      <c r="M1439" t="str">
        <f t="shared" si="91"/>
        <v>Weekday</v>
      </c>
    </row>
    <row r="1440" spans="1:13" x14ac:dyDescent="0.35">
      <c r="A1440" t="s">
        <v>1477</v>
      </c>
      <c r="B1440" s="1">
        <v>45228</v>
      </c>
      <c r="C1440" t="s">
        <v>111</v>
      </c>
      <c r="D1440" t="s">
        <v>31</v>
      </c>
      <c r="E1440" t="s">
        <v>27</v>
      </c>
      <c r="F1440" s="4">
        <v>14334.31</v>
      </c>
      <c r="G1440" s="5">
        <v>5</v>
      </c>
      <c r="H1440" t="s">
        <v>15</v>
      </c>
      <c r="I1440" t="str">
        <f t="shared" si="88"/>
        <v>2023-10</v>
      </c>
      <c r="J1440" s="4">
        <f t="shared" si="89"/>
        <v>2866.8620000000001</v>
      </c>
      <c r="K1440" t="str" cm="1">
        <f t="array" ref="K1440">_xlfn.IFS(G1440&lt;=5, "Small", G1440&lt;=15, "Medium", G1440&gt;15, "Large")</f>
        <v>Small</v>
      </c>
      <c r="L1440" t="str">
        <f t="shared" si="90"/>
        <v>Standard</v>
      </c>
      <c r="M1440" t="str">
        <f t="shared" si="91"/>
        <v>Weekend</v>
      </c>
    </row>
    <row r="1441" spans="1:13" x14ac:dyDescent="0.35">
      <c r="A1441" t="s">
        <v>1478</v>
      </c>
      <c r="B1441" s="1">
        <v>45565</v>
      </c>
      <c r="C1441" t="s">
        <v>40</v>
      </c>
      <c r="D1441" t="s">
        <v>26</v>
      </c>
      <c r="E1441" t="s">
        <v>27</v>
      </c>
      <c r="F1441" s="4">
        <v>6037.4</v>
      </c>
      <c r="G1441" s="5">
        <v>2</v>
      </c>
      <c r="H1441" t="s">
        <v>15</v>
      </c>
      <c r="I1441" t="str">
        <f t="shared" si="88"/>
        <v>2024-09</v>
      </c>
      <c r="J1441" s="4">
        <f t="shared" si="89"/>
        <v>3018.7</v>
      </c>
      <c r="K1441" t="str" cm="1">
        <f t="array" ref="K1441">_xlfn.IFS(G1441&lt;=5, "Small", G1441&lt;=15, "Medium", G1441&gt;15, "Large")</f>
        <v>Small</v>
      </c>
      <c r="L1441" t="str">
        <f t="shared" si="90"/>
        <v>Standard</v>
      </c>
      <c r="M1441" t="str">
        <f t="shared" si="91"/>
        <v>Weekday</v>
      </c>
    </row>
    <row r="1442" spans="1:13" x14ac:dyDescent="0.35">
      <c r="A1442" t="s">
        <v>1479</v>
      </c>
      <c r="B1442" s="1">
        <v>45595</v>
      </c>
      <c r="C1442" t="s">
        <v>69</v>
      </c>
      <c r="D1442" t="s">
        <v>21</v>
      </c>
      <c r="E1442" t="s">
        <v>18</v>
      </c>
      <c r="F1442" s="4">
        <v>2044.42</v>
      </c>
      <c r="G1442" s="5">
        <v>20</v>
      </c>
      <c r="H1442" t="s">
        <v>15</v>
      </c>
      <c r="I1442" t="str">
        <f t="shared" si="88"/>
        <v>2024-10</v>
      </c>
      <c r="J1442" s="4">
        <f t="shared" si="89"/>
        <v>102.221</v>
      </c>
      <c r="K1442" t="str" cm="1">
        <f t="array" ref="K1442">_xlfn.IFS(G1442&lt;=5, "Small", G1442&lt;=15, "Medium", G1442&gt;15, "Large")</f>
        <v>Large</v>
      </c>
      <c r="L1442" t="str">
        <f t="shared" si="90"/>
        <v>Standard</v>
      </c>
      <c r="M1442" t="str">
        <f t="shared" si="91"/>
        <v>Weekday</v>
      </c>
    </row>
    <row r="1443" spans="1:13" x14ac:dyDescent="0.35">
      <c r="A1443" t="s">
        <v>1480</v>
      </c>
      <c r="B1443" s="1">
        <v>45632</v>
      </c>
      <c r="C1443" t="s">
        <v>91</v>
      </c>
      <c r="D1443" t="s">
        <v>26</v>
      </c>
      <c r="E1443" t="s">
        <v>27</v>
      </c>
      <c r="F1443" s="4">
        <v>6962.51</v>
      </c>
      <c r="G1443" s="5">
        <v>5</v>
      </c>
      <c r="H1443" t="s">
        <v>15</v>
      </c>
      <c r="I1443" t="str">
        <f t="shared" si="88"/>
        <v>2024-12</v>
      </c>
      <c r="J1443" s="4">
        <f t="shared" si="89"/>
        <v>1392.502</v>
      </c>
      <c r="K1443" t="str" cm="1">
        <f t="array" ref="K1443">_xlfn.IFS(G1443&lt;=5, "Small", G1443&lt;=15, "Medium", G1443&gt;15, "Large")</f>
        <v>Small</v>
      </c>
      <c r="L1443" t="str">
        <f t="shared" si="90"/>
        <v>Standard</v>
      </c>
      <c r="M1443" t="str">
        <f t="shared" si="91"/>
        <v>Weekday</v>
      </c>
    </row>
    <row r="1444" spans="1:13" x14ac:dyDescent="0.35">
      <c r="A1444" t="s">
        <v>1481</v>
      </c>
      <c r="B1444" s="1">
        <v>45054</v>
      </c>
      <c r="C1444" t="s">
        <v>64</v>
      </c>
      <c r="D1444" t="s">
        <v>10</v>
      </c>
      <c r="E1444" t="s">
        <v>18</v>
      </c>
      <c r="F1444" s="4">
        <v>1438.65</v>
      </c>
      <c r="G1444" s="5">
        <v>9</v>
      </c>
      <c r="H1444" t="s">
        <v>15</v>
      </c>
      <c r="I1444" t="str">
        <f t="shared" si="88"/>
        <v>2023-05</v>
      </c>
      <c r="J1444" s="4">
        <f t="shared" si="89"/>
        <v>159.85000000000002</v>
      </c>
      <c r="K1444" t="str" cm="1">
        <f t="array" ref="K1444">_xlfn.IFS(G1444&lt;=5, "Small", G1444&lt;=15, "Medium", G1444&gt;15, "Large")</f>
        <v>Medium</v>
      </c>
      <c r="L1444" t="str">
        <f t="shared" si="90"/>
        <v>Standard</v>
      </c>
      <c r="M1444" t="str">
        <f t="shared" si="91"/>
        <v>Weekday</v>
      </c>
    </row>
    <row r="1445" spans="1:13" x14ac:dyDescent="0.35">
      <c r="A1445" t="s">
        <v>1482</v>
      </c>
      <c r="B1445" s="1">
        <v>44970</v>
      </c>
      <c r="C1445" t="s">
        <v>17</v>
      </c>
      <c r="D1445" t="s">
        <v>10</v>
      </c>
      <c r="E1445" t="s">
        <v>18</v>
      </c>
      <c r="F1445" s="4">
        <v>0</v>
      </c>
      <c r="G1445" s="5">
        <v>15</v>
      </c>
      <c r="H1445" t="s">
        <v>28</v>
      </c>
      <c r="I1445" t="str">
        <f t="shared" si="88"/>
        <v>2023-02</v>
      </c>
      <c r="J1445" s="4">
        <f t="shared" si="89"/>
        <v>0</v>
      </c>
      <c r="K1445" t="str" cm="1">
        <f t="array" ref="K1445">_xlfn.IFS(G1445&lt;=5, "Small", G1445&lt;=15, "Medium", G1445&gt;15, "Large")</f>
        <v>Medium</v>
      </c>
      <c r="L1445" t="str">
        <f t="shared" si="90"/>
        <v>Standard</v>
      </c>
      <c r="M1445" t="str">
        <f t="shared" si="91"/>
        <v>Weekday</v>
      </c>
    </row>
    <row r="1446" spans="1:13" x14ac:dyDescent="0.35">
      <c r="A1446" t="s">
        <v>1483</v>
      </c>
      <c r="B1446" s="1">
        <v>45008</v>
      </c>
      <c r="C1446" t="s">
        <v>35</v>
      </c>
      <c r="D1446" t="s">
        <v>31</v>
      </c>
      <c r="E1446" t="s">
        <v>27</v>
      </c>
      <c r="F1446" s="4">
        <v>39791.82</v>
      </c>
      <c r="G1446" s="5">
        <v>3</v>
      </c>
      <c r="H1446" t="s">
        <v>15</v>
      </c>
      <c r="I1446" t="str">
        <f t="shared" si="88"/>
        <v>2023-03</v>
      </c>
      <c r="J1446" s="4">
        <f t="shared" si="89"/>
        <v>13263.94</v>
      </c>
      <c r="K1446" t="str" cm="1">
        <f t="array" ref="K1446">_xlfn.IFS(G1446&lt;=5, "Small", G1446&lt;=15, "Medium", G1446&gt;15, "Large")</f>
        <v>Small</v>
      </c>
      <c r="L1446" t="str">
        <f t="shared" si="90"/>
        <v>VIP</v>
      </c>
      <c r="M1446" t="str">
        <f t="shared" si="91"/>
        <v>Weekday</v>
      </c>
    </row>
    <row r="1447" spans="1:13" x14ac:dyDescent="0.35">
      <c r="A1447" t="s">
        <v>1484</v>
      </c>
      <c r="B1447" s="1">
        <v>45528</v>
      </c>
      <c r="C1447" t="s">
        <v>37</v>
      </c>
      <c r="D1447" t="s">
        <v>21</v>
      </c>
      <c r="E1447" t="s">
        <v>11</v>
      </c>
      <c r="F1447" s="4">
        <v>17516.330000000002</v>
      </c>
      <c r="G1447" s="5">
        <v>4</v>
      </c>
      <c r="H1447" t="s">
        <v>15</v>
      </c>
      <c r="I1447" t="str">
        <f t="shared" si="88"/>
        <v>2024-08</v>
      </c>
      <c r="J1447" s="4">
        <f t="shared" si="89"/>
        <v>4379.0825000000004</v>
      </c>
      <c r="K1447" t="str" cm="1">
        <f t="array" ref="K1447">_xlfn.IFS(G1447&lt;=5, "Small", G1447&lt;=15, "Medium", G1447&gt;15, "Large")</f>
        <v>Small</v>
      </c>
      <c r="L1447" t="str">
        <f t="shared" si="90"/>
        <v>Standard</v>
      </c>
      <c r="M1447" t="str">
        <f t="shared" si="91"/>
        <v>Weekend</v>
      </c>
    </row>
    <row r="1448" spans="1:13" x14ac:dyDescent="0.35">
      <c r="A1448" t="s">
        <v>1485</v>
      </c>
      <c r="B1448" s="1">
        <v>45620</v>
      </c>
      <c r="C1448" t="s">
        <v>115</v>
      </c>
      <c r="D1448" t="s">
        <v>21</v>
      </c>
      <c r="E1448" t="s">
        <v>18</v>
      </c>
      <c r="F1448" s="4">
        <v>2292.5700000000002</v>
      </c>
      <c r="G1448" s="5">
        <v>15</v>
      </c>
      <c r="H1448" t="s">
        <v>15</v>
      </c>
      <c r="I1448" t="str">
        <f t="shared" si="88"/>
        <v>2024-11</v>
      </c>
      <c r="J1448" s="4">
        <f t="shared" si="89"/>
        <v>152.83800000000002</v>
      </c>
      <c r="K1448" t="str" cm="1">
        <f t="array" ref="K1448">_xlfn.IFS(G1448&lt;=5, "Small", G1448&lt;=15, "Medium", G1448&gt;15, "Large")</f>
        <v>Medium</v>
      </c>
      <c r="L1448" t="str">
        <f t="shared" si="90"/>
        <v>Standard</v>
      </c>
      <c r="M1448" t="str">
        <f t="shared" si="91"/>
        <v>Weekend</v>
      </c>
    </row>
    <row r="1449" spans="1:13" x14ac:dyDescent="0.35">
      <c r="A1449" t="s">
        <v>1486</v>
      </c>
      <c r="B1449" s="1">
        <v>45450</v>
      </c>
      <c r="C1449" t="s">
        <v>84</v>
      </c>
      <c r="D1449" t="s">
        <v>10</v>
      </c>
      <c r="E1449" t="s">
        <v>11</v>
      </c>
      <c r="F1449" s="4">
        <v>3084.39</v>
      </c>
      <c r="G1449" s="5">
        <v>2</v>
      </c>
      <c r="H1449" t="s">
        <v>15</v>
      </c>
      <c r="I1449" t="str">
        <f t="shared" si="88"/>
        <v>2024-06</v>
      </c>
      <c r="J1449" s="4">
        <f t="shared" si="89"/>
        <v>1542.1949999999999</v>
      </c>
      <c r="K1449" t="str" cm="1">
        <f t="array" ref="K1449">_xlfn.IFS(G1449&lt;=5, "Small", G1449&lt;=15, "Medium", G1449&gt;15, "Large")</f>
        <v>Small</v>
      </c>
      <c r="L1449" t="str">
        <f t="shared" si="90"/>
        <v>Standard</v>
      </c>
      <c r="M1449" t="str">
        <f t="shared" si="91"/>
        <v>Weekday</v>
      </c>
    </row>
    <row r="1450" spans="1:13" x14ac:dyDescent="0.35">
      <c r="A1450" t="s">
        <v>1487</v>
      </c>
      <c r="B1450" s="1">
        <v>45235</v>
      </c>
      <c r="C1450" t="s">
        <v>160</v>
      </c>
      <c r="D1450" t="s">
        <v>26</v>
      </c>
      <c r="E1450" t="s">
        <v>27</v>
      </c>
      <c r="F1450" s="4">
        <v>5300.78</v>
      </c>
      <c r="G1450" s="5">
        <v>1</v>
      </c>
      <c r="H1450" t="s">
        <v>15</v>
      </c>
      <c r="I1450" t="str">
        <f t="shared" si="88"/>
        <v>2023-11</v>
      </c>
      <c r="J1450" s="4">
        <f t="shared" si="89"/>
        <v>5300.78</v>
      </c>
      <c r="K1450" t="str" cm="1">
        <f t="array" ref="K1450">_xlfn.IFS(G1450&lt;=5, "Small", G1450&lt;=15, "Medium", G1450&gt;15, "Large")</f>
        <v>Small</v>
      </c>
      <c r="L1450" t="str">
        <f t="shared" si="90"/>
        <v>Standard</v>
      </c>
      <c r="M1450" t="str">
        <f t="shared" si="91"/>
        <v>Weekend</v>
      </c>
    </row>
    <row r="1451" spans="1:13" x14ac:dyDescent="0.35">
      <c r="A1451" t="s">
        <v>1488</v>
      </c>
      <c r="B1451" s="1">
        <v>45575</v>
      </c>
      <c r="C1451" t="s">
        <v>25</v>
      </c>
      <c r="D1451" t="s">
        <v>26</v>
      </c>
      <c r="E1451" t="s">
        <v>18</v>
      </c>
      <c r="F1451" s="4">
        <v>1198.1600000000001</v>
      </c>
      <c r="G1451" s="5">
        <v>8</v>
      </c>
      <c r="H1451" t="s">
        <v>15</v>
      </c>
      <c r="I1451" t="str">
        <f t="shared" si="88"/>
        <v>2024-10</v>
      </c>
      <c r="J1451" s="4">
        <f t="shared" si="89"/>
        <v>149.77000000000001</v>
      </c>
      <c r="K1451" t="str" cm="1">
        <f t="array" ref="K1451">_xlfn.IFS(G1451&lt;=5, "Small", G1451&lt;=15, "Medium", G1451&gt;15, "Large")</f>
        <v>Medium</v>
      </c>
      <c r="L1451" t="str">
        <f t="shared" si="90"/>
        <v>Standard</v>
      </c>
      <c r="M1451" t="str">
        <f t="shared" si="91"/>
        <v>Weekday</v>
      </c>
    </row>
    <row r="1452" spans="1:13" x14ac:dyDescent="0.35">
      <c r="A1452" t="s">
        <v>1489</v>
      </c>
      <c r="B1452" s="1">
        <v>45388</v>
      </c>
      <c r="C1452" t="s">
        <v>64</v>
      </c>
      <c r="D1452" t="s">
        <v>10</v>
      </c>
      <c r="E1452" t="s">
        <v>18</v>
      </c>
      <c r="F1452" s="4">
        <v>514.49</v>
      </c>
      <c r="G1452" s="5">
        <v>16</v>
      </c>
      <c r="H1452" t="s">
        <v>15</v>
      </c>
      <c r="I1452" t="str">
        <f t="shared" si="88"/>
        <v>2024-04</v>
      </c>
      <c r="J1452" s="4">
        <f t="shared" si="89"/>
        <v>32.155625000000001</v>
      </c>
      <c r="K1452" t="str" cm="1">
        <f t="array" ref="K1452">_xlfn.IFS(G1452&lt;=5, "Small", G1452&lt;=15, "Medium", G1452&gt;15, "Large")</f>
        <v>Large</v>
      </c>
      <c r="L1452" t="str">
        <f t="shared" si="90"/>
        <v>Standard</v>
      </c>
      <c r="M1452" t="str">
        <f t="shared" si="91"/>
        <v>Weekend</v>
      </c>
    </row>
    <row r="1453" spans="1:13" x14ac:dyDescent="0.35">
      <c r="A1453" t="s">
        <v>1490</v>
      </c>
      <c r="B1453" s="1">
        <v>45602</v>
      </c>
      <c r="C1453" t="s">
        <v>45</v>
      </c>
      <c r="D1453" t="s">
        <v>21</v>
      </c>
      <c r="E1453" t="s">
        <v>11</v>
      </c>
      <c r="F1453" s="4">
        <v>2404.92</v>
      </c>
      <c r="G1453" s="5">
        <v>5</v>
      </c>
      <c r="H1453" t="s">
        <v>15</v>
      </c>
      <c r="I1453" t="str">
        <f t="shared" si="88"/>
        <v>2024-11</v>
      </c>
      <c r="J1453" s="4">
        <f t="shared" si="89"/>
        <v>480.98400000000004</v>
      </c>
      <c r="K1453" t="str" cm="1">
        <f t="array" ref="K1453">_xlfn.IFS(G1453&lt;=5, "Small", G1453&lt;=15, "Medium", G1453&gt;15, "Large")</f>
        <v>Small</v>
      </c>
      <c r="L1453" t="str">
        <f t="shared" si="90"/>
        <v>Standard</v>
      </c>
      <c r="M1453" t="str">
        <f t="shared" si="91"/>
        <v>Weekday</v>
      </c>
    </row>
    <row r="1454" spans="1:13" x14ac:dyDescent="0.35">
      <c r="A1454" t="s">
        <v>1491</v>
      </c>
      <c r="B1454" s="1">
        <v>45597</v>
      </c>
      <c r="C1454" t="s">
        <v>89</v>
      </c>
      <c r="D1454" t="s">
        <v>31</v>
      </c>
      <c r="E1454" t="s">
        <v>18</v>
      </c>
      <c r="F1454" s="4">
        <v>2989.69</v>
      </c>
      <c r="G1454" s="5">
        <v>22</v>
      </c>
      <c r="H1454" t="s">
        <v>15</v>
      </c>
      <c r="I1454" t="str">
        <f t="shared" si="88"/>
        <v>2024-11</v>
      </c>
      <c r="J1454" s="4">
        <f t="shared" si="89"/>
        <v>135.89500000000001</v>
      </c>
      <c r="K1454" t="str" cm="1">
        <f t="array" ref="K1454">_xlfn.IFS(G1454&lt;=5, "Small", G1454&lt;=15, "Medium", G1454&gt;15, "Large")</f>
        <v>Large</v>
      </c>
      <c r="L1454" t="str">
        <f t="shared" si="90"/>
        <v>Standard</v>
      </c>
      <c r="M1454" t="str">
        <f t="shared" si="91"/>
        <v>Weekday</v>
      </c>
    </row>
    <row r="1455" spans="1:13" x14ac:dyDescent="0.35">
      <c r="A1455" t="s">
        <v>1492</v>
      </c>
      <c r="B1455" s="1">
        <v>45181</v>
      </c>
      <c r="C1455" t="s">
        <v>23</v>
      </c>
      <c r="D1455" t="s">
        <v>21</v>
      </c>
      <c r="E1455" t="s">
        <v>11</v>
      </c>
      <c r="F1455" s="4">
        <v>4674.7700000000004</v>
      </c>
      <c r="G1455" s="5">
        <v>1</v>
      </c>
      <c r="H1455" t="s">
        <v>15</v>
      </c>
      <c r="I1455" t="str">
        <f t="shared" si="88"/>
        <v>2023-09</v>
      </c>
      <c r="J1455" s="4">
        <f t="shared" si="89"/>
        <v>4674.7700000000004</v>
      </c>
      <c r="K1455" t="str" cm="1">
        <f t="array" ref="K1455">_xlfn.IFS(G1455&lt;=5, "Small", G1455&lt;=15, "Medium", G1455&gt;15, "Large")</f>
        <v>Small</v>
      </c>
      <c r="L1455" t="str">
        <f t="shared" si="90"/>
        <v>Standard</v>
      </c>
      <c r="M1455" t="str">
        <f t="shared" si="91"/>
        <v>Weekday</v>
      </c>
    </row>
    <row r="1456" spans="1:13" x14ac:dyDescent="0.35">
      <c r="A1456" t="s">
        <v>1493</v>
      </c>
      <c r="B1456" s="1">
        <v>45173</v>
      </c>
      <c r="C1456" t="s">
        <v>58</v>
      </c>
      <c r="D1456" t="s">
        <v>31</v>
      </c>
      <c r="E1456" t="s">
        <v>11</v>
      </c>
      <c r="F1456" s="4">
        <v>8232.69</v>
      </c>
      <c r="G1456" s="5">
        <v>1</v>
      </c>
      <c r="H1456" t="s">
        <v>15</v>
      </c>
      <c r="I1456" t="str">
        <f t="shared" si="88"/>
        <v>2023-09</v>
      </c>
      <c r="J1456" s="4">
        <f t="shared" si="89"/>
        <v>8232.69</v>
      </c>
      <c r="K1456" t="str" cm="1">
        <f t="array" ref="K1456">_xlfn.IFS(G1456&lt;=5, "Small", G1456&lt;=15, "Medium", G1456&gt;15, "Large")</f>
        <v>Small</v>
      </c>
      <c r="L1456" t="str">
        <f t="shared" si="90"/>
        <v>Standard</v>
      </c>
      <c r="M1456" t="str">
        <f t="shared" si="91"/>
        <v>Weekday</v>
      </c>
    </row>
    <row r="1457" spans="1:13" x14ac:dyDescent="0.35">
      <c r="A1457" t="s">
        <v>1494</v>
      </c>
      <c r="B1457" s="1">
        <v>45338</v>
      </c>
      <c r="C1457" t="s">
        <v>40</v>
      </c>
      <c r="D1457" t="s">
        <v>26</v>
      </c>
      <c r="E1457" t="s">
        <v>11</v>
      </c>
      <c r="F1457" s="4">
        <v>12909.5</v>
      </c>
      <c r="G1457" s="5">
        <v>8</v>
      </c>
      <c r="H1457" t="s">
        <v>15</v>
      </c>
      <c r="I1457" t="str">
        <f t="shared" si="88"/>
        <v>2024-02</v>
      </c>
      <c r="J1457" s="4">
        <f t="shared" si="89"/>
        <v>1613.6875</v>
      </c>
      <c r="K1457" t="str" cm="1">
        <f t="array" ref="K1457">_xlfn.IFS(G1457&lt;=5, "Small", G1457&lt;=15, "Medium", G1457&gt;15, "Large")</f>
        <v>Medium</v>
      </c>
      <c r="L1457" t="str">
        <f t="shared" si="90"/>
        <v>Standard</v>
      </c>
      <c r="M1457" t="str">
        <f t="shared" si="91"/>
        <v>Weekday</v>
      </c>
    </row>
    <row r="1458" spans="1:13" x14ac:dyDescent="0.35">
      <c r="A1458" t="s">
        <v>1495</v>
      </c>
      <c r="B1458" s="1">
        <v>45589</v>
      </c>
      <c r="C1458" t="s">
        <v>160</v>
      </c>
      <c r="D1458" t="s">
        <v>26</v>
      </c>
      <c r="E1458" t="s">
        <v>11</v>
      </c>
      <c r="F1458" s="4">
        <v>17393.189999999999</v>
      </c>
      <c r="G1458" s="5">
        <v>7</v>
      </c>
      <c r="H1458" t="s">
        <v>15</v>
      </c>
      <c r="I1458" t="str">
        <f t="shared" si="88"/>
        <v>2024-10</v>
      </c>
      <c r="J1458" s="4">
        <f t="shared" si="89"/>
        <v>2484.7414285714285</v>
      </c>
      <c r="K1458" t="str" cm="1">
        <f t="array" ref="K1458">_xlfn.IFS(G1458&lt;=5, "Small", G1458&lt;=15, "Medium", G1458&gt;15, "Large")</f>
        <v>Medium</v>
      </c>
      <c r="L1458" t="str">
        <f t="shared" si="90"/>
        <v>Standard</v>
      </c>
      <c r="M1458" t="str">
        <f t="shared" si="91"/>
        <v>Weekday</v>
      </c>
    </row>
    <row r="1459" spans="1:13" x14ac:dyDescent="0.35">
      <c r="A1459" t="s">
        <v>1496</v>
      </c>
      <c r="B1459" s="1">
        <v>45050</v>
      </c>
      <c r="C1459" t="s">
        <v>72</v>
      </c>
      <c r="D1459" t="s">
        <v>26</v>
      </c>
      <c r="E1459" t="s">
        <v>18</v>
      </c>
      <c r="F1459" s="4">
        <v>2071.8000000000002</v>
      </c>
      <c r="G1459" s="5">
        <v>16</v>
      </c>
      <c r="H1459" t="s">
        <v>15</v>
      </c>
      <c r="I1459" t="str">
        <f t="shared" si="88"/>
        <v>2023-05</v>
      </c>
      <c r="J1459" s="4">
        <f t="shared" si="89"/>
        <v>129.48750000000001</v>
      </c>
      <c r="K1459" t="str" cm="1">
        <f t="array" ref="K1459">_xlfn.IFS(G1459&lt;=5, "Small", G1459&lt;=15, "Medium", G1459&gt;15, "Large")</f>
        <v>Large</v>
      </c>
      <c r="L1459" t="str">
        <f t="shared" si="90"/>
        <v>Standard</v>
      </c>
      <c r="M1459" t="str">
        <f t="shared" si="91"/>
        <v>Weekday</v>
      </c>
    </row>
    <row r="1460" spans="1:13" x14ac:dyDescent="0.35">
      <c r="A1460" t="s">
        <v>1497</v>
      </c>
      <c r="B1460" s="1">
        <v>45343</v>
      </c>
      <c r="C1460" t="s">
        <v>25</v>
      </c>
      <c r="D1460" t="s">
        <v>26</v>
      </c>
      <c r="E1460" t="s">
        <v>11</v>
      </c>
      <c r="F1460" s="4">
        <v>16273.24</v>
      </c>
      <c r="G1460" s="5">
        <v>3</v>
      </c>
      <c r="H1460" t="s">
        <v>15</v>
      </c>
      <c r="I1460" t="str">
        <f t="shared" si="88"/>
        <v>2024-02</v>
      </c>
      <c r="J1460" s="4">
        <f t="shared" si="89"/>
        <v>5424.413333333333</v>
      </c>
      <c r="K1460" t="str" cm="1">
        <f t="array" ref="K1460">_xlfn.IFS(G1460&lt;=5, "Small", G1460&lt;=15, "Medium", G1460&gt;15, "Large")</f>
        <v>Small</v>
      </c>
      <c r="L1460" t="str">
        <f t="shared" si="90"/>
        <v>Standard</v>
      </c>
      <c r="M1460" t="str">
        <f t="shared" si="91"/>
        <v>Weekday</v>
      </c>
    </row>
    <row r="1461" spans="1:13" x14ac:dyDescent="0.35">
      <c r="A1461" t="s">
        <v>1498</v>
      </c>
      <c r="B1461" s="1">
        <v>45570</v>
      </c>
      <c r="C1461" t="s">
        <v>162</v>
      </c>
      <c r="D1461" t="s">
        <v>26</v>
      </c>
      <c r="E1461" t="s">
        <v>27</v>
      </c>
      <c r="F1461" s="4">
        <v>2962.21</v>
      </c>
      <c r="G1461" s="5">
        <v>2</v>
      </c>
      <c r="H1461" t="s">
        <v>15</v>
      </c>
      <c r="I1461" t="str">
        <f t="shared" si="88"/>
        <v>2024-10</v>
      </c>
      <c r="J1461" s="4">
        <f t="shared" si="89"/>
        <v>1481.105</v>
      </c>
      <c r="K1461" t="str" cm="1">
        <f t="array" ref="K1461">_xlfn.IFS(G1461&lt;=5, "Small", G1461&lt;=15, "Medium", G1461&gt;15, "Large")</f>
        <v>Small</v>
      </c>
      <c r="L1461" t="str">
        <f t="shared" si="90"/>
        <v>Standard</v>
      </c>
      <c r="M1461" t="str">
        <f t="shared" si="91"/>
        <v>Weekend</v>
      </c>
    </row>
    <row r="1462" spans="1:13" x14ac:dyDescent="0.35">
      <c r="A1462" t="s">
        <v>1499</v>
      </c>
      <c r="B1462" s="1">
        <v>45026</v>
      </c>
      <c r="C1462" t="s">
        <v>17</v>
      </c>
      <c r="D1462" t="s">
        <v>10</v>
      </c>
      <c r="E1462" t="s">
        <v>11</v>
      </c>
      <c r="F1462" s="4">
        <v>0</v>
      </c>
      <c r="G1462" s="5">
        <v>6</v>
      </c>
      <c r="H1462" t="s">
        <v>12</v>
      </c>
      <c r="I1462" t="str">
        <f t="shared" si="88"/>
        <v>2023-04</v>
      </c>
      <c r="J1462" s="4">
        <f t="shared" si="89"/>
        <v>0</v>
      </c>
      <c r="K1462" t="str" cm="1">
        <f t="array" ref="K1462">_xlfn.IFS(G1462&lt;=5, "Small", G1462&lt;=15, "Medium", G1462&gt;15, "Large")</f>
        <v>Medium</v>
      </c>
      <c r="L1462" t="str">
        <f t="shared" si="90"/>
        <v>Standard</v>
      </c>
      <c r="M1462" t="str">
        <f t="shared" si="91"/>
        <v>Weekday</v>
      </c>
    </row>
    <row r="1463" spans="1:13" x14ac:dyDescent="0.35">
      <c r="A1463" t="s">
        <v>1500</v>
      </c>
      <c r="B1463" s="1">
        <v>44939</v>
      </c>
      <c r="C1463" t="s">
        <v>53</v>
      </c>
      <c r="D1463" t="s">
        <v>31</v>
      </c>
      <c r="E1463" t="s">
        <v>27</v>
      </c>
      <c r="F1463" s="4">
        <v>32838.1</v>
      </c>
      <c r="G1463" s="5">
        <v>5</v>
      </c>
      <c r="H1463" t="s">
        <v>15</v>
      </c>
      <c r="I1463" t="str">
        <f t="shared" si="88"/>
        <v>2023-01</v>
      </c>
      <c r="J1463" s="4">
        <f t="shared" si="89"/>
        <v>6567.62</v>
      </c>
      <c r="K1463" t="str" cm="1">
        <f t="array" ref="K1463">_xlfn.IFS(G1463&lt;=5, "Small", G1463&lt;=15, "Medium", G1463&gt;15, "Large")</f>
        <v>Small</v>
      </c>
      <c r="L1463" t="str">
        <f t="shared" si="90"/>
        <v>VIP</v>
      </c>
      <c r="M1463" t="str">
        <f t="shared" si="91"/>
        <v>Weekday</v>
      </c>
    </row>
    <row r="1464" spans="1:13" x14ac:dyDescent="0.35">
      <c r="A1464" t="s">
        <v>1501</v>
      </c>
      <c r="B1464" s="1">
        <v>44958</v>
      </c>
      <c r="C1464" t="s">
        <v>177</v>
      </c>
      <c r="D1464" t="s">
        <v>26</v>
      </c>
      <c r="E1464" t="s">
        <v>18</v>
      </c>
      <c r="F1464" s="4">
        <v>1589.06</v>
      </c>
      <c r="G1464" s="5">
        <v>28</v>
      </c>
      <c r="H1464" t="s">
        <v>15</v>
      </c>
      <c r="I1464" t="str">
        <f t="shared" si="88"/>
        <v>2023-02</v>
      </c>
      <c r="J1464" s="4">
        <f t="shared" si="89"/>
        <v>56.752142857142857</v>
      </c>
      <c r="K1464" t="str" cm="1">
        <f t="array" ref="K1464">_xlfn.IFS(G1464&lt;=5, "Small", G1464&lt;=15, "Medium", G1464&gt;15, "Large")</f>
        <v>Large</v>
      </c>
      <c r="L1464" t="str">
        <f t="shared" si="90"/>
        <v>Standard</v>
      </c>
      <c r="M1464" t="str">
        <f t="shared" si="91"/>
        <v>Weekday</v>
      </c>
    </row>
    <row r="1465" spans="1:13" x14ac:dyDescent="0.35">
      <c r="A1465" t="s">
        <v>1502</v>
      </c>
      <c r="B1465" s="1">
        <v>45210</v>
      </c>
      <c r="C1465" t="s">
        <v>42</v>
      </c>
      <c r="D1465" t="s">
        <v>10</v>
      </c>
      <c r="E1465" t="s">
        <v>27</v>
      </c>
      <c r="F1465" s="4">
        <v>0</v>
      </c>
      <c r="G1465" s="5">
        <v>1</v>
      </c>
      <c r="H1465" t="s">
        <v>28</v>
      </c>
      <c r="I1465" t="str">
        <f t="shared" si="88"/>
        <v>2023-10</v>
      </c>
      <c r="J1465" s="4">
        <f t="shared" si="89"/>
        <v>0</v>
      </c>
      <c r="K1465" t="str" cm="1">
        <f t="array" ref="K1465">_xlfn.IFS(G1465&lt;=5, "Small", G1465&lt;=15, "Medium", G1465&gt;15, "Large")</f>
        <v>Small</v>
      </c>
      <c r="L1465" t="str">
        <f t="shared" si="90"/>
        <v>Standard</v>
      </c>
      <c r="M1465" t="str">
        <f t="shared" si="91"/>
        <v>Weekday</v>
      </c>
    </row>
    <row r="1466" spans="1:13" x14ac:dyDescent="0.35">
      <c r="A1466" t="s">
        <v>1503</v>
      </c>
      <c r="B1466" s="1">
        <v>45512</v>
      </c>
      <c r="C1466" t="s">
        <v>72</v>
      </c>
      <c r="D1466" t="s">
        <v>26</v>
      </c>
      <c r="E1466" t="s">
        <v>11</v>
      </c>
      <c r="F1466" s="4">
        <v>0</v>
      </c>
      <c r="G1466" s="5">
        <v>7</v>
      </c>
      <c r="H1466" t="s">
        <v>12</v>
      </c>
      <c r="I1466" t="str">
        <f t="shared" si="88"/>
        <v>2024-08</v>
      </c>
      <c r="J1466" s="4">
        <f t="shared" si="89"/>
        <v>0</v>
      </c>
      <c r="K1466" t="str" cm="1">
        <f t="array" ref="K1466">_xlfn.IFS(G1466&lt;=5, "Small", G1466&lt;=15, "Medium", G1466&gt;15, "Large")</f>
        <v>Medium</v>
      </c>
      <c r="L1466" t="str">
        <f t="shared" si="90"/>
        <v>Standard</v>
      </c>
      <c r="M1466" t="str">
        <f t="shared" si="91"/>
        <v>Weekday</v>
      </c>
    </row>
    <row r="1467" spans="1:13" x14ac:dyDescent="0.35">
      <c r="A1467" t="s">
        <v>1504</v>
      </c>
      <c r="B1467" s="1">
        <v>45193</v>
      </c>
      <c r="C1467" t="s">
        <v>97</v>
      </c>
      <c r="D1467" t="s">
        <v>21</v>
      </c>
      <c r="E1467" t="s">
        <v>18</v>
      </c>
      <c r="F1467" s="4">
        <v>1035.24</v>
      </c>
      <c r="G1467" s="5">
        <v>30</v>
      </c>
      <c r="H1467" t="s">
        <v>15</v>
      </c>
      <c r="I1467" t="str">
        <f t="shared" si="88"/>
        <v>2023-09</v>
      </c>
      <c r="J1467" s="4">
        <f t="shared" si="89"/>
        <v>34.508000000000003</v>
      </c>
      <c r="K1467" t="str" cm="1">
        <f t="array" ref="K1467">_xlfn.IFS(G1467&lt;=5, "Small", G1467&lt;=15, "Medium", G1467&gt;15, "Large")</f>
        <v>Large</v>
      </c>
      <c r="L1467" t="str">
        <f t="shared" si="90"/>
        <v>Standard</v>
      </c>
      <c r="M1467" t="str">
        <f t="shared" si="91"/>
        <v>Weekend</v>
      </c>
    </row>
    <row r="1468" spans="1:13" x14ac:dyDescent="0.35">
      <c r="A1468" t="s">
        <v>1505</v>
      </c>
      <c r="B1468" s="1">
        <v>45147</v>
      </c>
      <c r="C1468" t="s">
        <v>115</v>
      </c>
      <c r="D1468" t="s">
        <v>10</v>
      </c>
      <c r="E1468" t="s">
        <v>18</v>
      </c>
      <c r="F1468" s="4">
        <v>2150.64</v>
      </c>
      <c r="G1468" s="5">
        <v>14</v>
      </c>
      <c r="H1468" t="s">
        <v>15</v>
      </c>
      <c r="I1468" t="str">
        <f t="shared" si="88"/>
        <v>2023-08</v>
      </c>
      <c r="J1468" s="4">
        <f t="shared" si="89"/>
        <v>153.61714285714285</v>
      </c>
      <c r="K1468" t="str" cm="1">
        <f t="array" ref="K1468">_xlfn.IFS(G1468&lt;=5, "Small", G1468&lt;=15, "Medium", G1468&gt;15, "Large")</f>
        <v>Medium</v>
      </c>
      <c r="L1468" t="str">
        <f t="shared" si="90"/>
        <v>Standard</v>
      </c>
      <c r="M1468" t="str">
        <f t="shared" si="91"/>
        <v>Weekday</v>
      </c>
    </row>
    <row r="1469" spans="1:13" x14ac:dyDescent="0.35">
      <c r="A1469" t="s">
        <v>1506</v>
      </c>
      <c r="B1469" s="1">
        <v>45243</v>
      </c>
      <c r="C1469" t="s">
        <v>166</v>
      </c>
      <c r="D1469" t="s">
        <v>26</v>
      </c>
      <c r="E1469" t="s">
        <v>18</v>
      </c>
      <c r="F1469" s="4">
        <v>523.38</v>
      </c>
      <c r="G1469" s="5">
        <v>1</v>
      </c>
      <c r="H1469" t="s">
        <v>15</v>
      </c>
      <c r="I1469" t="str">
        <f t="shared" si="88"/>
        <v>2023-11</v>
      </c>
      <c r="J1469" s="4">
        <f t="shared" si="89"/>
        <v>523.38</v>
      </c>
      <c r="K1469" t="str" cm="1">
        <f t="array" ref="K1469">_xlfn.IFS(G1469&lt;=5, "Small", G1469&lt;=15, "Medium", G1469&gt;15, "Large")</f>
        <v>Small</v>
      </c>
      <c r="L1469" t="str">
        <f t="shared" si="90"/>
        <v>Standard</v>
      </c>
      <c r="M1469" t="str">
        <f t="shared" si="91"/>
        <v>Weekday</v>
      </c>
    </row>
    <row r="1470" spans="1:13" x14ac:dyDescent="0.35">
      <c r="A1470" t="s">
        <v>1507</v>
      </c>
      <c r="B1470" s="1">
        <v>45413</v>
      </c>
      <c r="C1470" t="s">
        <v>62</v>
      </c>
      <c r="D1470" t="s">
        <v>10</v>
      </c>
      <c r="E1470" t="s">
        <v>18</v>
      </c>
      <c r="F1470" s="4">
        <v>428.14</v>
      </c>
      <c r="G1470" s="5">
        <v>14</v>
      </c>
      <c r="H1470" t="s">
        <v>15</v>
      </c>
      <c r="I1470" t="str">
        <f t="shared" si="88"/>
        <v>2024-05</v>
      </c>
      <c r="J1470" s="4">
        <f t="shared" si="89"/>
        <v>30.581428571428571</v>
      </c>
      <c r="K1470" t="str" cm="1">
        <f t="array" ref="K1470">_xlfn.IFS(G1470&lt;=5, "Small", G1470&lt;=15, "Medium", G1470&gt;15, "Large")</f>
        <v>Medium</v>
      </c>
      <c r="L1470" t="str">
        <f t="shared" si="90"/>
        <v>Standard</v>
      </c>
      <c r="M1470" t="str">
        <f t="shared" si="91"/>
        <v>Weekday</v>
      </c>
    </row>
    <row r="1471" spans="1:13" x14ac:dyDescent="0.35">
      <c r="A1471" t="s">
        <v>1508</v>
      </c>
      <c r="B1471" s="1">
        <v>45540</v>
      </c>
      <c r="C1471" t="s">
        <v>160</v>
      </c>
      <c r="D1471" t="s">
        <v>26</v>
      </c>
      <c r="E1471" t="s">
        <v>11</v>
      </c>
      <c r="F1471" s="4">
        <v>14374.41</v>
      </c>
      <c r="G1471" s="5">
        <v>2</v>
      </c>
      <c r="H1471" t="s">
        <v>15</v>
      </c>
      <c r="I1471" t="str">
        <f t="shared" si="88"/>
        <v>2024-09</v>
      </c>
      <c r="J1471" s="4">
        <f t="shared" si="89"/>
        <v>7187.2049999999999</v>
      </c>
      <c r="K1471" t="str" cm="1">
        <f t="array" ref="K1471">_xlfn.IFS(G1471&lt;=5, "Small", G1471&lt;=15, "Medium", G1471&gt;15, "Large")</f>
        <v>Small</v>
      </c>
      <c r="L1471" t="str">
        <f t="shared" si="90"/>
        <v>Standard</v>
      </c>
      <c r="M1471" t="str">
        <f t="shared" si="91"/>
        <v>Weekday</v>
      </c>
    </row>
    <row r="1472" spans="1:13" x14ac:dyDescent="0.35">
      <c r="A1472" t="s">
        <v>1509</v>
      </c>
      <c r="B1472" s="1">
        <v>45369</v>
      </c>
      <c r="C1472" t="s">
        <v>241</v>
      </c>
      <c r="D1472" t="s">
        <v>31</v>
      </c>
      <c r="E1472" t="s">
        <v>18</v>
      </c>
      <c r="F1472" s="4">
        <v>1838.12</v>
      </c>
      <c r="G1472" s="5">
        <v>16</v>
      </c>
      <c r="H1472" t="s">
        <v>15</v>
      </c>
      <c r="I1472" t="str">
        <f t="shared" si="88"/>
        <v>2024-03</v>
      </c>
      <c r="J1472" s="4">
        <f t="shared" si="89"/>
        <v>114.88249999999999</v>
      </c>
      <c r="K1472" t="str" cm="1">
        <f t="array" ref="K1472">_xlfn.IFS(G1472&lt;=5, "Small", G1472&lt;=15, "Medium", G1472&gt;15, "Large")</f>
        <v>Large</v>
      </c>
      <c r="L1472" t="str">
        <f t="shared" si="90"/>
        <v>Standard</v>
      </c>
      <c r="M1472" t="str">
        <f t="shared" si="91"/>
        <v>Weekday</v>
      </c>
    </row>
    <row r="1473" spans="1:13" x14ac:dyDescent="0.35">
      <c r="A1473" t="s">
        <v>1510</v>
      </c>
      <c r="B1473" s="1">
        <v>45194</v>
      </c>
      <c r="C1473" t="s">
        <v>69</v>
      </c>
      <c r="D1473" t="s">
        <v>31</v>
      </c>
      <c r="E1473" t="s">
        <v>27</v>
      </c>
      <c r="F1473" s="4">
        <v>37395.33</v>
      </c>
      <c r="G1473" s="5">
        <v>5</v>
      </c>
      <c r="H1473" t="s">
        <v>15</v>
      </c>
      <c r="I1473" t="str">
        <f t="shared" si="88"/>
        <v>2023-09</v>
      </c>
      <c r="J1473" s="4">
        <f t="shared" si="89"/>
        <v>7479.0660000000007</v>
      </c>
      <c r="K1473" t="str" cm="1">
        <f t="array" ref="K1473">_xlfn.IFS(G1473&lt;=5, "Small", G1473&lt;=15, "Medium", G1473&gt;15, "Large")</f>
        <v>Small</v>
      </c>
      <c r="L1473" t="str">
        <f t="shared" si="90"/>
        <v>VIP</v>
      </c>
      <c r="M1473" t="str">
        <f t="shared" si="91"/>
        <v>Weekday</v>
      </c>
    </row>
    <row r="1474" spans="1:13" x14ac:dyDescent="0.35">
      <c r="A1474" t="s">
        <v>1511</v>
      </c>
      <c r="B1474" s="1">
        <v>45261</v>
      </c>
      <c r="C1474" t="s">
        <v>62</v>
      </c>
      <c r="D1474" t="s">
        <v>10</v>
      </c>
      <c r="E1474" t="s">
        <v>11</v>
      </c>
      <c r="F1474" s="4">
        <v>8983.68</v>
      </c>
      <c r="G1474" s="5">
        <v>6</v>
      </c>
      <c r="H1474" t="s">
        <v>15</v>
      </c>
      <c r="I1474" t="str">
        <f t="shared" si="88"/>
        <v>2023-12</v>
      </c>
      <c r="J1474" s="4">
        <f t="shared" si="89"/>
        <v>1497.28</v>
      </c>
      <c r="K1474" t="str" cm="1">
        <f t="array" ref="K1474">_xlfn.IFS(G1474&lt;=5, "Small", G1474&lt;=15, "Medium", G1474&gt;15, "Large")</f>
        <v>Medium</v>
      </c>
      <c r="L1474" t="str">
        <f t="shared" si="90"/>
        <v>Standard</v>
      </c>
      <c r="M1474" t="str">
        <f t="shared" si="91"/>
        <v>Weekday</v>
      </c>
    </row>
    <row r="1475" spans="1:13" x14ac:dyDescent="0.35">
      <c r="A1475" t="s">
        <v>1512</v>
      </c>
      <c r="B1475" s="1">
        <v>44936</v>
      </c>
      <c r="C1475" t="s">
        <v>14</v>
      </c>
      <c r="D1475" t="s">
        <v>10</v>
      </c>
      <c r="E1475" t="s">
        <v>11</v>
      </c>
      <c r="F1475" s="4">
        <v>1369.97</v>
      </c>
      <c r="G1475" s="5">
        <v>8</v>
      </c>
      <c r="H1475" t="s">
        <v>15</v>
      </c>
      <c r="I1475" t="str">
        <f t="shared" ref="I1475:I1526" si="92">TEXT(B1475, "YYYY-MM")</f>
        <v>2023-01</v>
      </c>
      <c r="J1475" s="4">
        <f t="shared" ref="J1475:J1526" si="93">IFERROR(F1475/G1475, 0)</f>
        <v>171.24625</v>
      </c>
      <c r="K1475" t="str" cm="1">
        <f t="array" ref="K1475">_xlfn.IFS(G1475&lt;=5, "Small", G1475&lt;=15, "Medium", G1475&gt;15, "Large")</f>
        <v>Medium</v>
      </c>
      <c r="L1475" t="str">
        <f t="shared" ref="L1475:L1526" si="94">IF(F1475&gt;_xlfn.PERCENTILE.INC($F$2:$F$10000, 0.9), "VIP", "Standard")</f>
        <v>Standard</v>
      </c>
      <c r="M1475" t="str">
        <f t="shared" ref="M1475:M1526" si="95">IF(WEEKDAY(B1475, 2)&gt;5, "Weekend", "Weekday")</f>
        <v>Weekday</v>
      </c>
    </row>
    <row r="1476" spans="1:13" x14ac:dyDescent="0.35">
      <c r="A1476" t="s">
        <v>1513</v>
      </c>
      <c r="B1476" s="1">
        <v>44973</v>
      </c>
      <c r="C1476" t="s">
        <v>97</v>
      </c>
      <c r="D1476" t="s">
        <v>21</v>
      </c>
      <c r="E1476" t="s">
        <v>18</v>
      </c>
      <c r="F1476" s="4">
        <v>0</v>
      </c>
      <c r="G1476" s="5">
        <v>6</v>
      </c>
      <c r="H1476" t="s">
        <v>28</v>
      </c>
      <c r="I1476" t="str">
        <f t="shared" si="92"/>
        <v>2023-02</v>
      </c>
      <c r="J1476" s="4">
        <f t="shared" si="93"/>
        <v>0</v>
      </c>
      <c r="K1476" t="str" cm="1">
        <f t="array" ref="K1476">_xlfn.IFS(G1476&lt;=5, "Small", G1476&lt;=15, "Medium", G1476&gt;15, "Large")</f>
        <v>Medium</v>
      </c>
      <c r="L1476" t="str">
        <f t="shared" si="94"/>
        <v>Standard</v>
      </c>
      <c r="M1476" t="str">
        <f t="shared" si="95"/>
        <v>Weekday</v>
      </c>
    </row>
    <row r="1477" spans="1:13" x14ac:dyDescent="0.35">
      <c r="A1477" t="s">
        <v>1514</v>
      </c>
      <c r="B1477" s="1">
        <v>45119</v>
      </c>
      <c r="C1477" t="s">
        <v>64</v>
      </c>
      <c r="D1477" t="s">
        <v>10</v>
      </c>
      <c r="E1477" t="s">
        <v>11</v>
      </c>
      <c r="F1477" s="4">
        <v>16193.64</v>
      </c>
      <c r="G1477" s="5">
        <v>5</v>
      </c>
      <c r="H1477" t="s">
        <v>15</v>
      </c>
      <c r="I1477" t="str">
        <f t="shared" si="92"/>
        <v>2023-07</v>
      </c>
      <c r="J1477" s="4">
        <f t="shared" si="93"/>
        <v>3238.7280000000001</v>
      </c>
      <c r="K1477" t="str" cm="1">
        <f t="array" ref="K1477">_xlfn.IFS(G1477&lt;=5, "Small", G1477&lt;=15, "Medium", G1477&gt;15, "Large")</f>
        <v>Small</v>
      </c>
      <c r="L1477" t="str">
        <f t="shared" si="94"/>
        <v>Standard</v>
      </c>
      <c r="M1477" t="str">
        <f t="shared" si="95"/>
        <v>Weekday</v>
      </c>
    </row>
    <row r="1478" spans="1:13" x14ac:dyDescent="0.35">
      <c r="A1478" t="s">
        <v>1515</v>
      </c>
      <c r="B1478" s="1">
        <v>45441</v>
      </c>
      <c r="C1478" t="s">
        <v>53</v>
      </c>
      <c r="D1478" t="s">
        <v>31</v>
      </c>
      <c r="E1478" t="s">
        <v>11</v>
      </c>
      <c r="F1478" s="4">
        <v>9514.5300000000007</v>
      </c>
      <c r="G1478" s="5">
        <v>4</v>
      </c>
      <c r="H1478" t="s">
        <v>15</v>
      </c>
      <c r="I1478" t="str">
        <f t="shared" si="92"/>
        <v>2024-05</v>
      </c>
      <c r="J1478" s="4">
        <f t="shared" si="93"/>
        <v>2378.6325000000002</v>
      </c>
      <c r="K1478" t="str" cm="1">
        <f t="array" ref="K1478">_xlfn.IFS(G1478&lt;=5, "Small", G1478&lt;=15, "Medium", G1478&gt;15, "Large")</f>
        <v>Small</v>
      </c>
      <c r="L1478" t="str">
        <f t="shared" si="94"/>
        <v>Standard</v>
      </c>
      <c r="M1478" t="str">
        <f t="shared" si="95"/>
        <v>Weekday</v>
      </c>
    </row>
    <row r="1479" spans="1:13" x14ac:dyDescent="0.35">
      <c r="A1479" t="s">
        <v>1516</v>
      </c>
      <c r="B1479" s="1">
        <v>45633</v>
      </c>
      <c r="C1479" t="s">
        <v>84</v>
      </c>
      <c r="D1479" t="s">
        <v>26</v>
      </c>
      <c r="E1479" t="s">
        <v>27</v>
      </c>
      <c r="F1479" s="4">
        <v>11554.59</v>
      </c>
      <c r="G1479" s="5">
        <v>5</v>
      </c>
      <c r="H1479" t="s">
        <v>15</v>
      </c>
      <c r="I1479" t="str">
        <f t="shared" si="92"/>
        <v>2024-12</v>
      </c>
      <c r="J1479" s="4">
        <f t="shared" si="93"/>
        <v>2310.9180000000001</v>
      </c>
      <c r="K1479" t="str" cm="1">
        <f t="array" ref="K1479">_xlfn.IFS(G1479&lt;=5, "Small", G1479&lt;=15, "Medium", G1479&gt;15, "Large")</f>
        <v>Small</v>
      </c>
      <c r="L1479" t="str">
        <f t="shared" si="94"/>
        <v>Standard</v>
      </c>
      <c r="M1479" t="str">
        <f t="shared" si="95"/>
        <v>Weekend</v>
      </c>
    </row>
    <row r="1480" spans="1:13" x14ac:dyDescent="0.35">
      <c r="A1480" t="s">
        <v>1517</v>
      </c>
      <c r="B1480" s="1">
        <v>45090</v>
      </c>
      <c r="C1480" t="s">
        <v>62</v>
      </c>
      <c r="D1480" t="s">
        <v>10</v>
      </c>
      <c r="E1480" t="s">
        <v>11</v>
      </c>
      <c r="F1480" s="4">
        <v>7777.14</v>
      </c>
      <c r="G1480" s="5">
        <v>8</v>
      </c>
      <c r="H1480" t="s">
        <v>15</v>
      </c>
      <c r="I1480" t="str">
        <f t="shared" si="92"/>
        <v>2023-06</v>
      </c>
      <c r="J1480" s="4">
        <f t="shared" si="93"/>
        <v>972.14250000000004</v>
      </c>
      <c r="K1480" t="str" cm="1">
        <f t="array" ref="K1480">_xlfn.IFS(G1480&lt;=5, "Small", G1480&lt;=15, "Medium", G1480&gt;15, "Large")</f>
        <v>Medium</v>
      </c>
      <c r="L1480" t="str">
        <f t="shared" si="94"/>
        <v>Standard</v>
      </c>
      <c r="M1480" t="str">
        <f t="shared" si="95"/>
        <v>Weekday</v>
      </c>
    </row>
    <row r="1481" spans="1:13" x14ac:dyDescent="0.35">
      <c r="A1481" t="s">
        <v>1518</v>
      </c>
      <c r="B1481" s="1">
        <v>44946</v>
      </c>
      <c r="C1481" t="s">
        <v>25</v>
      </c>
      <c r="D1481" t="s">
        <v>26</v>
      </c>
      <c r="E1481" t="s">
        <v>18</v>
      </c>
      <c r="F1481" s="4">
        <v>0</v>
      </c>
      <c r="G1481" s="5">
        <v>2</v>
      </c>
      <c r="H1481" t="s">
        <v>28</v>
      </c>
      <c r="I1481" t="str">
        <f t="shared" si="92"/>
        <v>2023-01</v>
      </c>
      <c r="J1481" s="4">
        <f t="shared" si="93"/>
        <v>0</v>
      </c>
      <c r="K1481" t="str" cm="1">
        <f t="array" ref="K1481">_xlfn.IFS(G1481&lt;=5, "Small", G1481&lt;=15, "Medium", G1481&gt;15, "Large")</f>
        <v>Small</v>
      </c>
      <c r="L1481" t="str">
        <f t="shared" si="94"/>
        <v>Standard</v>
      </c>
      <c r="M1481" t="str">
        <f t="shared" si="95"/>
        <v>Weekday</v>
      </c>
    </row>
    <row r="1482" spans="1:13" x14ac:dyDescent="0.35">
      <c r="A1482" t="s">
        <v>1519</v>
      </c>
      <c r="B1482" s="1">
        <v>45355</v>
      </c>
      <c r="C1482" t="s">
        <v>48</v>
      </c>
      <c r="D1482" t="s">
        <v>31</v>
      </c>
      <c r="E1482" t="s">
        <v>18</v>
      </c>
      <c r="F1482" s="4">
        <v>3139.48</v>
      </c>
      <c r="G1482" s="5">
        <v>18</v>
      </c>
      <c r="H1482" t="s">
        <v>15</v>
      </c>
      <c r="I1482" t="str">
        <f t="shared" si="92"/>
        <v>2024-03</v>
      </c>
      <c r="J1482" s="4">
        <f t="shared" si="93"/>
        <v>174.41555555555556</v>
      </c>
      <c r="K1482" t="str" cm="1">
        <f t="array" ref="K1482">_xlfn.IFS(G1482&lt;=5, "Small", G1482&lt;=15, "Medium", G1482&gt;15, "Large")</f>
        <v>Large</v>
      </c>
      <c r="L1482" t="str">
        <f t="shared" si="94"/>
        <v>Standard</v>
      </c>
      <c r="M1482" t="str">
        <f t="shared" si="95"/>
        <v>Weekday</v>
      </c>
    </row>
    <row r="1483" spans="1:13" x14ac:dyDescent="0.35">
      <c r="A1483" t="s">
        <v>1520</v>
      </c>
      <c r="B1483" s="1">
        <v>45047</v>
      </c>
      <c r="C1483" t="s">
        <v>53</v>
      </c>
      <c r="D1483" t="s">
        <v>31</v>
      </c>
      <c r="E1483" t="s">
        <v>11</v>
      </c>
      <c r="F1483" s="4">
        <v>0</v>
      </c>
      <c r="G1483" s="5">
        <v>1</v>
      </c>
      <c r="H1483" t="s">
        <v>28</v>
      </c>
      <c r="I1483" t="str">
        <f t="shared" si="92"/>
        <v>2023-05</v>
      </c>
      <c r="J1483" s="4">
        <f t="shared" si="93"/>
        <v>0</v>
      </c>
      <c r="K1483" t="str" cm="1">
        <f t="array" ref="K1483">_xlfn.IFS(G1483&lt;=5, "Small", G1483&lt;=15, "Medium", G1483&gt;15, "Large")</f>
        <v>Small</v>
      </c>
      <c r="L1483" t="str">
        <f t="shared" si="94"/>
        <v>Standard</v>
      </c>
      <c r="M1483" t="str">
        <f t="shared" si="95"/>
        <v>Weekday</v>
      </c>
    </row>
    <row r="1484" spans="1:13" x14ac:dyDescent="0.35">
      <c r="A1484" t="s">
        <v>1521</v>
      </c>
      <c r="B1484" s="1">
        <v>45613</v>
      </c>
      <c r="C1484" t="s">
        <v>64</v>
      </c>
      <c r="D1484" t="s">
        <v>10</v>
      </c>
      <c r="E1484" t="s">
        <v>27</v>
      </c>
      <c r="F1484" s="4">
        <v>0</v>
      </c>
      <c r="G1484" s="5">
        <v>2</v>
      </c>
      <c r="H1484" t="s">
        <v>28</v>
      </c>
      <c r="I1484" t="str">
        <f t="shared" si="92"/>
        <v>2024-11</v>
      </c>
      <c r="J1484" s="4">
        <f t="shared" si="93"/>
        <v>0</v>
      </c>
      <c r="K1484" t="str" cm="1">
        <f t="array" ref="K1484">_xlfn.IFS(G1484&lt;=5, "Small", G1484&lt;=15, "Medium", G1484&gt;15, "Large")</f>
        <v>Small</v>
      </c>
      <c r="L1484" t="str">
        <f t="shared" si="94"/>
        <v>Standard</v>
      </c>
      <c r="M1484" t="str">
        <f t="shared" si="95"/>
        <v>Weekend</v>
      </c>
    </row>
    <row r="1485" spans="1:13" x14ac:dyDescent="0.35">
      <c r="A1485" t="s">
        <v>1522</v>
      </c>
      <c r="B1485" s="1">
        <v>45111</v>
      </c>
      <c r="C1485" t="s">
        <v>62</v>
      </c>
      <c r="D1485" t="s">
        <v>10</v>
      </c>
      <c r="E1485" t="s">
        <v>27</v>
      </c>
      <c r="F1485" s="4">
        <v>2095.21</v>
      </c>
      <c r="G1485" s="5">
        <v>3</v>
      </c>
      <c r="H1485" t="s">
        <v>15</v>
      </c>
      <c r="I1485" t="str">
        <f t="shared" si="92"/>
        <v>2023-07</v>
      </c>
      <c r="J1485" s="4">
        <f t="shared" si="93"/>
        <v>698.40333333333331</v>
      </c>
      <c r="K1485" t="str" cm="1">
        <f t="array" ref="K1485">_xlfn.IFS(G1485&lt;=5, "Small", G1485&lt;=15, "Medium", G1485&gt;15, "Large")</f>
        <v>Small</v>
      </c>
      <c r="L1485" t="str">
        <f t="shared" si="94"/>
        <v>Standard</v>
      </c>
      <c r="M1485" t="str">
        <f t="shared" si="95"/>
        <v>Weekday</v>
      </c>
    </row>
    <row r="1486" spans="1:13" x14ac:dyDescent="0.35">
      <c r="A1486" t="s">
        <v>1523</v>
      </c>
      <c r="B1486" s="1">
        <v>45584</v>
      </c>
      <c r="C1486" t="s">
        <v>162</v>
      </c>
      <c r="D1486" t="s">
        <v>26</v>
      </c>
      <c r="E1486" t="s">
        <v>11</v>
      </c>
      <c r="F1486" s="4">
        <v>14609.52</v>
      </c>
      <c r="G1486" s="5">
        <v>4</v>
      </c>
      <c r="H1486" t="s">
        <v>15</v>
      </c>
      <c r="I1486" t="str">
        <f t="shared" si="92"/>
        <v>2024-10</v>
      </c>
      <c r="J1486" s="4">
        <f t="shared" si="93"/>
        <v>3652.38</v>
      </c>
      <c r="K1486" t="str" cm="1">
        <f t="array" ref="K1486">_xlfn.IFS(G1486&lt;=5, "Small", G1486&lt;=15, "Medium", G1486&gt;15, "Large")</f>
        <v>Small</v>
      </c>
      <c r="L1486" t="str">
        <f t="shared" si="94"/>
        <v>Standard</v>
      </c>
      <c r="M1486" t="str">
        <f t="shared" si="95"/>
        <v>Weekend</v>
      </c>
    </row>
    <row r="1487" spans="1:13" x14ac:dyDescent="0.35">
      <c r="A1487" t="s">
        <v>1524</v>
      </c>
      <c r="B1487" s="1">
        <v>45481</v>
      </c>
      <c r="C1487" t="s">
        <v>241</v>
      </c>
      <c r="D1487" t="s">
        <v>31</v>
      </c>
      <c r="E1487" t="s">
        <v>18</v>
      </c>
      <c r="F1487" s="4">
        <v>834.92</v>
      </c>
      <c r="G1487" s="5">
        <v>2</v>
      </c>
      <c r="H1487" t="s">
        <v>15</v>
      </c>
      <c r="I1487" t="str">
        <f t="shared" si="92"/>
        <v>2024-07</v>
      </c>
      <c r="J1487" s="4">
        <f t="shared" si="93"/>
        <v>417.46</v>
      </c>
      <c r="K1487" t="str" cm="1">
        <f t="array" ref="K1487">_xlfn.IFS(G1487&lt;=5, "Small", G1487&lt;=15, "Medium", G1487&gt;15, "Large")</f>
        <v>Small</v>
      </c>
      <c r="L1487" t="str">
        <f t="shared" si="94"/>
        <v>Standard</v>
      </c>
      <c r="M1487" t="str">
        <f t="shared" si="95"/>
        <v>Weekday</v>
      </c>
    </row>
    <row r="1488" spans="1:13" x14ac:dyDescent="0.35">
      <c r="A1488" t="s">
        <v>1525</v>
      </c>
      <c r="B1488" s="1">
        <v>45375</v>
      </c>
      <c r="C1488" t="s">
        <v>78</v>
      </c>
      <c r="D1488" t="s">
        <v>31</v>
      </c>
      <c r="E1488" t="s">
        <v>18</v>
      </c>
      <c r="F1488" s="4">
        <v>2532.5700000000002</v>
      </c>
      <c r="G1488" s="5">
        <v>15</v>
      </c>
      <c r="H1488" t="s">
        <v>15</v>
      </c>
      <c r="I1488" t="str">
        <f t="shared" si="92"/>
        <v>2024-03</v>
      </c>
      <c r="J1488" s="4">
        <f t="shared" si="93"/>
        <v>168.83800000000002</v>
      </c>
      <c r="K1488" t="str" cm="1">
        <f t="array" ref="K1488">_xlfn.IFS(G1488&lt;=5, "Small", G1488&lt;=15, "Medium", G1488&gt;15, "Large")</f>
        <v>Medium</v>
      </c>
      <c r="L1488" t="str">
        <f t="shared" si="94"/>
        <v>Standard</v>
      </c>
      <c r="M1488" t="str">
        <f t="shared" si="95"/>
        <v>Weekend</v>
      </c>
    </row>
    <row r="1489" spans="1:13" x14ac:dyDescent="0.35">
      <c r="A1489" t="s">
        <v>1526</v>
      </c>
      <c r="B1489" s="1">
        <v>45227</v>
      </c>
      <c r="C1489" t="s">
        <v>30</v>
      </c>
      <c r="D1489" t="s">
        <v>31</v>
      </c>
      <c r="E1489" t="s">
        <v>18</v>
      </c>
      <c r="F1489" s="4">
        <v>942.35</v>
      </c>
      <c r="G1489" s="5">
        <v>26</v>
      </c>
      <c r="H1489" t="s">
        <v>15</v>
      </c>
      <c r="I1489" t="str">
        <f t="shared" si="92"/>
        <v>2023-10</v>
      </c>
      <c r="J1489" s="4">
        <f t="shared" si="93"/>
        <v>36.244230769230768</v>
      </c>
      <c r="K1489" t="str" cm="1">
        <f t="array" ref="K1489">_xlfn.IFS(G1489&lt;=5, "Small", G1489&lt;=15, "Medium", G1489&gt;15, "Large")</f>
        <v>Large</v>
      </c>
      <c r="L1489" t="str">
        <f t="shared" si="94"/>
        <v>Standard</v>
      </c>
      <c r="M1489" t="str">
        <f t="shared" si="95"/>
        <v>Weekend</v>
      </c>
    </row>
    <row r="1490" spans="1:13" x14ac:dyDescent="0.35">
      <c r="A1490" t="s">
        <v>1527</v>
      </c>
      <c r="B1490" s="1">
        <v>45641</v>
      </c>
      <c r="C1490" t="s">
        <v>69</v>
      </c>
      <c r="D1490" t="s">
        <v>31</v>
      </c>
      <c r="E1490" t="s">
        <v>27</v>
      </c>
      <c r="F1490" s="4">
        <v>31892.62</v>
      </c>
      <c r="G1490" s="5">
        <v>3</v>
      </c>
      <c r="H1490" t="s">
        <v>15</v>
      </c>
      <c r="I1490" t="str">
        <f t="shared" si="92"/>
        <v>2024-12</v>
      </c>
      <c r="J1490" s="4">
        <f t="shared" si="93"/>
        <v>10630.873333333333</v>
      </c>
      <c r="K1490" t="str" cm="1">
        <f t="array" ref="K1490">_xlfn.IFS(G1490&lt;=5, "Small", G1490&lt;=15, "Medium", G1490&gt;15, "Large")</f>
        <v>Small</v>
      </c>
      <c r="L1490" t="str">
        <f t="shared" si="94"/>
        <v>VIP</v>
      </c>
      <c r="M1490" t="str">
        <f t="shared" si="95"/>
        <v>Weekend</v>
      </c>
    </row>
    <row r="1491" spans="1:13" x14ac:dyDescent="0.35">
      <c r="A1491" t="s">
        <v>1528</v>
      </c>
      <c r="B1491" s="1">
        <v>45074</v>
      </c>
      <c r="C1491" t="s">
        <v>17</v>
      </c>
      <c r="D1491" t="s">
        <v>10</v>
      </c>
      <c r="E1491" t="s">
        <v>11</v>
      </c>
      <c r="F1491" s="4">
        <v>3175.37</v>
      </c>
      <c r="G1491" s="5">
        <v>4</v>
      </c>
      <c r="H1491" t="s">
        <v>15</v>
      </c>
      <c r="I1491" t="str">
        <f t="shared" si="92"/>
        <v>2023-05</v>
      </c>
      <c r="J1491" s="4">
        <f t="shared" si="93"/>
        <v>793.84249999999997</v>
      </c>
      <c r="K1491" t="str" cm="1">
        <f t="array" ref="K1491">_xlfn.IFS(G1491&lt;=5, "Small", G1491&lt;=15, "Medium", G1491&gt;15, "Large")</f>
        <v>Small</v>
      </c>
      <c r="L1491" t="str">
        <f t="shared" si="94"/>
        <v>Standard</v>
      </c>
      <c r="M1491" t="str">
        <f t="shared" si="95"/>
        <v>Weekend</v>
      </c>
    </row>
    <row r="1492" spans="1:13" x14ac:dyDescent="0.35">
      <c r="A1492" t="s">
        <v>1529</v>
      </c>
      <c r="B1492" s="1">
        <v>45211</v>
      </c>
      <c r="C1492" t="s">
        <v>60</v>
      </c>
      <c r="D1492" t="s">
        <v>26</v>
      </c>
      <c r="E1492" t="s">
        <v>18</v>
      </c>
      <c r="F1492" s="4">
        <v>2366.87</v>
      </c>
      <c r="G1492" s="5">
        <v>3</v>
      </c>
      <c r="H1492" t="s">
        <v>15</v>
      </c>
      <c r="I1492" t="str">
        <f t="shared" si="92"/>
        <v>2023-10</v>
      </c>
      <c r="J1492" s="4">
        <f t="shared" si="93"/>
        <v>788.95666666666659</v>
      </c>
      <c r="K1492" t="str" cm="1">
        <f t="array" ref="K1492">_xlfn.IFS(G1492&lt;=5, "Small", G1492&lt;=15, "Medium", G1492&gt;15, "Large")</f>
        <v>Small</v>
      </c>
      <c r="L1492" t="str">
        <f t="shared" si="94"/>
        <v>Standard</v>
      </c>
      <c r="M1492" t="str">
        <f t="shared" si="95"/>
        <v>Weekday</v>
      </c>
    </row>
    <row r="1493" spans="1:13" x14ac:dyDescent="0.35">
      <c r="A1493" t="s">
        <v>1530</v>
      </c>
      <c r="B1493" s="1">
        <v>45422</v>
      </c>
      <c r="C1493" t="s">
        <v>60</v>
      </c>
      <c r="D1493" t="s">
        <v>21</v>
      </c>
      <c r="E1493" t="s">
        <v>11</v>
      </c>
      <c r="F1493" s="4">
        <v>10178.129999999999</v>
      </c>
      <c r="G1493" s="5">
        <v>4</v>
      </c>
      <c r="H1493" t="s">
        <v>15</v>
      </c>
      <c r="I1493" t="str">
        <f t="shared" si="92"/>
        <v>2024-05</v>
      </c>
      <c r="J1493" s="4">
        <f t="shared" si="93"/>
        <v>2544.5324999999998</v>
      </c>
      <c r="K1493" t="str" cm="1">
        <f t="array" ref="K1493">_xlfn.IFS(G1493&lt;=5, "Small", G1493&lt;=15, "Medium", G1493&gt;15, "Large")</f>
        <v>Small</v>
      </c>
      <c r="L1493" t="str">
        <f t="shared" si="94"/>
        <v>Standard</v>
      </c>
      <c r="M1493" t="str">
        <f t="shared" si="95"/>
        <v>Weekday</v>
      </c>
    </row>
    <row r="1494" spans="1:13" x14ac:dyDescent="0.35">
      <c r="A1494" t="s">
        <v>1531</v>
      </c>
      <c r="B1494" s="1">
        <v>45343</v>
      </c>
      <c r="C1494" t="s">
        <v>37</v>
      </c>
      <c r="D1494" t="s">
        <v>21</v>
      </c>
      <c r="E1494" t="s">
        <v>11</v>
      </c>
      <c r="F1494" s="4">
        <v>11513.68</v>
      </c>
      <c r="G1494" s="5">
        <v>1</v>
      </c>
      <c r="H1494" t="s">
        <v>15</v>
      </c>
      <c r="I1494" t="str">
        <f t="shared" si="92"/>
        <v>2024-02</v>
      </c>
      <c r="J1494" s="4">
        <f t="shared" si="93"/>
        <v>11513.68</v>
      </c>
      <c r="K1494" t="str" cm="1">
        <f t="array" ref="K1494">_xlfn.IFS(G1494&lt;=5, "Small", G1494&lt;=15, "Medium", G1494&gt;15, "Large")</f>
        <v>Small</v>
      </c>
      <c r="L1494" t="str">
        <f t="shared" si="94"/>
        <v>Standard</v>
      </c>
      <c r="M1494" t="str">
        <f t="shared" si="95"/>
        <v>Weekday</v>
      </c>
    </row>
    <row r="1495" spans="1:13" x14ac:dyDescent="0.35">
      <c r="A1495" t="s">
        <v>1532</v>
      </c>
      <c r="B1495" s="1">
        <v>45410</v>
      </c>
      <c r="C1495" t="s">
        <v>42</v>
      </c>
      <c r="D1495" t="s">
        <v>10</v>
      </c>
      <c r="E1495" t="s">
        <v>18</v>
      </c>
      <c r="F1495" s="4">
        <v>3498.64</v>
      </c>
      <c r="G1495" s="5">
        <v>6</v>
      </c>
      <c r="H1495" t="s">
        <v>15</v>
      </c>
      <c r="I1495" t="str">
        <f t="shared" si="92"/>
        <v>2024-04</v>
      </c>
      <c r="J1495" s="4">
        <f t="shared" si="93"/>
        <v>583.10666666666668</v>
      </c>
      <c r="K1495" t="str" cm="1">
        <f t="array" ref="K1495">_xlfn.IFS(G1495&lt;=5, "Small", G1495&lt;=15, "Medium", G1495&gt;15, "Large")</f>
        <v>Medium</v>
      </c>
      <c r="L1495" t="str">
        <f t="shared" si="94"/>
        <v>Standard</v>
      </c>
      <c r="M1495" t="str">
        <f t="shared" si="95"/>
        <v>Weekend</v>
      </c>
    </row>
    <row r="1496" spans="1:13" x14ac:dyDescent="0.35">
      <c r="A1496" t="s">
        <v>1533</v>
      </c>
      <c r="B1496" s="1">
        <v>45315</v>
      </c>
      <c r="C1496" t="s">
        <v>37</v>
      </c>
      <c r="D1496" t="s">
        <v>21</v>
      </c>
      <c r="E1496" t="s">
        <v>18</v>
      </c>
      <c r="F1496" s="4">
        <v>273.99</v>
      </c>
      <c r="G1496" s="5">
        <v>16</v>
      </c>
      <c r="H1496" t="s">
        <v>15</v>
      </c>
      <c r="I1496" t="str">
        <f t="shared" si="92"/>
        <v>2024-01</v>
      </c>
      <c r="J1496" s="4">
        <f t="shared" si="93"/>
        <v>17.124375000000001</v>
      </c>
      <c r="K1496" t="str" cm="1">
        <f t="array" ref="K1496">_xlfn.IFS(G1496&lt;=5, "Small", G1496&lt;=15, "Medium", G1496&gt;15, "Large")</f>
        <v>Large</v>
      </c>
      <c r="L1496" t="str">
        <f t="shared" si="94"/>
        <v>Standard</v>
      </c>
      <c r="M1496" t="str">
        <f t="shared" si="95"/>
        <v>Weekday</v>
      </c>
    </row>
    <row r="1497" spans="1:13" x14ac:dyDescent="0.35">
      <c r="A1497" t="s">
        <v>1534</v>
      </c>
      <c r="B1497" s="1">
        <v>45317</v>
      </c>
      <c r="C1497" t="s">
        <v>84</v>
      </c>
      <c r="D1497" t="s">
        <v>26</v>
      </c>
      <c r="E1497" t="s">
        <v>27</v>
      </c>
      <c r="F1497" s="4">
        <v>21639.279999999999</v>
      </c>
      <c r="G1497" s="5">
        <v>5</v>
      </c>
      <c r="H1497" t="s">
        <v>15</v>
      </c>
      <c r="I1497" t="str">
        <f t="shared" si="92"/>
        <v>2024-01</v>
      </c>
      <c r="J1497" s="4">
        <f t="shared" si="93"/>
        <v>4327.8559999999998</v>
      </c>
      <c r="K1497" t="str" cm="1">
        <f t="array" ref="K1497">_xlfn.IFS(G1497&lt;=5, "Small", G1497&lt;=15, "Medium", G1497&gt;15, "Large")</f>
        <v>Small</v>
      </c>
      <c r="L1497" t="str">
        <f t="shared" si="94"/>
        <v>Standard</v>
      </c>
      <c r="M1497" t="str">
        <f t="shared" si="95"/>
        <v>Weekday</v>
      </c>
    </row>
    <row r="1498" spans="1:13" x14ac:dyDescent="0.35">
      <c r="A1498" t="s">
        <v>1535</v>
      </c>
      <c r="B1498" s="1">
        <v>45017</v>
      </c>
      <c r="C1498" t="s">
        <v>50</v>
      </c>
      <c r="D1498" t="s">
        <v>26</v>
      </c>
      <c r="E1498" t="s">
        <v>27</v>
      </c>
      <c r="F1498" s="4">
        <v>25450.799999999999</v>
      </c>
      <c r="G1498" s="5">
        <v>2</v>
      </c>
      <c r="H1498" t="s">
        <v>15</v>
      </c>
      <c r="I1498" t="str">
        <f t="shared" si="92"/>
        <v>2023-04</v>
      </c>
      <c r="J1498" s="4">
        <f t="shared" si="93"/>
        <v>12725.4</v>
      </c>
      <c r="K1498" t="str" cm="1">
        <f t="array" ref="K1498">_xlfn.IFS(G1498&lt;=5, "Small", G1498&lt;=15, "Medium", G1498&gt;15, "Large")</f>
        <v>Small</v>
      </c>
      <c r="L1498" t="str">
        <f t="shared" si="94"/>
        <v>Standard</v>
      </c>
      <c r="M1498" t="str">
        <f t="shared" si="95"/>
        <v>Weekend</v>
      </c>
    </row>
    <row r="1499" spans="1:13" x14ac:dyDescent="0.35">
      <c r="A1499" t="s">
        <v>1536</v>
      </c>
      <c r="B1499" s="1">
        <v>45266</v>
      </c>
      <c r="C1499" t="s">
        <v>84</v>
      </c>
      <c r="D1499" t="s">
        <v>26</v>
      </c>
      <c r="E1499" t="s">
        <v>11</v>
      </c>
      <c r="F1499" s="4">
        <v>8508.56</v>
      </c>
      <c r="G1499" s="5">
        <v>2</v>
      </c>
      <c r="H1499" t="s">
        <v>15</v>
      </c>
      <c r="I1499" t="str">
        <f t="shared" si="92"/>
        <v>2023-12</v>
      </c>
      <c r="J1499" s="4">
        <f t="shared" si="93"/>
        <v>4254.28</v>
      </c>
      <c r="K1499" t="str" cm="1">
        <f t="array" ref="K1499">_xlfn.IFS(G1499&lt;=5, "Small", G1499&lt;=15, "Medium", G1499&gt;15, "Large")</f>
        <v>Small</v>
      </c>
      <c r="L1499" t="str">
        <f t="shared" si="94"/>
        <v>Standard</v>
      </c>
      <c r="M1499" t="str">
        <f t="shared" si="95"/>
        <v>Weekday</v>
      </c>
    </row>
    <row r="1500" spans="1:13" x14ac:dyDescent="0.35">
      <c r="A1500" t="s">
        <v>1537</v>
      </c>
      <c r="B1500" s="1">
        <v>45582</v>
      </c>
      <c r="C1500" t="s">
        <v>253</v>
      </c>
      <c r="D1500" t="s">
        <v>21</v>
      </c>
      <c r="E1500" t="s">
        <v>18</v>
      </c>
      <c r="F1500" s="4">
        <v>217.63</v>
      </c>
      <c r="G1500" s="5">
        <v>2</v>
      </c>
      <c r="H1500" t="s">
        <v>15</v>
      </c>
      <c r="I1500" t="str">
        <f t="shared" si="92"/>
        <v>2024-10</v>
      </c>
      <c r="J1500" s="4">
        <f t="shared" si="93"/>
        <v>108.815</v>
      </c>
      <c r="K1500" t="str" cm="1">
        <f t="array" ref="K1500">_xlfn.IFS(G1500&lt;=5, "Small", G1500&lt;=15, "Medium", G1500&gt;15, "Large")</f>
        <v>Small</v>
      </c>
      <c r="L1500" t="str">
        <f t="shared" si="94"/>
        <v>Standard</v>
      </c>
      <c r="M1500" t="str">
        <f t="shared" si="95"/>
        <v>Weekday</v>
      </c>
    </row>
    <row r="1501" spans="1:13" x14ac:dyDescent="0.35">
      <c r="A1501" t="s">
        <v>1538</v>
      </c>
      <c r="B1501" s="1">
        <v>45071</v>
      </c>
      <c r="C1501" t="s">
        <v>25</v>
      </c>
      <c r="D1501" t="s">
        <v>26</v>
      </c>
      <c r="E1501" t="s">
        <v>11</v>
      </c>
      <c r="F1501" s="4">
        <v>16357.07</v>
      </c>
      <c r="G1501" s="5">
        <v>1</v>
      </c>
      <c r="H1501" t="s">
        <v>15</v>
      </c>
      <c r="I1501" t="str">
        <f t="shared" si="92"/>
        <v>2023-05</v>
      </c>
      <c r="J1501" s="4">
        <f t="shared" si="93"/>
        <v>16357.07</v>
      </c>
      <c r="K1501" t="str" cm="1">
        <f t="array" ref="K1501">_xlfn.IFS(G1501&lt;=5, "Small", G1501&lt;=15, "Medium", G1501&gt;15, "Large")</f>
        <v>Small</v>
      </c>
      <c r="L1501" t="str">
        <f t="shared" si="94"/>
        <v>Standard</v>
      </c>
      <c r="M1501" t="str">
        <f t="shared" si="95"/>
        <v>Weekday</v>
      </c>
    </row>
    <row r="1502" spans="1:13" x14ac:dyDescent="0.35">
      <c r="A1502" t="s">
        <v>1539</v>
      </c>
      <c r="B1502" s="1">
        <v>45125</v>
      </c>
      <c r="C1502" t="s">
        <v>9</v>
      </c>
      <c r="D1502" t="s">
        <v>10</v>
      </c>
      <c r="E1502" t="s">
        <v>18</v>
      </c>
      <c r="F1502" s="4">
        <v>1702.92</v>
      </c>
      <c r="G1502" s="5">
        <v>16</v>
      </c>
      <c r="H1502" t="s">
        <v>15</v>
      </c>
      <c r="I1502" t="str">
        <f t="shared" si="92"/>
        <v>2023-07</v>
      </c>
      <c r="J1502" s="4">
        <f t="shared" si="93"/>
        <v>106.4325</v>
      </c>
      <c r="K1502" t="str" cm="1">
        <f t="array" ref="K1502">_xlfn.IFS(G1502&lt;=5, "Small", G1502&lt;=15, "Medium", G1502&gt;15, "Large")</f>
        <v>Large</v>
      </c>
      <c r="L1502" t="str">
        <f t="shared" si="94"/>
        <v>Standard</v>
      </c>
      <c r="M1502" t="str">
        <f t="shared" si="95"/>
        <v>Weekday</v>
      </c>
    </row>
    <row r="1503" spans="1:13" x14ac:dyDescent="0.35">
      <c r="A1503" t="s">
        <v>1540</v>
      </c>
      <c r="B1503" s="1">
        <v>45432</v>
      </c>
      <c r="C1503" t="s">
        <v>33</v>
      </c>
      <c r="D1503" t="s">
        <v>10</v>
      </c>
      <c r="E1503" t="s">
        <v>27</v>
      </c>
      <c r="F1503" s="4">
        <v>0</v>
      </c>
      <c r="G1503" s="5">
        <v>2</v>
      </c>
      <c r="H1503" t="s">
        <v>28</v>
      </c>
      <c r="I1503" t="str">
        <f t="shared" si="92"/>
        <v>2024-05</v>
      </c>
      <c r="J1503" s="4">
        <f t="shared" si="93"/>
        <v>0</v>
      </c>
      <c r="K1503" t="str" cm="1">
        <f t="array" ref="K1503">_xlfn.IFS(G1503&lt;=5, "Small", G1503&lt;=15, "Medium", G1503&gt;15, "Large")</f>
        <v>Small</v>
      </c>
      <c r="L1503" t="str">
        <f t="shared" si="94"/>
        <v>Standard</v>
      </c>
      <c r="M1503" t="str">
        <f t="shared" si="95"/>
        <v>Weekday</v>
      </c>
    </row>
    <row r="1504" spans="1:13" x14ac:dyDescent="0.35">
      <c r="A1504" t="s">
        <v>1541</v>
      </c>
      <c r="B1504" s="1">
        <v>44937</v>
      </c>
      <c r="C1504" t="s">
        <v>42</v>
      </c>
      <c r="D1504" t="s">
        <v>10</v>
      </c>
      <c r="E1504" t="s">
        <v>27</v>
      </c>
      <c r="F1504" s="4">
        <v>0</v>
      </c>
      <c r="G1504" s="5">
        <v>4</v>
      </c>
      <c r="H1504" t="s">
        <v>12</v>
      </c>
      <c r="I1504" t="str">
        <f t="shared" si="92"/>
        <v>2023-01</v>
      </c>
      <c r="J1504" s="4">
        <f t="shared" si="93"/>
        <v>0</v>
      </c>
      <c r="K1504" t="str" cm="1">
        <f t="array" ref="K1504">_xlfn.IFS(G1504&lt;=5, "Small", G1504&lt;=15, "Medium", G1504&gt;15, "Large")</f>
        <v>Small</v>
      </c>
      <c r="L1504" t="str">
        <f t="shared" si="94"/>
        <v>Standard</v>
      </c>
      <c r="M1504" t="str">
        <f t="shared" si="95"/>
        <v>Weekday</v>
      </c>
    </row>
    <row r="1505" spans="1:13" x14ac:dyDescent="0.35">
      <c r="A1505" t="s">
        <v>1542</v>
      </c>
      <c r="B1505" s="1">
        <v>45051</v>
      </c>
      <c r="C1505" t="s">
        <v>55</v>
      </c>
      <c r="D1505" t="s">
        <v>10</v>
      </c>
      <c r="E1505" t="s">
        <v>11</v>
      </c>
      <c r="F1505" s="4">
        <v>9586.24</v>
      </c>
      <c r="G1505" s="5">
        <v>4</v>
      </c>
      <c r="H1505" t="s">
        <v>15</v>
      </c>
      <c r="I1505" t="str">
        <f t="shared" si="92"/>
        <v>2023-05</v>
      </c>
      <c r="J1505" s="4">
        <f t="shared" si="93"/>
        <v>2396.56</v>
      </c>
      <c r="K1505" t="str" cm="1">
        <f t="array" ref="K1505">_xlfn.IFS(G1505&lt;=5, "Small", G1505&lt;=15, "Medium", G1505&gt;15, "Large")</f>
        <v>Small</v>
      </c>
      <c r="L1505" t="str">
        <f t="shared" si="94"/>
        <v>Standard</v>
      </c>
      <c r="M1505" t="str">
        <f t="shared" si="95"/>
        <v>Weekday</v>
      </c>
    </row>
    <row r="1506" spans="1:13" x14ac:dyDescent="0.35">
      <c r="A1506" t="s">
        <v>1543</v>
      </c>
      <c r="B1506" s="1">
        <v>45537</v>
      </c>
      <c r="C1506" t="s">
        <v>82</v>
      </c>
      <c r="D1506" t="s">
        <v>26</v>
      </c>
      <c r="E1506" t="s">
        <v>11</v>
      </c>
      <c r="F1506" s="4">
        <v>2640.17</v>
      </c>
      <c r="G1506" s="5">
        <v>1</v>
      </c>
      <c r="H1506" t="s">
        <v>15</v>
      </c>
      <c r="I1506" t="str">
        <f t="shared" si="92"/>
        <v>2024-09</v>
      </c>
      <c r="J1506" s="4">
        <f t="shared" si="93"/>
        <v>2640.17</v>
      </c>
      <c r="K1506" t="str" cm="1">
        <f t="array" ref="K1506">_xlfn.IFS(G1506&lt;=5, "Small", G1506&lt;=15, "Medium", G1506&gt;15, "Large")</f>
        <v>Small</v>
      </c>
      <c r="L1506" t="str">
        <f t="shared" si="94"/>
        <v>Standard</v>
      </c>
      <c r="M1506" t="str">
        <f t="shared" si="95"/>
        <v>Weekday</v>
      </c>
    </row>
    <row r="1507" spans="1:13" x14ac:dyDescent="0.35">
      <c r="A1507" t="s">
        <v>1544</v>
      </c>
      <c r="B1507" s="1">
        <v>44998</v>
      </c>
      <c r="C1507" t="s">
        <v>60</v>
      </c>
      <c r="D1507" t="s">
        <v>10</v>
      </c>
      <c r="E1507" t="s">
        <v>27</v>
      </c>
      <c r="F1507" s="4">
        <v>6349.8</v>
      </c>
      <c r="G1507" s="5">
        <v>2</v>
      </c>
      <c r="H1507" t="s">
        <v>15</v>
      </c>
      <c r="I1507" t="str">
        <f t="shared" si="92"/>
        <v>2023-03</v>
      </c>
      <c r="J1507" s="4">
        <f t="shared" si="93"/>
        <v>3174.9</v>
      </c>
      <c r="K1507" t="str" cm="1">
        <f t="array" ref="K1507">_xlfn.IFS(G1507&lt;=5, "Small", G1507&lt;=15, "Medium", G1507&gt;15, "Large")</f>
        <v>Small</v>
      </c>
      <c r="L1507" t="str">
        <f t="shared" si="94"/>
        <v>Standard</v>
      </c>
      <c r="M1507" t="str">
        <f t="shared" si="95"/>
        <v>Weekday</v>
      </c>
    </row>
    <row r="1508" spans="1:13" x14ac:dyDescent="0.35">
      <c r="A1508" t="s">
        <v>1545</v>
      </c>
      <c r="B1508" s="1">
        <v>45411</v>
      </c>
      <c r="C1508" t="s">
        <v>162</v>
      </c>
      <c r="D1508" t="s">
        <v>26</v>
      </c>
      <c r="E1508" t="s">
        <v>11</v>
      </c>
      <c r="F1508" s="4">
        <v>17940.38</v>
      </c>
      <c r="G1508" s="5">
        <v>6</v>
      </c>
      <c r="H1508" t="s">
        <v>15</v>
      </c>
      <c r="I1508" t="str">
        <f t="shared" si="92"/>
        <v>2024-04</v>
      </c>
      <c r="J1508" s="4">
        <f t="shared" si="93"/>
        <v>2990.0633333333335</v>
      </c>
      <c r="K1508" t="str" cm="1">
        <f t="array" ref="K1508">_xlfn.IFS(G1508&lt;=5, "Small", G1508&lt;=15, "Medium", G1508&gt;15, "Large")</f>
        <v>Medium</v>
      </c>
      <c r="L1508" t="str">
        <f t="shared" si="94"/>
        <v>Standard</v>
      </c>
      <c r="M1508" t="str">
        <f t="shared" si="95"/>
        <v>Weekday</v>
      </c>
    </row>
    <row r="1509" spans="1:13" x14ac:dyDescent="0.35">
      <c r="A1509" t="s">
        <v>1546</v>
      </c>
      <c r="B1509" s="1">
        <v>45170</v>
      </c>
      <c r="C1509" t="s">
        <v>241</v>
      </c>
      <c r="D1509" t="s">
        <v>31</v>
      </c>
      <c r="E1509" t="s">
        <v>27</v>
      </c>
      <c r="F1509" s="4">
        <v>0</v>
      </c>
      <c r="G1509" s="5">
        <v>2</v>
      </c>
      <c r="H1509" t="s">
        <v>28</v>
      </c>
      <c r="I1509" t="str">
        <f t="shared" si="92"/>
        <v>2023-09</v>
      </c>
      <c r="J1509" s="4">
        <f t="shared" si="93"/>
        <v>0</v>
      </c>
      <c r="K1509" t="str" cm="1">
        <f t="array" ref="K1509">_xlfn.IFS(G1509&lt;=5, "Small", G1509&lt;=15, "Medium", G1509&gt;15, "Large")</f>
        <v>Small</v>
      </c>
      <c r="L1509" t="str">
        <f t="shared" si="94"/>
        <v>Standard</v>
      </c>
      <c r="M1509" t="str">
        <f t="shared" si="95"/>
        <v>Weekday</v>
      </c>
    </row>
    <row r="1510" spans="1:13" x14ac:dyDescent="0.35">
      <c r="A1510" t="s">
        <v>1547</v>
      </c>
      <c r="B1510" s="1">
        <v>45283</v>
      </c>
      <c r="C1510" t="s">
        <v>45</v>
      </c>
      <c r="D1510" t="s">
        <v>21</v>
      </c>
      <c r="E1510" t="s">
        <v>18</v>
      </c>
      <c r="F1510" s="4">
        <v>2425.29</v>
      </c>
      <c r="G1510" s="5">
        <v>23</v>
      </c>
      <c r="H1510" t="s">
        <v>15</v>
      </c>
      <c r="I1510" t="str">
        <f t="shared" si="92"/>
        <v>2023-12</v>
      </c>
      <c r="J1510" s="4">
        <f t="shared" si="93"/>
        <v>105.44739130434782</v>
      </c>
      <c r="K1510" t="str" cm="1">
        <f t="array" ref="K1510">_xlfn.IFS(G1510&lt;=5, "Small", G1510&lt;=15, "Medium", G1510&gt;15, "Large")</f>
        <v>Large</v>
      </c>
      <c r="L1510" t="str">
        <f t="shared" si="94"/>
        <v>Standard</v>
      </c>
      <c r="M1510" t="str">
        <f t="shared" si="95"/>
        <v>Weekend</v>
      </c>
    </row>
    <row r="1511" spans="1:13" x14ac:dyDescent="0.35">
      <c r="A1511" t="s">
        <v>1373</v>
      </c>
      <c r="B1511" s="1">
        <v>45456</v>
      </c>
      <c r="C1511" t="s">
        <v>97</v>
      </c>
      <c r="D1511" t="s">
        <v>21</v>
      </c>
      <c r="E1511" t="s">
        <v>27</v>
      </c>
      <c r="F1511" s="4">
        <v>3629.94</v>
      </c>
      <c r="G1511" s="5">
        <v>1</v>
      </c>
      <c r="H1511" t="s">
        <v>15</v>
      </c>
      <c r="I1511" t="str">
        <f t="shared" si="92"/>
        <v>2024-06</v>
      </c>
      <c r="J1511" s="4">
        <f t="shared" si="93"/>
        <v>3629.94</v>
      </c>
      <c r="K1511" t="str" cm="1">
        <f t="array" ref="K1511">_xlfn.IFS(G1511&lt;=5, "Small", G1511&lt;=15, "Medium", G1511&gt;15, "Large")</f>
        <v>Small</v>
      </c>
      <c r="L1511" t="str">
        <f t="shared" si="94"/>
        <v>Standard</v>
      </c>
      <c r="M1511" t="str">
        <f t="shared" si="95"/>
        <v>Weekday</v>
      </c>
    </row>
    <row r="1512" spans="1:13" x14ac:dyDescent="0.35">
      <c r="A1512" t="s">
        <v>1548</v>
      </c>
      <c r="B1512" s="1">
        <v>45521</v>
      </c>
      <c r="C1512" t="s">
        <v>14</v>
      </c>
      <c r="D1512" t="s">
        <v>10</v>
      </c>
      <c r="E1512" t="s">
        <v>27</v>
      </c>
      <c r="F1512" s="4">
        <v>14964.5</v>
      </c>
      <c r="G1512" s="5">
        <v>3</v>
      </c>
      <c r="H1512" t="s">
        <v>15</v>
      </c>
      <c r="I1512" t="str">
        <f t="shared" si="92"/>
        <v>2024-08</v>
      </c>
      <c r="J1512" s="4">
        <f t="shared" si="93"/>
        <v>4988.166666666667</v>
      </c>
      <c r="K1512" t="str" cm="1">
        <f t="array" ref="K1512">_xlfn.IFS(G1512&lt;=5, "Small", G1512&lt;=15, "Medium", G1512&gt;15, "Large")</f>
        <v>Small</v>
      </c>
      <c r="L1512" t="str">
        <f t="shared" si="94"/>
        <v>Standard</v>
      </c>
      <c r="M1512" t="str">
        <f t="shared" si="95"/>
        <v>Weekend</v>
      </c>
    </row>
    <row r="1513" spans="1:13" x14ac:dyDescent="0.35">
      <c r="A1513" t="s">
        <v>1549</v>
      </c>
      <c r="B1513" s="1">
        <v>45306</v>
      </c>
      <c r="C1513" t="s">
        <v>78</v>
      </c>
      <c r="D1513" t="s">
        <v>31</v>
      </c>
      <c r="E1513" t="s">
        <v>11</v>
      </c>
      <c r="F1513" s="4">
        <v>0</v>
      </c>
      <c r="G1513" s="5">
        <v>8</v>
      </c>
      <c r="H1513" t="s">
        <v>12</v>
      </c>
      <c r="I1513" t="str">
        <f t="shared" si="92"/>
        <v>2024-01</v>
      </c>
      <c r="J1513" s="4">
        <f t="shared" si="93"/>
        <v>0</v>
      </c>
      <c r="K1513" t="str" cm="1">
        <f t="array" ref="K1513">_xlfn.IFS(G1513&lt;=5, "Small", G1513&lt;=15, "Medium", G1513&gt;15, "Large")</f>
        <v>Medium</v>
      </c>
      <c r="L1513" t="str">
        <f t="shared" si="94"/>
        <v>Standard</v>
      </c>
      <c r="M1513" t="str">
        <f t="shared" si="95"/>
        <v>Weekday</v>
      </c>
    </row>
    <row r="1514" spans="1:13" x14ac:dyDescent="0.35">
      <c r="A1514" t="s">
        <v>1550</v>
      </c>
      <c r="B1514" s="1">
        <v>44978</v>
      </c>
      <c r="C1514" t="s">
        <v>42</v>
      </c>
      <c r="D1514" t="s">
        <v>10</v>
      </c>
      <c r="E1514" t="s">
        <v>27</v>
      </c>
      <c r="F1514" s="4">
        <v>3120.11</v>
      </c>
      <c r="G1514" s="5">
        <v>4</v>
      </c>
      <c r="H1514" t="s">
        <v>15</v>
      </c>
      <c r="I1514" t="str">
        <f t="shared" si="92"/>
        <v>2023-02</v>
      </c>
      <c r="J1514" s="4">
        <f t="shared" si="93"/>
        <v>780.02750000000003</v>
      </c>
      <c r="K1514" t="str" cm="1">
        <f t="array" ref="K1514">_xlfn.IFS(G1514&lt;=5, "Small", G1514&lt;=15, "Medium", G1514&gt;15, "Large")</f>
        <v>Small</v>
      </c>
      <c r="L1514" t="str">
        <f t="shared" si="94"/>
        <v>Standard</v>
      </c>
      <c r="M1514" t="str">
        <f t="shared" si="95"/>
        <v>Weekday</v>
      </c>
    </row>
    <row r="1515" spans="1:13" x14ac:dyDescent="0.35">
      <c r="A1515" t="s">
        <v>1551</v>
      </c>
      <c r="B1515" s="1">
        <v>45589</v>
      </c>
      <c r="C1515" t="s">
        <v>60</v>
      </c>
      <c r="D1515" t="s">
        <v>21</v>
      </c>
      <c r="E1515" t="s">
        <v>27</v>
      </c>
      <c r="F1515" s="4">
        <v>39068.28</v>
      </c>
      <c r="G1515" s="5">
        <v>3</v>
      </c>
      <c r="H1515" t="s">
        <v>15</v>
      </c>
      <c r="I1515" t="str">
        <f t="shared" si="92"/>
        <v>2024-10</v>
      </c>
      <c r="J1515" s="4">
        <f t="shared" si="93"/>
        <v>13022.76</v>
      </c>
      <c r="K1515" t="str" cm="1">
        <f t="array" ref="K1515">_xlfn.IFS(G1515&lt;=5, "Small", G1515&lt;=15, "Medium", G1515&gt;15, "Large")</f>
        <v>Small</v>
      </c>
      <c r="L1515" t="str">
        <f t="shared" si="94"/>
        <v>VIP</v>
      </c>
      <c r="M1515" t="str">
        <f t="shared" si="95"/>
        <v>Weekday</v>
      </c>
    </row>
    <row r="1516" spans="1:13" x14ac:dyDescent="0.35">
      <c r="A1516" t="s">
        <v>1552</v>
      </c>
      <c r="B1516" s="1">
        <v>45136</v>
      </c>
      <c r="C1516" t="s">
        <v>175</v>
      </c>
      <c r="D1516" t="s">
        <v>21</v>
      </c>
      <c r="E1516" t="s">
        <v>11</v>
      </c>
      <c r="F1516" s="4">
        <v>2616.5500000000002</v>
      </c>
      <c r="G1516" s="5">
        <v>5</v>
      </c>
      <c r="H1516" t="s">
        <v>15</v>
      </c>
      <c r="I1516" t="str">
        <f t="shared" si="92"/>
        <v>2023-07</v>
      </c>
      <c r="J1516" s="4">
        <f t="shared" si="93"/>
        <v>523.31000000000006</v>
      </c>
      <c r="K1516" t="str" cm="1">
        <f t="array" ref="K1516">_xlfn.IFS(G1516&lt;=5, "Small", G1516&lt;=15, "Medium", G1516&gt;15, "Large")</f>
        <v>Small</v>
      </c>
      <c r="L1516" t="str">
        <f t="shared" si="94"/>
        <v>Standard</v>
      </c>
      <c r="M1516" t="str">
        <f t="shared" si="95"/>
        <v>Weekend</v>
      </c>
    </row>
    <row r="1517" spans="1:13" x14ac:dyDescent="0.35">
      <c r="A1517" t="s">
        <v>1553</v>
      </c>
      <c r="B1517" s="1">
        <v>44985</v>
      </c>
      <c r="C1517" t="s">
        <v>84</v>
      </c>
      <c r="D1517" t="s">
        <v>26</v>
      </c>
      <c r="E1517" t="s">
        <v>27</v>
      </c>
      <c r="F1517" s="4">
        <v>29294.26</v>
      </c>
      <c r="G1517" s="5">
        <v>1</v>
      </c>
      <c r="H1517" t="s">
        <v>15</v>
      </c>
      <c r="I1517" t="str">
        <f t="shared" si="92"/>
        <v>2023-02</v>
      </c>
      <c r="J1517" s="4">
        <f t="shared" si="93"/>
        <v>29294.26</v>
      </c>
      <c r="K1517" t="str" cm="1">
        <f t="array" ref="K1517">_xlfn.IFS(G1517&lt;=5, "Small", G1517&lt;=15, "Medium", G1517&gt;15, "Large")</f>
        <v>Small</v>
      </c>
      <c r="L1517" t="str">
        <f t="shared" si="94"/>
        <v>VIP</v>
      </c>
      <c r="M1517" t="str">
        <f t="shared" si="95"/>
        <v>Weekday</v>
      </c>
    </row>
    <row r="1518" spans="1:13" x14ac:dyDescent="0.35">
      <c r="A1518" t="s">
        <v>1554</v>
      </c>
      <c r="B1518" s="1">
        <v>45013</v>
      </c>
      <c r="C1518" t="s">
        <v>45</v>
      </c>
      <c r="D1518" t="s">
        <v>21</v>
      </c>
      <c r="E1518" t="s">
        <v>27</v>
      </c>
      <c r="F1518" s="4">
        <v>11750.27</v>
      </c>
      <c r="G1518" s="5">
        <v>4</v>
      </c>
      <c r="H1518" t="s">
        <v>15</v>
      </c>
      <c r="I1518" t="str">
        <f t="shared" si="92"/>
        <v>2023-03</v>
      </c>
      <c r="J1518" s="4">
        <f t="shared" si="93"/>
        <v>2937.5675000000001</v>
      </c>
      <c r="K1518" t="str" cm="1">
        <f t="array" ref="K1518">_xlfn.IFS(G1518&lt;=5, "Small", G1518&lt;=15, "Medium", G1518&gt;15, "Large")</f>
        <v>Small</v>
      </c>
      <c r="L1518" t="str">
        <f t="shared" si="94"/>
        <v>Standard</v>
      </c>
      <c r="M1518" t="str">
        <f t="shared" si="95"/>
        <v>Weekday</v>
      </c>
    </row>
    <row r="1519" spans="1:13" x14ac:dyDescent="0.35">
      <c r="A1519" t="s">
        <v>1555</v>
      </c>
      <c r="B1519" s="1">
        <v>45043</v>
      </c>
      <c r="C1519" t="s">
        <v>62</v>
      </c>
      <c r="D1519" t="s">
        <v>10</v>
      </c>
      <c r="E1519" t="s">
        <v>11</v>
      </c>
      <c r="F1519" s="4">
        <v>9464.09</v>
      </c>
      <c r="G1519" s="5">
        <v>2</v>
      </c>
      <c r="H1519" t="s">
        <v>15</v>
      </c>
      <c r="I1519" t="str">
        <f t="shared" si="92"/>
        <v>2023-04</v>
      </c>
      <c r="J1519" s="4">
        <f t="shared" si="93"/>
        <v>4732.0450000000001</v>
      </c>
      <c r="K1519" t="str" cm="1">
        <f t="array" ref="K1519">_xlfn.IFS(G1519&lt;=5, "Small", G1519&lt;=15, "Medium", G1519&gt;15, "Large")</f>
        <v>Small</v>
      </c>
      <c r="L1519" t="str">
        <f t="shared" si="94"/>
        <v>Standard</v>
      </c>
      <c r="M1519" t="str">
        <f t="shared" si="95"/>
        <v>Weekday</v>
      </c>
    </row>
    <row r="1520" spans="1:13" x14ac:dyDescent="0.35">
      <c r="A1520" t="s">
        <v>1556</v>
      </c>
      <c r="B1520" s="1">
        <v>45109</v>
      </c>
      <c r="C1520" t="s">
        <v>78</v>
      </c>
      <c r="D1520" t="s">
        <v>31</v>
      </c>
      <c r="E1520" t="s">
        <v>11</v>
      </c>
      <c r="F1520" s="4">
        <v>3691.61</v>
      </c>
      <c r="G1520" s="5">
        <v>1</v>
      </c>
      <c r="H1520" t="s">
        <v>15</v>
      </c>
      <c r="I1520" t="str">
        <f t="shared" si="92"/>
        <v>2023-07</v>
      </c>
      <c r="J1520" s="4">
        <f t="shared" si="93"/>
        <v>3691.61</v>
      </c>
      <c r="K1520" t="str" cm="1">
        <f t="array" ref="K1520">_xlfn.IFS(G1520&lt;=5, "Small", G1520&lt;=15, "Medium", G1520&gt;15, "Large")</f>
        <v>Small</v>
      </c>
      <c r="L1520" t="str">
        <f t="shared" si="94"/>
        <v>Standard</v>
      </c>
      <c r="M1520" t="str">
        <f t="shared" si="95"/>
        <v>Weekend</v>
      </c>
    </row>
    <row r="1521" spans="1:13" x14ac:dyDescent="0.35">
      <c r="A1521" t="s">
        <v>1557</v>
      </c>
      <c r="B1521" s="1">
        <v>45008</v>
      </c>
      <c r="C1521" t="s">
        <v>37</v>
      </c>
      <c r="D1521" t="s">
        <v>21</v>
      </c>
      <c r="E1521" t="s">
        <v>27</v>
      </c>
      <c r="F1521" s="4">
        <v>8098</v>
      </c>
      <c r="G1521" s="5">
        <v>1</v>
      </c>
      <c r="H1521" t="s">
        <v>15</v>
      </c>
      <c r="I1521" t="str">
        <f t="shared" si="92"/>
        <v>2023-03</v>
      </c>
      <c r="J1521" s="4">
        <f t="shared" si="93"/>
        <v>8098</v>
      </c>
      <c r="K1521" t="str" cm="1">
        <f t="array" ref="K1521">_xlfn.IFS(G1521&lt;=5, "Small", G1521&lt;=15, "Medium", G1521&gt;15, "Large")</f>
        <v>Small</v>
      </c>
      <c r="L1521" t="str">
        <f t="shared" si="94"/>
        <v>Standard</v>
      </c>
      <c r="M1521" t="str">
        <f t="shared" si="95"/>
        <v>Weekday</v>
      </c>
    </row>
    <row r="1522" spans="1:13" x14ac:dyDescent="0.35">
      <c r="A1522" t="s">
        <v>1558</v>
      </c>
      <c r="B1522" s="1">
        <v>45562</v>
      </c>
      <c r="C1522" t="s">
        <v>84</v>
      </c>
      <c r="D1522" t="s">
        <v>26</v>
      </c>
      <c r="E1522" t="s">
        <v>18</v>
      </c>
      <c r="F1522" s="4">
        <v>2840.35</v>
      </c>
      <c r="G1522" s="5">
        <v>29</v>
      </c>
      <c r="H1522" t="s">
        <v>15</v>
      </c>
      <c r="I1522" t="str">
        <f t="shared" si="92"/>
        <v>2024-09</v>
      </c>
      <c r="J1522" s="4">
        <f t="shared" si="93"/>
        <v>97.943103448275863</v>
      </c>
      <c r="K1522" t="str" cm="1">
        <f t="array" ref="K1522">_xlfn.IFS(G1522&lt;=5, "Small", G1522&lt;=15, "Medium", G1522&gt;15, "Large")</f>
        <v>Large</v>
      </c>
      <c r="L1522" t="str">
        <f t="shared" si="94"/>
        <v>Standard</v>
      </c>
      <c r="M1522" t="str">
        <f t="shared" si="95"/>
        <v>Weekday</v>
      </c>
    </row>
    <row r="1523" spans="1:13" x14ac:dyDescent="0.35">
      <c r="A1523" t="s">
        <v>1559</v>
      </c>
      <c r="B1523" s="1">
        <v>45239</v>
      </c>
      <c r="C1523" t="s">
        <v>42</v>
      </c>
      <c r="D1523" t="s">
        <v>10</v>
      </c>
      <c r="E1523" t="s">
        <v>11</v>
      </c>
      <c r="F1523" s="4">
        <v>9192.51</v>
      </c>
      <c r="G1523" s="5">
        <v>4</v>
      </c>
      <c r="H1523" t="s">
        <v>15</v>
      </c>
      <c r="I1523" t="str">
        <f t="shared" si="92"/>
        <v>2023-11</v>
      </c>
      <c r="J1523" s="4">
        <f t="shared" si="93"/>
        <v>2298.1275000000001</v>
      </c>
      <c r="K1523" t="str" cm="1">
        <f t="array" ref="K1523">_xlfn.IFS(G1523&lt;=5, "Small", G1523&lt;=15, "Medium", G1523&gt;15, "Large")</f>
        <v>Small</v>
      </c>
      <c r="L1523" t="str">
        <f t="shared" si="94"/>
        <v>Standard</v>
      </c>
      <c r="M1523" t="str">
        <f t="shared" si="95"/>
        <v>Weekday</v>
      </c>
    </row>
    <row r="1524" spans="1:13" x14ac:dyDescent="0.35">
      <c r="A1524" t="s">
        <v>1560</v>
      </c>
      <c r="B1524" s="1">
        <v>45232</v>
      </c>
      <c r="C1524" t="s">
        <v>84</v>
      </c>
      <c r="D1524" t="s">
        <v>26</v>
      </c>
      <c r="E1524" t="s">
        <v>27</v>
      </c>
      <c r="F1524" s="4">
        <v>25265.77</v>
      </c>
      <c r="G1524" s="5">
        <v>5</v>
      </c>
      <c r="H1524" t="s">
        <v>15</v>
      </c>
      <c r="I1524" t="str">
        <f t="shared" si="92"/>
        <v>2023-11</v>
      </c>
      <c r="J1524" s="4">
        <f t="shared" si="93"/>
        <v>5053.1540000000005</v>
      </c>
      <c r="K1524" t="str" cm="1">
        <f t="array" ref="K1524">_xlfn.IFS(G1524&lt;=5, "Small", G1524&lt;=15, "Medium", G1524&gt;15, "Large")</f>
        <v>Small</v>
      </c>
      <c r="L1524" t="str">
        <f t="shared" si="94"/>
        <v>Standard</v>
      </c>
      <c r="M1524" t="str">
        <f t="shared" si="95"/>
        <v>Weekday</v>
      </c>
    </row>
    <row r="1525" spans="1:13" x14ac:dyDescent="0.35">
      <c r="A1525" t="s">
        <v>1561</v>
      </c>
      <c r="B1525" s="1">
        <v>45118</v>
      </c>
      <c r="C1525" t="s">
        <v>25</v>
      </c>
      <c r="D1525" t="s">
        <v>26</v>
      </c>
      <c r="E1525" t="s">
        <v>11</v>
      </c>
      <c r="F1525" s="4">
        <v>16660.3</v>
      </c>
      <c r="G1525" s="5">
        <v>5</v>
      </c>
      <c r="H1525" t="s">
        <v>15</v>
      </c>
      <c r="I1525" t="str">
        <f t="shared" si="92"/>
        <v>2023-07</v>
      </c>
      <c r="J1525" s="4">
        <f t="shared" si="93"/>
        <v>3332.06</v>
      </c>
      <c r="K1525" t="str" cm="1">
        <f t="array" ref="K1525">_xlfn.IFS(G1525&lt;=5, "Small", G1525&lt;=15, "Medium", G1525&gt;15, "Large")</f>
        <v>Small</v>
      </c>
      <c r="L1525" t="str">
        <f t="shared" si="94"/>
        <v>Standard</v>
      </c>
      <c r="M1525" t="str">
        <f t="shared" si="95"/>
        <v>Weekday</v>
      </c>
    </row>
    <row r="1526" spans="1:13" x14ac:dyDescent="0.35">
      <c r="A1526" t="s">
        <v>1562</v>
      </c>
      <c r="B1526" s="1">
        <v>45054</v>
      </c>
      <c r="C1526" t="s">
        <v>14</v>
      </c>
      <c r="D1526" t="s">
        <v>10</v>
      </c>
      <c r="E1526" t="s">
        <v>27</v>
      </c>
      <c r="F1526" s="4">
        <v>0</v>
      </c>
      <c r="G1526" s="5">
        <v>5</v>
      </c>
      <c r="H1526" t="s">
        <v>28</v>
      </c>
      <c r="I1526" t="str">
        <f t="shared" si="92"/>
        <v>2023-05</v>
      </c>
      <c r="J1526" s="4">
        <f t="shared" si="93"/>
        <v>0</v>
      </c>
      <c r="K1526" t="str" cm="1">
        <f t="array" ref="K1526">_xlfn.IFS(G1526&lt;=5, "Small", G1526&lt;=15, "Medium", G1526&gt;15, "Large")</f>
        <v>Small</v>
      </c>
      <c r="L1526" t="str">
        <f t="shared" si="94"/>
        <v>Standard</v>
      </c>
      <c r="M1526" t="str">
        <f t="shared" si="95"/>
        <v>Weekday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Dashboard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Anjali Patlan</cp:lastModifiedBy>
  <dcterms:created xsi:type="dcterms:W3CDTF">2026-07-05T10:20:18Z</dcterms:created>
  <dcterms:modified xsi:type="dcterms:W3CDTF">2026-07-05T11:57:24Z</dcterms:modified>
</cp:coreProperties>
</file>